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Sheet2" sheetId="4" r:id="rId1"/>
    <sheet name="Sheet1" sheetId="3" r:id="rId2"/>
    <sheet name="Sheet3" sheetId="5" r:id="rId3"/>
  </sheets>
  <definedNames>
    <definedName name="_xlnm._FilterDatabase" localSheetId="2" hidden="1">Sheet3!$A$2:$G$698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<sst xmlns="http://schemas.openxmlformats.org/spreadsheetml/2006/main" count="2941" uniqueCount="737">
  <si>
    <t>学号</t>
  </si>
  <si>
    <t>学生姓名</t>
  </si>
  <si>
    <t>语文</t>
  </si>
  <si>
    <t>数学</t>
  </si>
  <si>
    <t>英语</t>
  </si>
  <si>
    <t>政治</t>
  </si>
  <si>
    <t>历史</t>
  </si>
  <si>
    <t>蔡思腾</t>
  </si>
  <si>
    <t>曹智恺</t>
  </si>
  <si>
    <t>陈钧翔</t>
  </si>
  <si>
    <t>陈泽轩</t>
  </si>
  <si>
    <t>皋子昂</t>
  </si>
  <si>
    <t>郭芯彤</t>
  </si>
  <si>
    <t>韩欣怡</t>
  </si>
  <si>
    <t>李佳桓</t>
  </si>
  <si>
    <t>李俊毅</t>
  </si>
  <si>
    <t>李倩钰</t>
  </si>
  <si>
    <t>李伊晴</t>
  </si>
  <si>
    <t>梁羽翘</t>
  </si>
  <si>
    <t>林雅轩</t>
  </si>
  <si>
    <t>刘景仁</t>
  </si>
  <si>
    <t>刘子涵</t>
  </si>
  <si>
    <t>罗珈朗</t>
  </si>
  <si>
    <t>梅华</t>
  </si>
  <si>
    <t>欧昕妤</t>
  </si>
  <si>
    <t>欧阳希悦</t>
  </si>
  <si>
    <t>秦煊庭</t>
  </si>
  <si>
    <t>区子杰</t>
  </si>
  <si>
    <t>任可馨</t>
  </si>
  <si>
    <t>苏芮熙</t>
  </si>
  <si>
    <t>孙梓鸣</t>
  </si>
  <si>
    <t>太衍</t>
  </si>
  <si>
    <t>汤佳欣</t>
  </si>
  <si>
    <t>唐子清</t>
  </si>
  <si>
    <t>万舒昕</t>
  </si>
  <si>
    <t>罗靖雅</t>
  </si>
  <si>
    <t>王远泽</t>
  </si>
  <si>
    <t>吴泓槿</t>
  </si>
  <si>
    <t>谢依诺</t>
  </si>
  <si>
    <t>许慧欣</t>
  </si>
  <si>
    <t>张腾海</t>
  </si>
  <si>
    <t>张育嘉</t>
  </si>
  <si>
    <t>张梓馨</t>
  </si>
  <si>
    <t>钟家骏</t>
  </si>
  <si>
    <t>周建豪</t>
  </si>
  <si>
    <t>周明杰</t>
  </si>
  <si>
    <t>朱安妮</t>
  </si>
  <si>
    <t>朱忻悦</t>
  </si>
  <si>
    <t>曹安达</t>
  </si>
  <si>
    <t>陈建锋</t>
  </si>
  <si>
    <t>陈俊元</t>
  </si>
  <si>
    <t>陈康捷</t>
  </si>
  <si>
    <t>陈佩瑶</t>
  </si>
  <si>
    <t>陈晓媛</t>
  </si>
  <si>
    <t>陈信桦</t>
  </si>
  <si>
    <t>戴健庭</t>
  </si>
  <si>
    <t>邓子依</t>
  </si>
  <si>
    <t>樊纹畅</t>
  </si>
  <si>
    <t>范宇权</t>
  </si>
  <si>
    <t>黄慈静</t>
  </si>
  <si>
    <t>黄铭灏</t>
  </si>
  <si>
    <t>未扫，不计排名</t>
  </si>
  <si>
    <t>邝迎峰</t>
  </si>
  <si>
    <t>赖俊轩</t>
  </si>
  <si>
    <t>黎昊轩</t>
  </si>
  <si>
    <t>黎皓哲</t>
  </si>
  <si>
    <t>李济瑜</t>
  </si>
  <si>
    <t>李明轩</t>
  </si>
  <si>
    <t>李千海</t>
  </si>
  <si>
    <t>李宇涵</t>
  </si>
  <si>
    <t>梁洛迪</t>
  </si>
  <si>
    <t>廖紫媗</t>
  </si>
  <si>
    <t>林语童</t>
  </si>
  <si>
    <t>刘益馨</t>
  </si>
  <si>
    <t>卢泳妍</t>
  </si>
  <si>
    <t>潘晔莹</t>
  </si>
  <si>
    <t>全思雨</t>
  </si>
  <si>
    <t>任涵忆</t>
  </si>
  <si>
    <t>任咏之</t>
  </si>
  <si>
    <t>童瀚笛</t>
  </si>
  <si>
    <t>涂诗暄</t>
  </si>
  <si>
    <t>王雅萱</t>
  </si>
  <si>
    <t>王艺锦</t>
  </si>
  <si>
    <t>王永晴</t>
  </si>
  <si>
    <t>尹豪</t>
  </si>
  <si>
    <t>张晨曦</t>
  </si>
  <si>
    <t>张曼柔</t>
  </si>
  <si>
    <t>张艺娜</t>
  </si>
  <si>
    <t>张钰齐</t>
  </si>
  <si>
    <t>钟邦鸣</t>
  </si>
  <si>
    <t>钟洁莹</t>
  </si>
  <si>
    <t>王浩宇</t>
  </si>
  <si>
    <t>白韵灵</t>
  </si>
  <si>
    <t>曾涵语</t>
  </si>
  <si>
    <t>陈嘉炜</t>
  </si>
  <si>
    <t>陈健兴</t>
  </si>
  <si>
    <t>扶泽坤</t>
  </si>
  <si>
    <t>何灏晨</t>
  </si>
  <si>
    <t>洪庭钧</t>
  </si>
  <si>
    <t>黄爱胜</t>
  </si>
  <si>
    <t>黄焯</t>
  </si>
  <si>
    <t>黄家佳</t>
  </si>
  <si>
    <t>江岳燊</t>
  </si>
  <si>
    <t>邝晟竣</t>
  </si>
  <si>
    <t>旷梓辰</t>
  </si>
  <si>
    <t>赖炫均</t>
  </si>
  <si>
    <t>李天予</t>
  </si>
  <si>
    <t>李芷彤</t>
  </si>
  <si>
    <t>廖康成</t>
  </si>
  <si>
    <t>龙海悦</t>
  </si>
  <si>
    <t>卢泓睿</t>
  </si>
  <si>
    <t>毛佳婧</t>
  </si>
  <si>
    <t>莫芷淇</t>
  </si>
  <si>
    <t>莫子奕</t>
  </si>
  <si>
    <t>潘启竣</t>
  </si>
  <si>
    <t>汪心悦</t>
  </si>
  <si>
    <t>王煊</t>
  </si>
  <si>
    <t>王羽乔</t>
  </si>
  <si>
    <t>肖沛妍</t>
  </si>
  <si>
    <t>徐靖恒</t>
  </si>
  <si>
    <t>徐千惠</t>
  </si>
  <si>
    <t>许瀚之</t>
  </si>
  <si>
    <t>薛嘉欣</t>
  </si>
  <si>
    <t>杨上沅</t>
  </si>
  <si>
    <t>杨璿</t>
  </si>
  <si>
    <t>尹泰源</t>
  </si>
  <si>
    <t>岳一阳</t>
  </si>
  <si>
    <t>张皓涵</t>
  </si>
  <si>
    <t>张语欣</t>
  </si>
  <si>
    <t>钟靖潼</t>
  </si>
  <si>
    <t>钟文逸</t>
  </si>
  <si>
    <t>朱峰</t>
  </si>
  <si>
    <t>石荣熙</t>
  </si>
  <si>
    <t>陈骞瑶</t>
  </si>
  <si>
    <t>窦钧垚</t>
  </si>
  <si>
    <t>范梓慧</t>
  </si>
  <si>
    <t>高玉轩</t>
  </si>
  <si>
    <t>古卓妮</t>
  </si>
  <si>
    <t>洪晨曦</t>
  </si>
  <si>
    <t>胡嘉晴</t>
  </si>
  <si>
    <t>黄程</t>
  </si>
  <si>
    <t>黄昊</t>
  </si>
  <si>
    <t>黄柔嘉</t>
  </si>
  <si>
    <t>黄曦哲</t>
  </si>
  <si>
    <t>黄彦嘉</t>
  </si>
  <si>
    <t>黄紫恒</t>
  </si>
  <si>
    <t>李沐林</t>
  </si>
  <si>
    <t>李英泽</t>
  </si>
  <si>
    <t>林浩裕</t>
  </si>
  <si>
    <t>林立恒</t>
  </si>
  <si>
    <t>林烨泫</t>
  </si>
  <si>
    <t>林卓曦</t>
  </si>
  <si>
    <t>刘伟玮</t>
  </si>
  <si>
    <t>刘晓静</t>
  </si>
  <si>
    <t>骆晓萱</t>
  </si>
  <si>
    <t>毛君立</t>
  </si>
  <si>
    <t>欧阳嫣然</t>
  </si>
  <si>
    <t>沈峻宇</t>
  </si>
  <si>
    <t>汪承逸</t>
  </si>
  <si>
    <t>王伟鑫</t>
  </si>
  <si>
    <t>王欣慧颖</t>
  </si>
  <si>
    <t>王子豪</t>
  </si>
  <si>
    <t>王子奕</t>
  </si>
  <si>
    <t>吴嘉骏</t>
  </si>
  <si>
    <t>吴欣彤</t>
  </si>
  <si>
    <t>肖瑞希</t>
  </si>
  <si>
    <t>薛晨皓</t>
  </si>
  <si>
    <t>杨佳璇</t>
  </si>
  <si>
    <t>叶晨枫</t>
  </si>
  <si>
    <t>叶晞贤</t>
  </si>
  <si>
    <t>尹泽晟</t>
  </si>
  <si>
    <t>招俊阳</t>
  </si>
  <si>
    <t>周孜骐</t>
  </si>
  <si>
    <t>左寓凡</t>
  </si>
  <si>
    <t>曹乐航</t>
  </si>
  <si>
    <t>陈柄翰</t>
  </si>
  <si>
    <t>陈浩恩</t>
  </si>
  <si>
    <t>陈晏祈</t>
  </si>
  <si>
    <t>陈泳璇</t>
  </si>
  <si>
    <t>陈佑祺</t>
  </si>
  <si>
    <t>崔晋</t>
  </si>
  <si>
    <t>邓锦坤</t>
  </si>
  <si>
    <t>杜天朗</t>
  </si>
  <si>
    <t>郭思影</t>
  </si>
  <si>
    <t>韩承宜</t>
  </si>
  <si>
    <t>何静瑶</t>
  </si>
  <si>
    <t>蒋承哲</t>
  </si>
  <si>
    <t>金希</t>
  </si>
  <si>
    <t>李天翔</t>
  </si>
  <si>
    <t>梁梓昂</t>
  </si>
  <si>
    <t>龙梓晴</t>
  </si>
  <si>
    <t>骆子渲</t>
  </si>
  <si>
    <t>聂照原</t>
  </si>
  <si>
    <t>宋语欣</t>
  </si>
  <si>
    <t>孙熙城</t>
  </si>
  <si>
    <t>唐思唯</t>
  </si>
  <si>
    <t>汪翰铭</t>
  </si>
  <si>
    <t>王柯颖</t>
  </si>
  <si>
    <t>王培雄</t>
  </si>
  <si>
    <t>王梓萌</t>
  </si>
  <si>
    <t>王宗泽</t>
  </si>
  <si>
    <t>巫雨馨</t>
  </si>
  <si>
    <t>吴相泽</t>
  </si>
  <si>
    <t>吴雨宸</t>
  </si>
  <si>
    <t>徐梓涵</t>
  </si>
  <si>
    <t>许宗沛</t>
  </si>
  <si>
    <t>杨恩婕</t>
  </si>
  <si>
    <t>游哲皓</t>
  </si>
  <si>
    <t>张博荀</t>
  </si>
  <si>
    <t>张鸿进</t>
  </si>
  <si>
    <t>朱怡安</t>
  </si>
  <si>
    <t>黄颖熙</t>
  </si>
  <si>
    <t>颜子涵</t>
  </si>
  <si>
    <t>戴南馨</t>
  </si>
  <si>
    <t>周明辉</t>
  </si>
  <si>
    <t>蔡钰宸</t>
  </si>
  <si>
    <t>蔡泓毅</t>
  </si>
  <si>
    <t>蔡琦</t>
  </si>
  <si>
    <t>蔡荣声</t>
  </si>
  <si>
    <t>曹展豪</t>
  </si>
  <si>
    <t>曾思朗</t>
  </si>
  <si>
    <t>陈在宥</t>
  </si>
  <si>
    <t>董世钰</t>
  </si>
  <si>
    <t>方诗语</t>
  </si>
  <si>
    <t>胡乐仪</t>
  </si>
  <si>
    <t>黄海睿</t>
  </si>
  <si>
    <t>乐益玮</t>
  </si>
  <si>
    <t>黎圣翔</t>
  </si>
  <si>
    <t>李嘉冰</t>
  </si>
  <si>
    <t>李思妍</t>
  </si>
  <si>
    <t>李卓晟</t>
  </si>
  <si>
    <t>林欣怡</t>
  </si>
  <si>
    <t>林雅津</t>
  </si>
  <si>
    <t>刘恩在</t>
  </si>
  <si>
    <t>刘诗涵</t>
  </si>
  <si>
    <t>卢品悦</t>
  </si>
  <si>
    <t>罗珞莹</t>
  </si>
  <si>
    <t>罗铭增</t>
  </si>
  <si>
    <t>罗诗雨</t>
  </si>
  <si>
    <t>吕凤翔</t>
  </si>
  <si>
    <t>谭意涵</t>
  </si>
  <si>
    <t>王思淇</t>
  </si>
  <si>
    <t>王炜竣</t>
  </si>
  <si>
    <t>王梓谦</t>
  </si>
  <si>
    <t>伍宇熙</t>
  </si>
  <si>
    <t>谢沅凯</t>
  </si>
  <si>
    <t>徐晟鑫</t>
  </si>
  <si>
    <t>徐可潆</t>
  </si>
  <si>
    <t>许宸瑞</t>
  </si>
  <si>
    <t>许洛玮</t>
  </si>
  <si>
    <t>叶锦阳</t>
  </si>
  <si>
    <t>钟晨希</t>
  </si>
  <si>
    <t>周艺洋</t>
  </si>
  <si>
    <t>梁振豪</t>
  </si>
  <si>
    <t>汪宇棠</t>
  </si>
  <si>
    <t>张俊皓</t>
  </si>
  <si>
    <t>陈昂希</t>
  </si>
  <si>
    <t>陈润琦</t>
  </si>
  <si>
    <t>陈馨宁</t>
  </si>
  <si>
    <t>陈昱如</t>
  </si>
  <si>
    <t>何宛莹</t>
  </si>
  <si>
    <t>侯茗程</t>
  </si>
  <si>
    <t>胡文东</t>
  </si>
  <si>
    <t>黄一可</t>
  </si>
  <si>
    <t>黄雨熙</t>
  </si>
  <si>
    <t>景英哲</t>
  </si>
  <si>
    <t>李佳璐</t>
  </si>
  <si>
    <t>林梓妍</t>
  </si>
  <si>
    <t>刘畅</t>
  </si>
  <si>
    <t>刘智裕</t>
  </si>
  <si>
    <t>罗宝雯</t>
  </si>
  <si>
    <t>罗峻飞</t>
  </si>
  <si>
    <t>毛胤祺</t>
  </si>
  <si>
    <t>潘衍良</t>
  </si>
  <si>
    <t>彭铭梵</t>
  </si>
  <si>
    <t>舒正清</t>
  </si>
  <si>
    <t>汤东烨</t>
  </si>
  <si>
    <t>汤梓健</t>
  </si>
  <si>
    <t>王馨童</t>
  </si>
  <si>
    <t>王震烨</t>
  </si>
  <si>
    <t>王梓钧</t>
  </si>
  <si>
    <t>王梓一</t>
  </si>
  <si>
    <t>巫宇宸</t>
  </si>
  <si>
    <t>颜志琳</t>
  </si>
  <si>
    <t>杨俊乔</t>
  </si>
  <si>
    <t>杨睿轩</t>
  </si>
  <si>
    <t>杨悉</t>
  </si>
  <si>
    <t>张曦月</t>
  </si>
  <si>
    <t>张潇然</t>
  </si>
  <si>
    <t>张烨宸</t>
  </si>
  <si>
    <t>张智泉</t>
  </si>
  <si>
    <t>郑烨</t>
  </si>
  <si>
    <t>郑卓乐</t>
  </si>
  <si>
    <t>钟瑞鸿</t>
  </si>
  <si>
    <t>杨淇茗</t>
  </si>
  <si>
    <t>安珏亿</t>
  </si>
  <si>
    <t>曾俊烨</t>
  </si>
  <si>
    <t>曾祥杰</t>
  </si>
  <si>
    <t>曾乙洲</t>
  </si>
  <si>
    <t>陈嘉艺</t>
  </si>
  <si>
    <t>陈璟愉</t>
  </si>
  <si>
    <t>陈昕怡</t>
  </si>
  <si>
    <t>池祖昕</t>
  </si>
  <si>
    <t>何健宁</t>
  </si>
  <si>
    <t>洪梓隽</t>
  </si>
  <si>
    <t>黄伊漫</t>
  </si>
  <si>
    <t>赖其瀚</t>
  </si>
  <si>
    <t>兰馨</t>
  </si>
  <si>
    <t>黎馨雯</t>
  </si>
  <si>
    <t>李沛然</t>
  </si>
  <si>
    <t>李叔衡</t>
  </si>
  <si>
    <t>李馨予</t>
  </si>
  <si>
    <t>李易阳</t>
  </si>
  <si>
    <t>李雨涵</t>
  </si>
  <si>
    <t>刘旺恒星</t>
  </si>
  <si>
    <t>茅清源</t>
  </si>
  <si>
    <t>彭嘉乐</t>
  </si>
  <si>
    <t>邱钰雯</t>
  </si>
  <si>
    <t>区世羽</t>
  </si>
  <si>
    <t>沈碧瑶</t>
  </si>
  <si>
    <t>沈佳宥</t>
  </si>
  <si>
    <t>汤梓康</t>
  </si>
  <si>
    <t>万梓涵</t>
  </si>
  <si>
    <t>王凯迪</t>
  </si>
  <si>
    <t>王文曦</t>
  </si>
  <si>
    <t>危伟政</t>
  </si>
  <si>
    <t>吴仲迪</t>
  </si>
  <si>
    <t>熊启航</t>
  </si>
  <si>
    <t>殷彬晏</t>
  </si>
  <si>
    <t>张轩睿</t>
  </si>
  <si>
    <t>张子彦</t>
  </si>
  <si>
    <t>郑筠杨</t>
  </si>
  <si>
    <t>周家铭</t>
  </si>
  <si>
    <t>周倬名</t>
  </si>
  <si>
    <t>蔡明辰</t>
  </si>
  <si>
    <t>陈家盟</t>
  </si>
  <si>
    <t>丁祺珂</t>
  </si>
  <si>
    <t>范俊呈</t>
  </si>
  <si>
    <t>龚禹铭</t>
  </si>
  <si>
    <t>何卓衡</t>
  </si>
  <si>
    <t>黄瀚熙</t>
  </si>
  <si>
    <t>黄晓霖</t>
  </si>
  <si>
    <t>黄辛北</t>
  </si>
  <si>
    <t>黄炫伟</t>
  </si>
  <si>
    <t>李政锴</t>
  </si>
  <si>
    <t>梁俊逸</t>
  </si>
  <si>
    <t>梁兆坚</t>
  </si>
  <si>
    <t>廖瀚晨</t>
  </si>
  <si>
    <t>凌昊轩</t>
  </si>
  <si>
    <t>刘凡睿</t>
  </si>
  <si>
    <t>刘书涵</t>
  </si>
  <si>
    <t>刘玥辰</t>
  </si>
  <si>
    <t>卢子乐</t>
  </si>
  <si>
    <t>陆艺文</t>
  </si>
  <si>
    <t>罗熙</t>
  </si>
  <si>
    <t>罗心妤</t>
  </si>
  <si>
    <t>吕致远</t>
  </si>
  <si>
    <t>闵一帆</t>
  </si>
  <si>
    <t>彭凯辰</t>
  </si>
  <si>
    <t>秦习睿</t>
  </si>
  <si>
    <t>任晨菲</t>
  </si>
  <si>
    <t>宋星辰</t>
  </si>
  <si>
    <t>汤瑀霖</t>
  </si>
  <si>
    <t>王睿成</t>
  </si>
  <si>
    <t>谢浩辰</t>
  </si>
  <si>
    <t>杨谦诚</t>
  </si>
  <si>
    <t>杨卓睿</t>
  </si>
  <si>
    <t>张筱晰</t>
  </si>
  <si>
    <t>张梓梓</t>
  </si>
  <si>
    <t>赵诗潼</t>
  </si>
  <si>
    <t>郑思远</t>
  </si>
  <si>
    <t>朱梓荧</t>
  </si>
  <si>
    <t>庄忆西</t>
  </si>
  <si>
    <t>邱悦</t>
  </si>
  <si>
    <t>许梓琪</t>
  </si>
  <si>
    <t>陈瑾萱</t>
  </si>
  <si>
    <t>陈可汗</t>
  </si>
  <si>
    <t>陈乐嘉</t>
  </si>
  <si>
    <t>陈曼琦</t>
  </si>
  <si>
    <t>陈韬合</t>
  </si>
  <si>
    <t>陈奕良</t>
  </si>
  <si>
    <t>邓雅心</t>
  </si>
  <si>
    <t>邓育轩</t>
  </si>
  <si>
    <t>段雨涛</t>
  </si>
  <si>
    <t>方卓燊</t>
  </si>
  <si>
    <t>房星妤</t>
  </si>
  <si>
    <t>龚子晋</t>
  </si>
  <si>
    <t>胡柏浩</t>
  </si>
  <si>
    <t>胡崇根</t>
  </si>
  <si>
    <t>康景冰</t>
  </si>
  <si>
    <t>李灵珊</t>
  </si>
  <si>
    <t>李泊萱</t>
  </si>
  <si>
    <t>李奕可</t>
  </si>
  <si>
    <t>梁辰若溪</t>
  </si>
  <si>
    <t>梁羽菲</t>
  </si>
  <si>
    <t>刘晨希7119</t>
  </si>
  <si>
    <t>刘迅豪</t>
  </si>
  <si>
    <t>邱宇晨</t>
  </si>
  <si>
    <t>沈羽熙</t>
  </si>
  <si>
    <t>苏炜轩</t>
  </si>
  <si>
    <t>田博涛</t>
  </si>
  <si>
    <t>汪恺慧</t>
  </si>
  <si>
    <t>吴宣颐</t>
  </si>
  <si>
    <t>谢闻远</t>
  </si>
  <si>
    <t>颜宇瀚</t>
  </si>
  <si>
    <t>杨广曦</t>
  </si>
  <si>
    <t>杨智杰</t>
  </si>
  <si>
    <t>叶子龙</t>
  </si>
  <si>
    <t>阴思霖</t>
  </si>
  <si>
    <t>张浩瑞</t>
  </si>
  <si>
    <t>张家齐</t>
  </si>
  <si>
    <t>张鑫然</t>
  </si>
  <si>
    <t>张子傲</t>
  </si>
  <si>
    <t>赵姜烨</t>
  </si>
  <si>
    <t>钟王子</t>
  </si>
  <si>
    <t>陈韬行</t>
  </si>
  <si>
    <t>陈欣莹</t>
  </si>
  <si>
    <t>陈奕同</t>
  </si>
  <si>
    <t>董洛伊</t>
  </si>
  <si>
    <t>郭知远</t>
  </si>
  <si>
    <t>韩旭</t>
  </si>
  <si>
    <t>黄煜宁</t>
  </si>
  <si>
    <t>黄子琳</t>
  </si>
  <si>
    <t>焦浩轩</t>
  </si>
  <si>
    <t>李晨瑞</t>
  </si>
  <si>
    <t>李嘉晋</t>
  </si>
  <si>
    <t>李孝濂</t>
  </si>
  <si>
    <t>李亿</t>
  </si>
  <si>
    <t>林浩宇</t>
  </si>
  <si>
    <t>刘栢铭</t>
  </si>
  <si>
    <t>刘宏强</t>
  </si>
  <si>
    <t>刘芮汐</t>
  </si>
  <si>
    <t>卢德轩</t>
  </si>
  <si>
    <t>骆梓童</t>
  </si>
  <si>
    <t>吕伊鸣</t>
  </si>
  <si>
    <t>吕梓胤</t>
  </si>
  <si>
    <t>毛汐若</t>
  </si>
  <si>
    <t>莫承融</t>
  </si>
  <si>
    <t>潘星宇</t>
  </si>
  <si>
    <t>施嘉懿</t>
  </si>
  <si>
    <t>吴昊谦</t>
  </si>
  <si>
    <t>伍彦霖</t>
  </si>
  <si>
    <t>夏若轩</t>
  </si>
  <si>
    <t>向益璋</t>
  </si>
  <si>
    <t>许艺馨</t>
  </si>
  <si>
    <t>颜子皓</t>
  </si>
  <si>
    <t>叶明宽</t>
  </si>
  <si>
    <t>张金烨</t>
  </si>
  <si>
    <t>甄翊呈</t>
  </si>
  <si>
    <t>郑凯宁</t>
  </si>
  <si>
    <t>郑温家</t>
  </si>
  <si>
    <t>郑增钰</t>
  </si>
  <si>
    <t>钟俊卓</t>
  </si>
  <si>
    <t>朱熙正</t>
  </si>
  <si>
    <t>陈铮</t>
  </si>
  <si>
    <t>邓伟政</t>
  </si>
  <si>
    <t>冯耀广</t>
  </si>
  <si>
    <t>郭子卓</t>
  </si>
  <si>
    <t>何源鑫</t>
  </si>
  <si>
    <t>黄邦杰</t>
  </si>
  <si>
    <t>黄熙和</t>
  </si>
  <si>
    <t>金桐羽</t>
  </si>
  <si>
    <t>柯皓方</t>
  </si>
  <si>
    <t>雷语涵</t>
  </si>
  <si>
    <t>黎钧浩</t>
  </si>
  <si>
    <t>黎芷煊</t>
  </si>
  <si>
    <t>李昊城</t>
  </si>
  <si>
    <t>李华润</t>
  </si>
  <si>
    <t>刘晨希5457</t>
  </si>
  <si>
    <t>龙永城</t>
  </si>
  <si>
    <t>龙泽楷</t>
  </si>
  <si>
    <t>罗一航</t>
  </si>
  <si>
    <t>罗振宇</t>
  </si>
  <si>
    <t>马嘉桧</t>
  </si>
  <si>
    <t>麦隽铭</t>
  </si>
  <si>
    <t>彭晋和</t>
  </si>
  <si>
    <t>彭铭轩</t>
  </si>
  <si>
    <t>秦子为</t>
  </si>
  <si>
    <t>任嘉煊</t>
  </si>
  <si>
    <t>孙启恒</t>
  </si>
  <si>
    <t>王浩恩</t>
  </si>
  <si>
    <t>王伟轩</t>
  </si>
  <si>
    <t>温峻昊</t>
  </si>
  <si>
    <t>肖子涵</t>
  </si>
  <si>
    <t>杨安宁</t>
  </si>
  <si>
    <t>杨昊阳</t>
  </si>
  <si>
    <t>杨获成</t>
  </si>
  <si>
    <t>姚铭烜</t>
  </si>
  <si>
    <t>叶沐恩</t>
  </si>
  <si>
    <t>源淑容</t>
  </si>
  <si>
    <t>张益维</t>
  </si>
  <si>
    <t>张聿言</t>
  </si>
  <si>
    <t>赵燊赫</t>
  </si>
  <si>
    <t>赵彦昕</t>
  </si>
  <si>
    <t>陈佳鸿</t>
  </si>
  <si>
    <t>陈宣羽</t>
  </si>
  <si>
    <t>陈芷萱</t>
  </si>
  <si>
    <t>程博赢</t>
  </si>
  <si>
    <t>洪铭</t>
  </si>
  <si>
    <t>户智杰</t>
  </si>
  <si>
    <t>黄楚言</t>
  </si>
  <si>
    <t>李浩韫</t>
  </si>
  <si>
    <t>李沐阳</t>
  </si>
  <si>
    <t>李彦辰</t>
  </si>
  <si>
    <t>林楷桐</t>
  </si>
  <si>
    <t>凌伊薇</t>
  </si>
  <si>
    <t>罗施浩</t>
  </si>
  <si>
    <t>彭馨儿</t>
  </si>
  <si>
    <t>邱恩哲</t>
  </si>
  <si>
    <t>苏逸</t>
  </si>
  <si>
    <t>王馨瑶</t>
  </si>
  <si>
    <t>王张曦</t>
  </si>
  <si>
    <t>魏晗曦</t>
  </si>
  <si>
    <t>魏子晨</t>
  </si>
  <si>
    <t>吴宇涵</t>
  </si>
  <si>
    <t>吴玥</t>
  </si>
  <si>
    <t>伍羽晴</t>
  </si>
  <si>
    <t>伍泽轩</t>
  </si>
  <si>
    <t>肖博瀚</t>
  </si>
  <si>
    <t>熊景明</t>
  </si>
  <si>
    <t>杨雅琪</t>
  </si>
  <si>
    <t>杨梓灏</t>
  </si>
  <si>
    <t>姚皓然</t>
  </si>
  <si>
    <t>姚致勋</t>
  </si>
  <si>
    <t>于思淼</t>
  </si>
  <si>
    <t>詹楷涛</t>
  </si>
  <si>
    <t>张楚源</t>
  </si>
  <si>
    <t>张弘业</t>
  </si>
  <si>
    <t>张凯祺</t>
  </si>
  <si>
    <t>钟可欣</t>
  </si>
  <si>
    <t>周隽治</t>
  </si>
  <si>
    <t>朱哲旭</t>
  </si>
  <si>
    <t>朱芷瑶</t>
  </si>
  <si>
    <t>陈玥晴</t>
  </si>
  <si>
    <t>曾昱璇</t>
  </si>
  <si>
    <t>陈宇轩</t>
  </si>
  <si>
    <t>陈子轩</t>
  </si>
  <si>
    <t>范梓琳</t>
  </si>
  <si>
    <t>胡翔迪</t>
  </si>
  <si>
    <t>黄晨田</t>
  </si>
  <si>
    <t>黄浩彬</t>
  </si>
  <si>
    <t>黄晴</t>
  </si>
  <si>
    <t>江文晴</t>
  </si>
  <si>
    <t>李俊宏</t>
  </si>
  <si>
    <t>李舒涵</t>
  </si>
  <si>
    <t>李煜宸</t>
  </si>
  <si>
    <t>李梓皓</t>
  </si>
  <si>
    <t>林子依</t>
  </si>
  <si>
    <t>刘洋</t>
  </si>
  <si>
    <t>罗悦晴</t>
  </si>
  <si>
    <t>彭睿</t>
  </si>
  <si>
    <t>彭梓韵</t>
  </si>
  <si>
    <t>任静怡</t>
  </si>
  <si>
    <t>谭浚霆</t>
  </si>
  <si>
    <t>谭竣为</t>
  </si>
  <si>
    <t>王芊韵</t>
  </si>
  <si>
    <t>王体湲</t>
  </si>
  <si>
    <t>魏釨龙</t>
  </si>
  <si>
    <t>谢思翰</t>
  </si>
  <si>
    <t>徐毅</t>
  </si>
  <si>
    <t>张彤彤</t>
  </si>
  <si>
    <t>张倬玮</t>
  </si>
  <si>
    <t>甄瀚曦</t>
  </si>
  <si>
    <t>钟晓彤</t>
  </si>
  <si>
    <t>钟欣庭</t>
  </si>
  <si>
    <t>周柏毅</t>
  </si>
  <si>
    <t>周正源</t>
  </si>
  <si>
    <t>邹心怡</t>
  </si>
  <si>
    <t>徐瑞楷</t>
  </si>
  <si>
    <t>李耀霆</t>
  </si>
  <si>
    <t>方钰涵</t>
  </si>
  <si>
    <t>黄诗淇</t>
  </si>
  <si>
    <t>潘浩然</t>
  </si>
  <si>
    <t>陈国轩</t>
  </si>
  <si>
    <t>陈静涵</t>
  </si>
  <si>
    <t>陈思雅</t>
  </si>
  <si>
    <t>陈奕彬</t>
  </si>
  <si>
    <t>邓懿哲</t>
  </si>
  <si>
    <t>冯羡柔</t>
  </si>
  <si>
    <t>黄晨竣</t>
  </si>
  <si>
    <t>黄海坤</t>
  </si>
  <si>
    <t>黄诗韵</t>
  </si>
  <si>
    <t>黄兴煜</t>
  </si>
  <si>
    <t>姜皓天</t>
  </si>
  <si>
    <t>邝铭轩</t>
  </si>
  <si>
    <t>蓝紫丹</t>
  </si>
  <si>
    <t>黎晋铿</t>
  </si>
  <si>
    <t>李邦烨</t>
  </si>
  <si>
    <t>李辰希</t>
  </si>
  <si>
    <t>李承宇</t>
  </si>
  <si>
    <t>李镘茹</t>
  </si>
  <si>
    <t>李沛霖</t>
  </si>
  <si>
    <t>李晓欣</t>
  </si>
  <si>
    <t>李炘彤</t>
  </si>
  <si>
    <t>李雅楠</t>
  </si>
  <si>
    <t>刘宇轩</t>
  </si>
  <si>
    <t>刘悦可</t>
  </si>
  <si>
    <t>罗小米</t>
  </si>
  <si>
    <t>莫礼贤</t>
  </si>
  <si>
    <t>王凯志</t>
  </si>
  <si>
    <t>王镇霖</t>
  </si>
  <si>
    <t>熊正和</t>
  </si>
  <si>
    <t>杨昕元</t>
  </si>
  <si>
    <t>杨展昭</t>
  </si>
  <si>
    <t>张境芸</t>
  </si>
  <si>
    <t>张熙彤</t>
  </si>
  <si>
    <t>郑以琳</t>
  </si>
  <si>
    <t>郑又铭</t>
  </si>
  <si>
    <t>周慧语</t>
  </si>
  <si>
    <t>周晓珺</t>
  </si>
  <si>
    <t>周馨逸</t>
  </si>
  <si>
    <t>邹宇轩</t>
  </si>
  <si>
    <t>崔诚浩</t>
  </si>
  <si>
    <t>罗语萱</t>
  </si>
  <si>
    <t>蔡玮恺</t>
  </si>
  <si>
    <t>蔡嘉豪</t>
  </si>
  <si>
    <t>陈楷弘</t>
  </si>
  <si>
    <t>陈丽羽</t>
  </si>
  <si>
    <t>陈泰如</t>
  </si>
  <si>
    <t>陈子烨</t>
  </si>
  <si>
    <t>戴亦浩</t>
  </si>
  <si>
    <t>黄彦翎</t>
  </si>
  <si>
    <t>黄禹婷</t>
  </si>
  <si>
    <t>江笛子</t>
  </si>
  <si>
    <t>金秀妍</t>
  </si>
  <si>
    <t>黎子暄</t>
  </si>
  <si>
    <t>李晨扬</t>
  </si>
  <si>
    <t>李城铉</t>
  </si>
  <si>
    <t>李奕澎</t>
  </si>
  <si>
    <t>梁韬</t>
  </si>
  <si>
    <t>刘子菁</t>
  </si>
  <si>
    <t>陆钲沣</t>
  </si>
  <si>
    <t>骆祉呈</t>
  </si>
  <si>
    <t>屈俊成</t>
  </si>
  <si>
    <t>盛宇辰</t>
  </si>
  <si>
    <t>舒鑫柘</t>
  </si>
  <si>
    <t>孙子涵</t>
  </si>
  <si>
    <t>汤烁</t>
  </si>
  <si>
    <t>宛庆泽</t>
  </si>
  <si>
    <t>王辰锦</t>
  </si>
  <si>
    <t>王诗雅</t>
  </si>
  <si>
    <t>伍芷瑜</t>
  </si>
  <si>
    <t>萧子轩</t>
  </si>
  <si>
    <t>鄢可昕</t>
  </si>
  <si>
    <t>严逸欣</t>
  </si>
  <si>
    <t>杨雨萱</t>
  </si>
  <si>
    <t>叶梓熙</t>
  </si>
  <si>
    <t>叶紫茵</t>
  </si>
  <si>
    <t>尹浩天</t>
  </si>
  <si>
    <t>余可</t>
  </si>
  <si>
    <t>张楚轩</t>
  </si>
  <si>
    <t>张奕涵</t>
  </si>
  <si>
    <t>庄睿一</t>
  </si>
  <si>
    <t>张智恒</t>
  </si>
  <si>
    <t>钟梓豪</t>
  </si>
  <si>
    <t>鲍在晋</t>
  </si>
  <si>
    <t>车骏浩</t>
  </si>
  <si>
    <t>陈泓言</t>
  </si>
  <si>
    <t>陈锦盛</t>
  </si>
  <si>
    <t>陈启中</t>
  </si>
  <si>
    <t>陈星宇</t>
  </si>
  <si>
    <t>戴伊琳</t>
  </si>
  <si>
    <t>段晴岚</t>
  </si>
  <si>
    <t>段钇萱</t>
  </si>
  <si>
    <t>郭雨森</t>
  </si>
  <si>
    <t>何键荣</t>
  </si>
  <si>
    <t>洪嘉禧</t>
  </si>
  <si>
    <t>黄梓晟</t>
  </si>
  <si>
    <t>黄紫珊</t>
  </si>
  <si>
    <t>黎键恒</t>
  </si>
  <si>
    <t>李嘉淇</t>
  </si>
  <si>
    <t>李峻熙</t>
  </si>
  <si>
    <t>李雪晴</t>
  </si>
  <si>
    <t>廖敏怡</t>
  </si>
  <si>
    <t>林瑶</t>
  </si>
  <si>
    <t>刘易知</t>
  </si>
  <si>
    <t>刘梓峻</t>
  </si>
  <si>
    <t>龙耀钧</t>
  </si>
  <si>
    <t>骆泓灏</t>
  </si>
  <si>
    <t>毛迪</t>
  </si>
  <si>
    <t>苗诗涵</t>
  </si>
  <si>
    <t>潘宥羲</t>
  </si>
  <si>
    <t>戚鑫雅</t>
  </si>
  <si>
    <t>钱昭旭</t>
  </si>
  <si>
    <t>苏梓杰</t>
  </si>
  <si>
    <t>王蕴涵</t>
  </si>
  <si>
    <t>王子铱</t>
  </si>
  <si>
    <t>吴烨彰</t>
  </si>
  <si>
    <t>吴越施</t>
  </si>
  <si>
    <t>萧子君</t>
  </si>
  <si>
    <t>徐文彤</t>
  </si>
  <si>
    <t>赵天卓</t>
  </si>
  <si>
    <t>林雨彤</t>
  </si>
  <si>
    <t>黄子轩</t>
  </si>
  <si>
    <t>冯诗芸</t>
  </si>
  <si>
    <t>班级</t>
  </si>
  <si>
    <t>姓名</t>
  </si>
  <si>
    <t>道德与法治</t>
  </si>
  <si>
    <t>得分</t>
  </si>
  <si>
    <t>七年级10班</t>
  </si>
  <si>
    <t>七年级7班</t>
  </si>
  <si>
    <t>七年级11班</t>
  </si>
  <si>
    <t>七年级9班</t>
  </si>
  <si>
    <t>七年级12班</t>
  </si>
  <si>
    <t>严皓鹏</t>
  </si>
  <si>
    <t>七年级13班</t>
  </si>
  <si>
    <t>七年级5班</t>
  </si>
  <si>
    <t>七年级8班</t>
  </si>
  <si>
    <t>七年级3班</t>
  </si>
  <si>
    <t>七年级4班</t>
  </si>
  <si>
    <t>七年级1班</t>
  </si>
  <si>
    <t>七年级6班</t>
  </si>
  <si>
    <t>七年级2班</t>
  </si>
  <si>
    <r>
      <t>刘晨希</t>
    </r>
    <r>
      <rPr>
        <sz val="10"/>
        <rFont val="Arial"/>
        <charset val="0"/>
      </rPr>
      <t>7119</t>
    </r>
  </si>
  <si>
    <t>七年级17班</t>
  </si>
  <si>
    <t>七年级15班</t>
  </si>
  <si>
    <t>七年级14班</t>
  </si>
  <si>
    <t>七年级16班</t>
  </si>
  <si>
    <r>
      <t>刘晨希</t>
    </r>
    <r>
      <rPr>
        <sz val="10"/>
        <rFont val="Arial"/>
        <charset val="0"/>
      </rPr>
      <t>5457</t>
    </r>
  </si>
  <si>
    <t>苏颖怡</t>
  </si>
  <si>
    <t>杨钰婷</t>
  </si>
  <si>
    <t>赖文瑞</t>
  </si>
  <si>
    <t>廖钰彤</t>
  </si>
  <si>
    <t>张馨月</t>
  </si>
  <si>
    <t>李经民</t>
  </si>
  <si>
    <t>黄佳晖</t>
  </si>
  <si>
    <t>郑安迪</t>
  </si>
  <si>
    <t>戴梓晨</t>
  </si>
  <si>
    <t>郭一睿</t>
  </si>
  <si>
    <t>黄镇源</t>
  </si>
  <si>
    <t>赵屹骁</t>
  </si>
  <si>
    <t>邱子轩</t>
  </si>
  <si>
    <t>于子萱</t>
  </si>
  <si>
    <t>蔡景雯</t>
  </si>
  <si>
    <t>邓煜辰</t>
  </si>
  <si>
    <t>邱礼锟</t>
  </si>
  <si>
    <t>黄彦宏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</si>
</sst>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9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8"/>
  <sheetViews>
    <sheetView tabSelected="1" workbookViewId="0">
      <selection activeCell="A1" sqref="A1:G688"/>
    </sheetView>
  </sheetViews>
  <sheetFormatPr defaultColWidth="9.23076923076923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240101</v>
      </c>
      <c r="B2" t="s">
        <v>7</v>
      </c>
      <c r="C2">
        <v>93</v>
      </c>
      <c r="D2">
        <v>90</v>
      </c>
      <c r="E2">
        <v>101.5</v>
      </c>
      <c r="F2">
        <v>82</v>
      </c>
      <c r="G2">
        <v>64</v>
      </c>
    </row>
    <row r="3" spans="1:7">
      <c r="A3">
        <v>240102</v>
      </c>
      <c r="B3" t="s">
        <v>8</v>
      </c>
      <c r="C3">
        <v>61</v>
      </c>
      <c r="D3">
        <v>67</v>
      </c>
      <c r="E3">
        <v>67</v>
      </c>
      <c r="F3">
        <v>46</v>
      </c>
      <c r="G3">
        <v>45</v>
      </c>
    </row>
    <row r="4" spans="1:7">
      <c r="A4">
        <v>240103</v>
      </c>
      <c r="B4" t="s">
        <v>9</v>
      </c>
      <c r="C4">
        <v>78</v>
      </c>
      <c r="D4">
        <v>75</v>
      </c>
      <c r="E4">
        <v>89</v>
      </c>
      <c r="F4">
        <v>79</v>
      </c>
      <c r="G4">
        <v>65</v>
      </c>
    </row>
    <row r="5" spans="1:7">
      <c r="A5">
        <v>240104</v>
      </c>
      <c r="B5" t="s">
        <v>10</v>
      </c>
      <c r="C5">
        <v>88</v>
      </c>
      <c r="D5">
        <v>94</v>
      </c>
      <c r="E5">
        <v>90</v>
      </c>
      <c r="F5">
        <v>63</v>
      </c>
      <c r="G5">
        <v>57</v>
      </c>
    </row>
    <row r="6" spans="1:7">
      <c r="A6">
        <v>240105</v>
      </c>
      <c r="B6" t="s">
        <v>11</v>
      </c>
      <c r="C6">
        <v>82</v>
      </c>
      <c r="D6">
        <v>72</v>
      </c>
      <c r="E6">
        <v>83</v>
      </c>
      <c r="F6">
        <v>65</v>
      </c>
      <c r="G6">
        <v>47</v>
      </c>
    </row>
    <row r="7" spans="1:7">
      <c r="A7">
        <v>240106</v>
      </c>
      <c r="B7" t="s">
        <v>12</v>
      </c>
      <c r="C7">
        <v>103</v>
      </c>
      <c r="D7">
        <v>83</v>
      </c>
      <c r="E7">
        <v>113.5</v>
      </c>
      <c r="F7">
        <v>83</v>
      </c>
      <c r="G7">
        <v>54</v>
      </c>
    </row>
    <row r="8" spans="1:7">
      <c r="A8">
        <v>240107</v>
      </c>
      <c r="B8" t="s">
        <v>13</v>
      </c>
      <c r="C8">
        <v>93</v>
      </c>
      <c r="D8">
        <v>83</v>
      </c>
      <c r="E8">
        <v>91.5</v>
      </c>
      <c r="F8">
        <v>84</v>
      </c>
      <c r="G8">
        <v>63</v>
      </c>
    </row>
    <row r="9" spans="1:7">
      <c r="A9">
        <v>240108</v>
      </c>
      <c r="B9" t="s">
        <v>14</v>
      </c>
      <c r="C9">
        <v>75</v>
      </c>
      <c r="D9">
        <v>63</v>
      </c>
      <c r="E9">
        <v>81</v>
      </c>
      <c r="F9">
        <v>80</v>
      </c>
      <c r="G9">
        <v>64</v>
      </c>
    </row>
    <row r="10" spans="1:7">
      <c r="A10">
        <v>240109</v>
      </c>
      <c r="B10" t="s">
        <v>15</v>
      </c>
      <c r="C10">
        <v>84</v>
      </c>
      <c r="D10">
        <v>89</v>
      </c>
      <c r="E10">
        <v>80</v>
      </c>
      <c r="F10">
        <v>75</v>
      </c>
      <c r="G10">
        <v>63</v>
      </c>
    </row>
    <row r="11" spans="1:7">
      <c r="A11">
        <v>240110</v>
      </c>
      <c r="B11" t="s">
        <v>16</v>
      </c>
      <c r="C11">
        <v>97</v>
      </c>
      <c r="D11">
        <v>100</v>
      </c>
      <c r="E11">
        <v>90</v>
      </c>
      <c r="F11">
        <v>69</v>
      </c>
      <c r="G11">
        <v>68</v>
      </c>
    </row>
    <row r="12" spans="1:7">
      <c r="A12">
        <v>240111</v>
      </c>
      <c r="B12" t="s">
        <v>17</v>
      </c>
      <c r="C12">
        <v>92</v>
      </c>
      <c r="D12">
        <v>74</v>
      </c>
      <c r="E12">
        <v>83.5</v>
      </c>
      <c r="F12">
        <v>82</v>
      </c>
      <c r="G12">
        <v>70</v>
      </c>
    </row>
    <row r="13" spans="1:7">
      <c r="A13">
        <v>240112</v>
      </c>
      <c r="B13" t="s">
        <v>18</v>
      </c>
      <c r="C13">
        <v>94</v>
      </c>
      <c r="D13">
        <v>35</v>
      </c>
      <c r="E13">
        <v>87</v>
      </c>
      <c r="F13">
        <v>78</v>
      </c>
      <c r="G13">
        <v>60</v>
      </c>
    </row>
    <row r="14" spans="1:7">
      <c r="A14">
        <v>240113</v>
      </c>
      <c r="B14" t="s">
        <v>19</v>
      </c>
      <c r="C14">
        <v>101</v>
      </c>
      <c r="D14">
        <v>88</v>
      </c>
      <c r="E14">
        <v>96.5</v>
      </c>
      <c r="F14">
        <v>79</v>
      </c>
      <c r="G14">
        <v>74</v>
      </c>
    </row>
    <row r="15" spans="1:7">
      <c r="A15">
        <v>240114</v>
      </c>
      <c r="B15" t="s">
        <v>20</v>
      </c>
      <c r="C15">
        <v>76</v>
      </c>
      <c r="D15">
        <v>67</v>
      </c>
      <c r="E15">
        <v>75</v>
      </c>
      <c r="F15">
        <v>54</v>
      </c>
      <c r="G15">
        <v>68</v>
      </c>
    </row>
    <row r="16" spans="1:7">
      <c r="A16">
        <v>240115</v>
      </c>
      <c r="B16" t="s">
        <v>21</v>
      </c>
      <c r="C16">
        <v>86</v>
      </c>
      <c r="D16">
        <v>89</v>
      </c>
      <c r="E16">
        <v>91.5</v>
      </c>
      <c r="F16">
        <v>67</v>
      </c>
      <c r="G16">
        <v>65</v>
      </c>
    </row>
    <row r="17" spans="1:7">
      <c r="A17">
        <v>240116</v>
      </c>
      <c r="B17" t="s">
        <v>22</v>
      </c>
      <c r="C17">
        <v>91</v>
      </c>
      <c r="D17">
        <v>91</v>
      </c>
      <c r="E17">
        <v>104.5</v>
      </c>
      <c r="F17">
        <v>76</v>
      </c>
      <c r="G17">
        <v>68</v>
      </c>
    </row>
    <row r="18" spans="1:7">
      <c r="A18">
        <v>240117</v>
      </c>
      <c r="B18" t="s">
        <v>23</v>
      </c>
      <c r="C18">
        <v>73</v>
      </c>
      <c r="D18">
        <v>56</v>
      </c>
      <c r="E18">
        <v>19</v>
      </c>
      <c r="F18">
        <v>69</v>
      </c>
      <c r="G18">
        <v>71</v>
      </c>
    </row>
    <row r="19" spans="1:7">
      <c r="A19">
        <v>240118</v>
      </c>
      <c r="B19" t="s">
        <v>24</v>
      </c>
      <c r="C19">
        <v>102</v>
      </c>
      <c r="D19">
        <v>84</v>
      </c>
      <c r="E19">
        <v>111</v>
      </c>
      <c r="F19">
        <v>86</v>
      </c>
      <c r="G19">
        <v>76</v>
      </c>
    </row>
    <row r="20" spans="1:7">
      <c r="A20">
        <v>240119</v>
      </c>
      <c r="B20" t="s">
        <v>25</v>
      </c>
      <c r="C20">
        <v>95</v>
      </c>
      <c r="D20">
        <v>88</v>
      </c>
      <c r="E20">
        <v>92</v>
      </c>
      <c r="F20">
        <v>78</v>
      </c>
      <c r="G20">
        <v>69</v>
      </c>
    </row>
    <row r="21" spans="1:7">
      <c r="A21">
        <v>240120</v>
      </c>
      <c r="B21" t="s">
        <v>26</v>
      </c>
      <c r="C21">
        <v>92</v>
      </c>
      <c r="D21">
        <v>91</v>
      </c>
      <c r="E21">
        <v>101.5</v>
      </c>
      <c r="F21">
        <v>78</v>
      </c>
      <c r="G21">
        <v>75</v>
      </c>
    </row>
    <row r="22" spans="1:7">
      <c r="A22">
        <v>240121</v>
      </c>
      <c r="B22" t="s">
        <v>27</v>
      </c>
      <c r="C22">
        <v>88</v>
      </c>
      <c r="D22">
        <v>82</v>
      </c>
      <c r="E22">
        <v>107.5</v>
      </c>
      <c r="F22">
        <v>85</v>
      </c>
      <c r="G22">
        <v>78</v>
      </c>
    </row>
    <row r="23" spans="1:7">
      <c r="A23">
        <v>240122</v>
      </c>
      <c r="B23" t="s">
        <v>28</v>
      </c>
      <c r="C23">
        <v>92</v>
      </c>
      <c r="D23">
        <v>65</v>
      </c>
      <c r="E23">
        <v>102</v>
      </c>
      <c r="F23">
        <v>75</v>
      </c>
      <c r="G23">
        <v>65</v>
      </c>
    </row>
    <row r="24" spans="1:7">
      <c r="A24">
        <v>240123</v>
      </c>
      <c r="B24" t="s">
        <v>29</v>
      </c>
      <c r="C24">
        <v>91</v>
      </c>
      <c r="D24">
        <v>73</v>
      </c>
      <c r="E24">
        <v>98.5</v>
      </c>
      <c r="F24">
        <v>72</v>
      </c>
      <c r="G24">
        <v>62</v>
      </c>
    </row>
    <row r="25" spans="1:7">
      <c r="A25">
        <v>240124</v>
      </c>
      <c r="B25" t="s">
        <v>30</v>
      </c>
      <c r="C25">
        <v>80</v>
      </c>
      <c r="D25">
        <v>62</v>
      </c>
      <c r="E25">
        <v>76</v>
      </c>
      <c r="F25">
        <v>58</v>
      </c>
      <c r="G25">
        <v>59</v>
      </c>
    </row>
    <row r="26" spans="1:7">
      <c r="A26">
        <v>240125</v>
      </c>
      <c r="B26" t="s">
        <v>31</v>
      </c>
      <c r="C26">
        <v>90</v>
      </c>
      <c r="D26">
        <v>76</v>
      </c>
      <c r="E26">
        <v>95.5</v>
      </c>
      <c r="F26">
        <v>81</v>
      </c>
      <c r="G26">
        <v>54</v>
      </c>
    </row>
    <row r="27" spans="1:7">
      <c r="A27">
        <v>240126</v>
      </c>
      <c r="B27" t="s">
        <v>32</v>
      </c>
      <c r="C27">
        <v>101</v>
      </c>
      <c r="D27">
        <v>80</v>
      </c>
      <c r="E27">
        <v>100</v>
      </c>
      <c r="F27">
        <v>66</v>
      </c>
      <c r="G27">
        <v>72</v>
      </c>
    </row>
    <row r="28" spans="1:7">
      <c r="A28">
        <v>240127</v>
      </c>
      <c r="B28" t="s">
        <v>33</v>
      </c>
      <c r="C28">
        <v>91</v>
      </c>
      <c r="D28">
        <v>85</v>
      </c>
      <c r="E28">
        <v>103</v>
      </c>
      <c r="F28">
        <v>72</v>
      </c>
      <c r="G28">
        <v>76</v>
      </c>
    </row>
    <row r="29" spans="1:7">
      <c r="A29">
        <v>240128</v>
      </c>
      <c r="B29" t="s">
        <v>34</v>
      </c>
      <c r="C29">
        <v>94</v>
      </c>
      <c r="D29">
        <v>88</v>
      </c>
      <c r="E29">
        <v>92</v>
      </c>
      <c r="F29">
        <v>78</v>
      </c>
      <c r="G29">
        <v>77</v>
      </c>
    </row>
    <row r="30" spans="1:7">
      <c r="A30">
        <v>240129</v>
      </c>
      <c r="B30" t="s">
        <v>35</v>
      </c>
      <c r="C30">
        <v>56</v>
      </c>
      <c r="D30">
        <v>46</v>
      </c>
      <c r="E30">
        <v>68</v>
      </c>
      <c r="F30">
        <v>65</v>
      </c>
      <c r="G30">
        <v>48</v>
      </c>
    </row>
    <row r="31" spans="1:7">
      <c r="A31">
        <v>240130</v>
      </c>
      <c r="B31" t="s">
        <v>36</v>
      </c>
      <c r="C31">
        <v>80</v>
      </c>
      <c r="D31">
        <v>86</v>
      </c>
      <c r="E31">
        <v>74.5</v>
      </c>
      <c r="F31">
        <v>80</v>
      </c>
      <c r="G31">
        <v>54</v>
      </c>
    </row>
    <row r="32" spans="1:7">
      <c r="A32">
        <v>240131</v>
      </c>
      <c r="B32" t="s">
        <v>37</v>
      </c>
      <c r="C32">
        <v>74</v>
      </c>
      <c r="D32">
        <v>73</v>
      </c>
      <c r="E32">
        <v>74</v>
      </c>
      <c r="F32">
        <v>47</v>
      </c>
      <c r="G32">
        <v>65</v>
      </c>
    </row>
    <row r="33" spans="1:7">
      <c r="A33">
        <v>240132</v>
      </c>
      <c r="B33" t="s">
        <v>38</v>
      </c>
      <c r="C33">
        <v>97</v>
      </c>
      <c r="D33">
        <v>83</v>
      </c>
      <c r="E33">
        <v>107.5</v>
      </c>
      <c r="F33">
        <v>86</v>
      </c>
      <c r="G33">
        <v>63</v>
      </c>
    </row>
    <row r="34" spans="1:7">
      <c r="A34">
        <v>240133</v>
      </c>
      <c r="B34" t="s">
        <v>39</v>
      </c>
      <c r="C34">
        <v>97</v>
      </c>
      <c r="D34">
        <v>58</v>
      </c>
      <c r="E34">
        <v>103</v>
      </c>
      <c r="F34">
        <v>72</v>
      </c>
      <c r="G34">
        <v>70</v>
      </c>
    </row>
    <row r="35" spans="1:7">
      <c r="A35">
        <v>240134</v>
      </c>
      <c r="B35" t="s">
        <v>40</v>
      </c>
      <c r="C35">
        <v>94</v>
      </c>
      <c r="D35">
        <v>91</v>
      </c>
      <c r="E35">
        <v>90.5</v>
      </c>
      <c r="F35">
        <v>84</v>
      </c>
      <c r="G35">
        <v>68</v>
      </c>
    </row>
    <row r="36" spans="1:7">
      <c r="A36">
        <v>240135</v>
      </c>
      <c r="B36" t="s">
        <v>41</v>
      </c>
      <c r="C36">
        <v>89</v>
      </c>
      <c r="D36">
        <v>70</v>
      </c>
      <c r="E36">
        <v>86</v>
      </c>
      <c r="F36">
        <v>70</v>
      </c>
      <c r="G36">
        <v>67</v>
      </c>
    </row>
    <row r="37" spans="1:7">
      <c r="A37">
        <v>240136</v>
      </c>
      <c r="B37" t="s">
        <v>42</v>
      </c>
      <c r="C37">
        <v>85</v>
      </c>
      <c r="D37">
        <v>71</v>
      </c>
      <c r="E37">
        <v>66.5</v>
      </c>
      <c r="F37">
        <v>69</v>
      </c>
      <c r="G37">
        <v>54</v>
      </c>
    </row>
    <row r="38" spans="1:7">
      <c r="A38">
        <v>240137</v>
      </c>
      <c r="B38" t="s">
        <v>43</v>
      </c>
      <c r="C38">
        <v>104</v>
      </c>
      <c r="D38">
        <v>101</v>
      </c>
      <c r="E38">
        <v>107</v>
      </c>
      <c r="F38">
        <v>81</v>
      </c>
      <c r="G38">
        <v>77</v>
      </c>
    </row>
    <row r="39" spans="1:7">
      <c r="A39">
        <v>240138</v>
      </c>
      <c r="B39" t="s">
        <v>44</v>
      </c>
      <c r="C39">
        <v>80</v>
      </c>
      <c r="D39">
        <v>47</v>
      </c>
      <c r="E39">
        <v>50</v>
      </c>
      <c r="F39">
        <v>60</v>
      </c>
      <c r="G39">
        <v>44</v>
      </c>
    </row>
    <row r="40" spans="1:7">
      <c r="A40">
        <v>240139</v>
      </c>
      <c r="B40" t="s">
        <v>45</v>
      </c>
      <c r="C40">
        <v>94</v>
      </c>
      <c r="D40">
        <v>99</v>
      </c>
      <c r="E40">
        <v>108.5</v>
      </c>
      <c r="F40">
        <v>83</v>
      </c>
      <c r="G40">
        <v>85</v>
      </c>
    </row>
    <row r="41" spans="1:7">
      <c r="A41">
        <v>240140</v>
      </c>
      <c r="B41" t="s">
        <v>46</v>
      </c>
      <c r="C41">
        <v>97</v>
      </c>
      <c r="D41">
        <v>100</v>
      </c>
      <c r="E41">
        <v>91.5</v>
      </c>
      <c r="F41">
        <v>82</v>
      </c>
      <c r="G41">
        <v>79</v>
      </c>
    </row>
    <row r="42" spans="1:7">
      <c r="A42">
        <v>240141</v>
      </c>
      <c r="B42" t="s">
        <v>47</v>
      </c>
      <c r="C42">
        <v>105</v>
      </c>
      <c r="D42">
        <v>102</v>
      </c>
      <c r="E42">
        <v>107.5</v>
      </c>
      <c r="F42">
        <v>81</v>
      </c>
      <c r="G42">
        <v>80</v>
      </c>
    </row>
    <row r="43" spans="1:7">
      <c r="A43">
        <v>240201</v>
      </c>
      <c r="B43" t="s">
        <v>48</v>
      </c>
      <c r="C43">
        <v>89</v>
      </c>
      <c r="D43">
        <v>89</v>
      </c>
      <c r="E43">
        <v>99.5</v>
      </c>
      <c r="F43">
        <v>69</v>
      </c>
      <c r="G43">
        <v>79</v>
      </c>
    </row>
    <row r="44" spans="1:7">
      <c r="A44">
        <v>240202</v>
      </c>
      <c r="B44" t="s">
        <v>49</v>
      </c>
      <c r="C44">
        <v>79</v>
      </c>
      <c r="D44">
        <v>85</v>
      </c>
      <c r="E44">
        <v>93</v>
      </c>
      <c r="F44">
        <v>58</v>
      </c>
      <c r="G44">
        <v>50</v>
      </c>
    </row>
    <row r="45" spans="1:7">
      <c r="A45">
        <v>240203</v>
      </c>
      <c r="B45" t="s">
        <v>50</v>
      </c>
      <c r="C45">
        <v>94</v>
      </c>
      <c r="D45">
        <v>63</v>
      </c>
      <c r="E45">
        <v>72.5</v>
      </c>
      <c r="F45">
        <v>56</v>
      </c>
      <c r="G45">
        <v>74</v>
      </c>
    </row>
    <row r="46" spans="1:7">
      <c r="A46">
        <v>240204</v>
      </c>
      <c r="B46" t="s">
        <v>51</v>
      </c>
      <c r="C46">
        <v>75</v>
      </c>
      <c r="D46">
        <v>47</v>
      </c>
      <c r="E46">
        <v>48</v>
      </c>
      <c r="F46">
        <v>80</v>
      </c>
      <c r="G46">
        <v>60</v>
      </c>
    </row>
    <row r="47" spans="1:7">
      <c r="A47">
        <v>240205</v>
      </c>
      <c r="B47" t="s">
        <v>52</v>
      </c>
      <c r="C47">
        <v>87</v>
      </c>
      <c r="D47">
        <v>91</v>
      </c>
      <c r="E47">
        <v>102.5</v>
      </c>
      <c r="F47">
        <v>63</v>
      </c>
      <c r="G47">
        <v>60</v>
      </c>
    </row>
    <row r="48" spans="1:7">
      <c r="A48">
        <v>240206</v>
      </c>
      <c r="B48" t="s">
        <v>53</v>
      </c>
      <c r="C48">
        <v>87</v>
      </c>
      <c r="D48">
        <v>92</v>
      </c>
      <c r="E48">
        <v>115</v>
      </c>
      <c r="F48">
        <v>76</v>
      </c>
      <c r="G48">
        <v>84</v>
      </c>
    </row>
    <row r="49" spans="1:7">
      <c r="A49">
        <v>240207</v>
      </c>
      <c r="B49" t="s">
        <v>54</v>
      </c>
      <c r="C49">
        <v>82</v>
      </c>
      <c r="D49">
        <v>72</v>
      </c>
      <c r="E49">
        <v>103</v>
      </c>
      <c r="F49">
        <v>64</v>
      </c>
      <c r="G49">
        <v>73</v>
      </c>
    </row>
    <row r="50" spans="1:7">
      <c r="A50">
        <v>240208</v>
      </c>
      <c r="B50" t="s">
        <v>55</v>
      </c>
      <c r="C50">
        <v>80</v>
      </c>
      <c r="D50">
        <v>78</v>
      </c>
      <c r="E50">
        <v>89</v>
      </c>
      <c r="F50">
        <v>57</v>
      </c>
      <c r="G50">
        <v>51</v>
      </c>
    </row>
    <row r="51" spans="1:7">
      <c r="A51">
        <v>240209</v>
      </c>
      <c r="B51" t="s">
        <v>56</v>
      </c>
      <c r="C51">
        <v>103</v>
      </c>
      <c r="D51">
        <v>85</v>
      </c>
      <c r="E51">
        <v>109.5</v>
      </c>
      <c r="F51">
        <v>85</v>
      </c>
      <c r="G51">
        <v>82</v>
      </c>
    </row>
    <row r="52" spans="1:7">
      <c r="A52">
        <v>240210</v>
      </c>
      <c r="B52" t="s">
        <v>57</v>
      </c>
      <c r="C52">
        <v>91</v>
      </c>
      <c r="D52">
        <v>94</v>
      </c>
      <c r="E52">
        <v>97.5</v>
      </c>
      <c r="F52">
        <v>72</v>
      </c>
      <c r="G52">
        <v>69</v>
      </c>
    </row>
    <row r="53" spans="1:7">
      <c r="A53">
        <v>240211</v>
      </c>
      <c r="B53" t="s">
        <v>58</v>
      </c>
      <c r="C53">
        <v>88</v>
      </c>
      <c r="D53">
        <v>88</v>
      </c>
      <c r="E53">
        <v>101.5</v>
      </c>
      <c r="F53">
        <v>81</v>
      </c>
      <c r="G53">
        <v>80</v>
      </c>
    </row>
    <row r="54" spans="1:7">
      <c r="A54">
        <v>240212</v>
      </c>
      <c r="B54" t="s">
        <v>59</v>
      </c>
      <c r="C54">
        <v>74</v>
      </c>
      <c r="D54">
        <v>68</v>
      </c>
      <c r="E54">
        <v>64.5</v>
      </c>
      <c r="F54">
        <v>65</v>
      </c>
      <c r="G54">
        <v>57</v>
      </c>
    </row>
    <row r="55" spans="1:7">
      <c r="A55">
        <v>240213</v>
      </c>
      <c r="B55" t="s">
        <v>60</v>
      </c>
      <c r="C55" t="s">
        <v>61</v>
      </c>
      <c r="D55" t="s">
        <v>61</v>
      </c>
      <c r="E55" t="s">
        <v>61</v>
      </c>
      <c r="F55" t="s">
        <v>61</v>
      </c>
      <c r="G55" t="s">
        <v>61</v>
      </c>
    </row>
    <row r="56" spans="1:7">
      <c r="A56">
        <v>240214</v>
      </c>
      <c r="B56" t="s">
        <v>62</v>
      </c>
      <c r="C56">
        <v>99</v>
      </c>
      <c r="D56">
        <v>88</v>
      </c>
      <c r="E56">
        <v>110</v>
      </c>
      <c r="F56">
        <v>77</v>
      </c>
      <c r="G56">
        <v>78</v>
      </c>
    </row>
    <row r="57" spans="1:7">
      <c r="A57">
        <v>240215</v>
      </c>
      <c r="B57" t="s">
        <v>63</v>
      </c>
      <c r="C57">
        <v>87</v>
      </c>
      <c r="D57">
        <v>70</v>
      </c>
      <c r="E57">
        <v>91</v>
      </c>
      <c r="F57">
        <v>72</v>
      </c>
      <c r="G57">
        <v>53</v>
      </c>
    </row>
    <row r="58" spans="1:7">
      <c r="A58">
        <v>240216</v>
      </c>
      <c r="B58" t="s">
        <v>64</v>
      </c>
      <c r="C58">
        <v>89</v>
      </c>
      <c r="D58">
        <v>89</v>
      </c>
      <c r="E58">
        <v>101</v>
      </c>
      <c r="F58">
        <v>71</v>
      </c>
      <c r="G58">
        <v>48</v>
      </c>
    </row>
    <row r="59" spans="1:7">
      <c r="A59">
        <v>240217</v>
      </c>
      <c r="B59" t="s">
        <v>65</v>
      </c>
      <c r="C59">
        <v>85</v>
      </c>
      <c r="D59">
        <v>93</v>
      </c>
      <c r="E59">
        <v>110</v>
      </c>
      <c r="F59">
        <v>68</v>
      </c>
      <c r="G59">
        <v>62</v>
      </c>
    </row>
    <row r="60" spans="1:7">
      <c r="A60">
        <v>240218</v>
      </c>
      <c r="B60" t="s">
        <v>66</v>
      </c>
      <c r="C60">
        <v>103</v>
      </c>
      <c r="D60">
        <v>100</v>
      </c>
      <c r="E60">
        <v>105</v>
      </c>
      <c r="F60">
        <v>73</v>
      </c>
      <c r="G60">
        <v>80</v>
      </c>
    </row>
    <row r="61" spans="1:7">
      <c r="A61">
        <v>240219</v>
      </c>
      <c r="B61" t="s">
        <v>67</v>
      </c>
      <c r="C61">
        <v>96</v>
      </c>
      <c r="D61">
        <v>83</v>
      </c>
      <c r="E61">
        <v>90</v>
      </c>
      <c r="F61">
        <v>75</v>
      </c>
      <c r="G61">
        <v>58</v>
      </c>
    </row>
    <row r="62" spans="1:7">
      <c r="A62">
        <v>240220</v>
      </c>
      <c r="B62" t="s">
        <v>68</v>
      </c>
      <c r="C62">
        <v>89</v>
      </c>
      <c r="D62">
        <v>50</v>
      </c>
      <c r="E62">
        <v>78.5</v>
      </c>
      <c r="F62">
        <v>74</v>
      </c>
      <c r="G62">
        <v>59</v>
      </c>
    </row>
    <row r="63" spans="1:7">
      <c r="A63">
        <v>240221</v>
      </c>
      <c r="B63" t="s">
        <v>69</v>
      </c>
      <c r="C63">
        <v>83</v>
      </c>
      <c r="D63">
        <v>75</v>
      </c>
      <c r="E63">
        <v>100</v>
      </c>
      <c r="F63">
        <v>56</v>
      </c>
      <c r="G63">
        <v>64</v>
      </c>
    </row>
    <row r="64" spans="1:7">
      <c r="A64">
        <v>240222</v>
      </c>
      <c r="B64" t="s">
        <v>70</v>
      </c>
      <c r="C64">
        <v>91</v>
      </c>
      <c r="D64">
        <v>76</v>
      </c>
      <c r="E64">
        <v>102.5</v>
      </c>
      <c r="F64">
        <v>79</v>
      </c>
      <c r="G64">
        <v>64</v>
      </c>
    </row>
    <row r="65" spans="1:7">
      <c r="A65">
        <v>240223</v>
      </c>
      <c r="B65" t="s">
        <v>71</v>
      </c>
      <c r="C65">
        <v>91</v>
      </c>
      <c r="D65">
        <v>94</v>
      </c>
      <c r="E65">
        <v>101.5</v>
      </c>
      <c r="F65">
        <v>76</v>
      </c>
      <c r="G65">
        <v>76</v>
      </c>
    </row>
    <row r="66" spans="1:7">
      <c r="A66">
        <v>240224</v>
      </c>
      <c r="B66" t="s">
        <v>72</v>
      </c>
      <c r="C66">
        <v>96</v>
      </c>
      <c r="D66">
        <v>97</v>
      </c>
      <c r="E66">
        <v>101</v>
      </c>
      <c r="F66">
        <v>86</v>
      </c>
      <c r="G66">
        <v>73</v>
      </c>
    </row>
    <row r="67" spans="1:7">
      <c r="A67">
        <v>240225</v>
      </c>
      <c r="B67" t="s">
        <v>73</v>
      </c>
      <c r="C67">
        <v>83</v>
      </c>
      <c r="D67">
        <v>50</v>
      </c>
      <c r="E67">
        <v>73</v>
      </c>
      <c r="F67">
        <v>49</v>
      </c>
      <c r="G67">
        <v>54</v>
      </c>
    </row>
    <row r="68" spans="1:7">
      <c r="A68">
        <v>240226</v>
      </c>
      <c r="B68" t="s">
        <v>74</v>
      </c>
      <c r="C68">
        <v>96</v>
      </c>
      <c r="D68">
        <v>83</v>
      </c>
      <c r="E68">
        <v>105</v>
      </c>
      <c r="F68">
        <v>75</v>
      </c>
      <c r="G68">
        <v>71</v>
      </c>
    </row>
    <row r="69" spans="1:7">
      <c r="A69">
        <v>240227</v>
      </c>
      <c r="B69" t="s">
        <v>75</v>
      </c>
      <c r="C69">
        <v>82</v>
      </c>
      <c r="D69">
        <v>46</v>
      </c>
      <c r="E69">
        <v>71.5</v>
      </c>
      <c r="F69">
        <v>66</v>
      </c>
      <c r="G69">
        <v>47</v>
      </c>
    </row>
    <row r="70" spans="1:7">
      <c r="A70">
        <v>240228</v>
      </c>
      <c r="B70" t="s">
        <v>76</v>
      </c>
      <c r="C70">
        <v>88</v>
      </c>
      <c r="D70">
        <v>78</v>
      </c>
      <c r="E70">
        <v>88</v>
      </c>
      <c r="F70">
        <v>81</v>
      </c>
      <c r="G70">
        <v>75</v>
      </c>
    </row>
    <row r="71" spans="1:7">
      <c r="A71">
        <v>240229</v>
      </c>
      <c r="B71" t="s">
        <v>77</v>
      </c>
      <c r="C71">
        <v>66</v>
      </c>
      <c r="D71">
        <v>74</v>
      </c>
      <c r="E71">
        <v>43.5</v>
      </c>
      <c r="F71">
        <v>48</v>
      </c>
      <c r="G71">
        <v>25</v>
      </c>
    </row>
    <row r="72" spans="1:7">
      <c r="A72">
        <v>240230</v>
      </c>
      <c r="B72" t="s">
        <v>78</v>
      </c>
      <c r="C72">
        <v>100</v>
      </c>
      <c r="D72">
        <v>98</v>
      </c>
      <c r="E72">
        <v>102</v>
      </c>
      <c r="F72">
        <v>78</v>
      </c>
      <c r="G72">
        <v>71</v>
      </c>
    </row>
    <row r="73" spans="1:7">
      <c r="A73">
        <v>240231</v>
      </c>
      <c r="B73" t="s">
        <v>79</v>
      </c>
      <c r="C73">
        <v>90</v>
      </c>
      <c r="D73">
        <v>93</v>
      </c>
      <c r="E73">
        <v>98.5</v>
      </c>
      <c r="F73">
        <v>75</v>
      </c>
      <c r="G73">
        <v>80</v>
      </c>
    </row>
    <row r="74" spans="1:7">
      <c r="A74">
        <v>240232</v>
      </c>
      <c r="B74" t="s">
        <v>80</v>
      </c>
      <c r="C74">
        <v>98</v>
      </c>
      <c r="D74">
        <v>86</v>
      </c>
      <c r="E74">
        <v>97</v>
      </c>
      <c r="F74">
        <v>78</v>
      </c>
      <c r="G74">
        <v>73</v>
      </c>
    </row>
    <row r="75" spans="1:7">
      <c r="A75">
        <v>240233</v>
      </c>
      <c r="B75" t="s">
        <v>81</v>
      </c>
      <c r="C75">
        <v>78</v>
      </c>
      <c r="D75">
        <v>55</v>
      </c>
      <c r="E75">
        <v>82</v>
      </c>
      <c r="F75">
        <v>74</v>
      </c>
      <c r="G75">
        <v>52</v>
      </c>
    </row>
    <row r="76" spans="1:7">
      <c r="A76">
        <v>240234</v>
      </c>
      <c r="B76" t="s">
        <v>82</v>
      </c>
      <c r="C76">
        <v>81</v>
      </c>
      <c r="D76">
        <v>77</v>
      </c>
      <c r="E76">
        <v>91.5</v>
      </c>
      <c r="F76">
        <v>54</v>
      </c>
      <c r="G76">
        <v>69</v>
      </c>
    </row>
    <row r="77" spans="1:7">
      <c r="A77">
        <v>240235</v>
      </c>
      <c r="B77" t="s">
        <v>83</v>
      </c>
      <c r="C77">
        <v>101</v>
      </c>
      <c r="D77">
        <v>90</v>
      </c>
      <c r="E77">
        <v>108.5</v>
      </c>
      <c r="F77">
        <v>80</v>
      </c>
      <c r="G77">
        <v>84</v>
      </c>
    </row>
    <row r="78" spans="1:7">
      <c r="A78">
        <v>240236</v>
      </c>
      <c r="B78" t="s">
        <v>84</v>
      </c>
      <c r="C78">
        <v>81</v>
      </c>
      <c r="D78">
        <v>98</v>
      </c>
      <c r="E78">
        <v>101</v>
      </c>
      <c r="F78">
        <v>76</v>
      </c>
      <c r="G78">
        <v>59</v>
      </c>
    </row>
    <row r="79" spans="1:7">
      <c r="A79">
        <v>240237</v>
      </c>
      <c r="B79" t="s">
        <v>85</v>
      </c>
      <c r="C79">
        <v>93</v>
      </c>
      <c r="D79">
        <v>101</v>
      </c>
      <c r="E79">
        <v>114</v>
      </c>
      <c r="F79">
        <v>84</v>
      </c>
      <c r="G79">
        <v>79</v>
      </c>
    </row>
    <row r="80" spans="1:7">
      <c r="A80">
        <v>240238</v>
      </c>
      <c r="B80" t="s">
        <v>86</v>
      </c>
      <c r="C80">
        <v>99</v>
      </c>
      <c r="D80">
        <v>68</v>
      </c>
      <c r="E80">
        <v>80</v>
      </c>
      <c r="F80">
        <v>74</v>
      </c>
      <c r="G80">
        <v>48</v>
      </c>
    </row>
    <row r="81" spans="1:7">
      <c r="A81">
        <v>240239</v>
      </c>
      <c r="B81" t="s">
        <v>87</v>
      </c>
      <c r="C81">
        <v>101</v>
      </c>
      <c r="D81">
        <v>89</v>
      </c>
      <c r="E81">
        <v>113</v>
      </c>
      <c r="F81">
        <v>84</v>
      </c>
      <c r="G81">
        <v>77</v>
      </c>
    </row>
    <row r="82" spans="1:7">
      <c r="A82">
        <v>240240</v>
      </c>
      <c r="B82" t="s">
        <v>88</v>
      </c>
      <c r="C82">
        <v>83</v>
      </c>
      <c r="D82">
        <v>86</v>
      </c>
      <c r="E82">
        <v>100.5</v>
      </c>
      <c r="F82">
        <v>75</v>
      </c>
      <c r="G82">
        <v>79</v>
      </c>
    </row>
    <row r="83" spans="1:7">
      <c r="A83">
        <v>240241</v>
      </c>
      <c r="B83" t="s">
        <v>89</v>
      </c>
      <c r="C83">
        <v>83</v>
      </c>
      <c r="D83">
        <v>72</v>
      </c>
      <c r="E83">
        <v>101.5</v>
      </c>
      <c r="F83">
        <v>74</v>
      </c>
      <c r="G83">
        <v>71</v>
      </c>
    </row>
    <row r="84" spans="1:7">
      <c r="A84">
        <v>240242</v>
      </c>
      <c r="B84" t="s">
        <v>90</v>
      </c>
      <c r="C84">
        <v>92</v>
      </c>
      <c r="D84">
        <v>96</v>
      </c>
      <c r="E84">
        <v>103</v>
      </c>
      <c r="F84">
        <v>80</v>
      </c>
      <c r="G84">
        <v>80</v>
      </c>
    </row>
    <row r="85" spans="1:7">
      <c r="A85">
        <v>241317</v>
      </c>
      <c r="B85" t="s">
        <v>91</v>
      </c>
      <c r="C85">
        <v>68</v>
      </c>
      <c r="D85">
        <v>68</v>
      </c>
      <c r="E85">
        <v>80.5</v>
      </c>
      <c r="F85">
        <v>55</v>
      </c>
      <c r="G85">
        <v>61</v>
      </c>
    </row>
    <row r="86" spans="1:7">
      <c r="A86">
        <v>240301</v>
      </c>
      <c r="B86" t="s">
        <v>92</v>
      </c>
      <c r="C86">
        <v>93</v>
      </c>
      <c r="D86">
        <v>51</v>
      </c>
      <c r="E86">
        <v>99</v>
      </c>
      <c r="F86">
        <v>87</v>
      </c>
      <c r="G86">
        <v>58</v>
      </c>
    </row>
    <row r="87" spans="1:7">
      <c r="A87">
        <v>240302</v>
      </c>
      <c r="B87" t="s">
        <v>93</v>
      </c>
      <c r="C87">
        <v>93</v>
      </c>
      <c r="D87">
        <v>91</v>
      </c>
      <c r="E87">
        <v>108</v>
      </c>
      <c r="F87">
        <v>81</v>
      </c>
      <c r="G87">
        <v>76</v>
      </c>
    </row>
    <row r="88" spans="1:7">
      <c r="A88">
        <v>240303</v>
      </c>
      <c r="B88" t="s">
        <v>94</v>
      </c>
      <c r="C88">
        <v>109</v>
      </c>
      <c r="D88">
        <v>95</v>
      </c>
      <c r="E88">
        <v>105.5</v>
      </c>
      <c r="F88">
        <v>81</v>
      </c>
      <c r="G88">
        <v>79</v>
      </c>
    </row>
    <row r="89" spans="1:7">
      <c r="A89">
        <v>240304</v>
      </c>
      <c r="B89" t="s">
        <v>95</v>
      </c>
      <c r="C89">
        <v>89</v>
      </c>
      <c r="D89">
        <v>65</v>
      </c>
      <c r="E89">
        <v>69.5</v>
      </c>
      <c r="F89">
        <v>61</v>
      </c>
      <c r="G89">
        <v>66</v>
      </c>
    </row>
    <row r="90" spans="1:7">
      <c r="A90">
        <v>240305</v>
      </c>
      <c r="B90" t="s">
        <v>96</v>
      </c>
      <c r="C90">
        <v>96</v>
      </c>
      <c r="D90">
        <v>89</v>
      </c>
      <c r="E90">
        <v>102.5</v>
      </c>
      <c r="F90">
        <v>76</v>
      </c>
      <c r="G90">
        <v>78</v>
      </c>
    </row>
    <row r="91" spans="1:7">
      <c r="A91">
        <v>240306</v>
      </c>
      <c r="B91" t="s">
        <v>97</v>
      </c>
      <c r="C91">
        <v>89</v>
      </c>
      <c r="D91">
        <v>51</v>
      </c>
      <c r="E91">
        <v>97.5</v>
      </c>
      <c r="F91">
        <v>60</v>
      </c>
      <c r="G91">
        <v>77</v>
      </c>
    </row>
    <row r="92" spans="1:7">
      <c r="A92">
        <v>240307</v>
      </c>
      <c r="B92" t="s">
        <v>98</v>
      </c>
      <c r="C92">
        <v>81</v>
      </c>
      <c r="D92">
        <v>77</v>
      </c>
      <c r="E92">
        <v>74</v>
      </c>
      <c r="F92">
        <v>77</v>
      </c>
      <c r="G92">
        <v>77</v>
      </c>
    </row>
    <row r="93" spans="1:7">
      <c r="A93">
        <v>240308</v>
      </c>
      <c r="B93" t="s">
        <v>99</v>
      </c>
      <c r="C93">
        <v>94</v>
      </c>
      <c r="D93">
        <v>75</v>
      </c>
      <c r="E93">
        <v>85</v>
      </c>
      <c r="F93">
        <v>66</v>
      </c>
      <c r="G93">
        <v>64</v>
      </c>
    </row>
    <row r="94" spans="1:7">
      <c r="A94">
        <v>240309</v>
      </c>
      <c r="B94" t="s">
        <v>100</v>
      </c>
      <c r="C94">
        <v>96</v>
      </c>
      <c r="D94">
        <v>101</v>
      </c>
      <c r="E94">
        <v>111</v>
      </c>
      <c r="F94">
        <v>78</v>
      </c>
      <c r="G94">
        <v>79</v>
      </c>
    </row>
    <row r="95" spans="1:7">
      <c r="A95">
        <v>240311</v>
      </c>
      <c r="B95" t="s">
        <v>101</v>
      </c>
      <c r="C95">
        <v>65</v>
      </c>
      <c r="D95">
        <v>45</v>
      </c>
      <c r="E95">
        <v>75.5</v>
      </c>
      <c r="F95">
        <v>59</v>
      </c>
      <c r="G95">
        <v>48</v>
      </c>
    </row>
    <row r="96" spans="1:7">
      <c r="A96">
        <v>240312</v>
      </c>
      <c r="B96" t="s">
        <v>102</v>
      </c>
      <c r="C96" t="s">
        <v>61</v>
      </c>
      <c r="D96" t="s">
        <v>61</v>
      </c>
      <c r="E96" t="s">
        <v>61</v>
      </c>
      <c r="F96" t="s">
        <v>61</v>
      </c>
      <c r="G96" t="s">
        <v>61</v>
      </c>
    </row>
    <row r="97" spans="1:7">
      <c r="A97">
        <v>240313</v>
      </c>
      <c r="B97" t="s">
        <v>103</v>
      </c>
      <c r="C97">
        <v>72</v>
      </c>
      <c r="D97">
        <v>93</v>
      </c>
      <c r="E97">
        <v>78.5</v>
      </c>
      <c r="F97">
        <v>55</v>
      </c>
      <c r="G97">
        <v>65</v>
      </c>
    </row>
    <row r="98" spans="1:7">
      <c r="A98">
        <v>240314</v>
      </c>
      <c r="B98" t="s">
        <v>104</v>
      </c>
      <c r="C98">
        <v>100</v>
      </c>
      <c r="D98">
        <v>66</v>
      </c>
      <c r="E98">
        <v>102</v>
      </c>
      <c r="F98">
        <v>85</v>
      </c>
      <c r="G98">
        <v>62</v>
      </c>
    </row>
    <row r="99" spans="1:7">
      <c r="A99">
        <v>240315</v>
      </c>
      <c r="B99" t="s">
        <v>105</v>
      </c>
      <c r="C99">
        <v>99</v>
      </c>
      <c r="D99">
        <v>87</v>
      </c>
      <c r="E99">
        <v>104</v>
      </c>
      <c r="F99">
        <v>89</v>
      </c>
      <c r="G99">
        <v>86</v>
      </c>
    </row>
    <row r="100" spans="1:7">
      <c r="A100">
        <v>240316</v>
      </c>
      <c r="B100" t="s">
        <v>106</v>
      </c>
      <c r="C100">
        <v>94</v>
      </c>
      <c r="D100">
        <v>84</v>
      </c>
      <c r="E100">
        <v>101</v>
      </c>
      <c r="F100">
        <v>68</v>
      </c>
      <c r="G100">
        <v>66</v>
      </c>
    </row>
    <row r="101" spans="1:7">
      <c r="A101">
        <v>240317</v>
      </c>
      <c r="B101" t="s">
        <v>107</v>
      </c>
      <c r="C101">
        <v>85</v>
      </c>
      <c r="D101">
        <v>95</v>
      </c>
      <c r="E101">
        <v>101.5</v>
      </c>
      <c r="F101">
        <v>83</v>
      </c>
      <c r="G101">
        <v>74</v>
      </c>
    </row>
    <row r="102" spans="1:7">
      <c r="A102">
        <v>240318</v>
      </c>
      <c r="B102" t="s">
        <v>108</v>
      </c>
      <c r="C102">
        <v>84</v>
      </c>
      <c r="D102">
        <v>87</v>
      </c>
      <c r="E102">
        <v>77</v>
      </c>
      <c r="F102">
        <v>72</v>
      </c>
      <c r="G102">
        <v>58</v>
      </c>
    </row>
    <row r="103" spans="1:7">
      <c r="A103">
        <v>240319</v>
      </c>
      <c r="B103" t="s">
        <v>109</v>
      </c>
      <c r="C103">
        <v>99</v>
      </c>
      <c r="D103">
        <v>65</v>
      </c>
      <c r="E103">
        <v>101.5</v>
      </c>
      <c r="F103">
        <v>83</v>
      </c>
      <c r="G103">
        <v>68</v>
      </c>
    </row>
    <row r="104" spans="1:7">
      <c r="A104">
        <v>240320</v>
      </c>
      <c r="B104" t="s">
        <v>110</v>
      </c>
      <c r="C104">
        <v>86</v>
      </c>
      <c r="D104">
        <v>77</v>
      </c>
      <c r="E104">
        <v>101</v>
      </c>
      <c r="F104">
        <v>67</v>
      </c>
      <c r="G104">
        <v>66</v>
      </c>
    </row>
    <row r="105" spans="1:7">
      <c r="A105">
        <v>240321</v>
      </c>
      <c r="B105" t="s">
        <v>111</v>
      </c>
      <c r="C105">
        <v>91</v>
      </c>
      <c r="D105">
        <v>75</v>
      </c>
      <c r="E105">
        <v>70</v>
      </c>
      <c r="F105">
        <v>68</v>
      </c>
      <c r="G105">
        <v>64</v>
      </c>
    </row>
    <row r="106" spans="1:7">
      <c r="A106">
        <v>240322</v>
      </c>
      <c r="B106" t="s">
        <v>112</v>
      </c>
      <c r="C106">
        <v>105</v>
      </c>
      <c r="D106">
        <v>74</v>
      </c>
      <c r="E106">
        <v>108</v>
      </c>
      <c r="F106">
        <v>86</v>
      </c>
      <c r="G106">
        <v>70</v>
      </c>
    </row>
    <row r="107" spans="1:7">
      <c r="A107">
        <v>240323</v>
      </c>
      <c r="B107" t="s">
        <v>113</v>
      </c>
      <c r="C107">
        <v>105</v>
      </c>
      <c r="D107">
        <v>104</v>
      </c>
      <c r="E107">
        <v>111.5</v>
      </c>
      <c r="F107">
        <v>88</v>
      </c>
      <c r="G107">
        <v>83</v>
      </c>
    </row>
    <row r="108" spans="1:7">
      <c r="A108">
        <v>240324</v>
      </c>
      <c r="B108" t="s">
        <v>114</v>
      </c>
      <c r="C108">
        <v>97</v>
      </c>
      <c r="D108">
        <v>98</v>
      </c>
      <c r="E108">
        <v>99.5</v>
      </c>
      <c r="F108">
        <v>73</v>
      </c>
      <c r="G108">
        <v>73</v>
      </c>
    </row>
    <row r="109" spans="1:7">
      <c r="A109">
        <v>240325</v>
      </c>
      <c r="B109" t="s">
        <v>115</v>
      </c>
      <c r="C109">
        <v>85</v>
      </c>
      <c r="D109">
        <v>52</v>
      </c>
      <c r="E109">
        <v>76</v>
      </c>
      <c r="F109">
        <v>68</v>
      </c>
      <c r="G109">
        <v>81</v>
      </c>
    </row>
    <row r="110" spans="1:7">
      <c r="A110">
        <v>240326</v>
      </c>
      <c r="B110" t="s">
        <v>116</v>
      </c>
      <c r="C110">
        <v>93</v>
      </c>
      <c r="D110">
        <v>68</v>
      </c>
      <c r="E110">
        <v>111</v>
      </c>
      <c r="F110">
        <v>86</v>
      </c>
      <c r="G110">
        <v>63</v>
      </c>
    </row>
    <row r="111" spans="1:7">
      <c r="A111">
        <v>240327</v>
      </c>
      <c r="B111" t="s">
        <v>117</v>
      </c>
      <c r="C111">
        <v>104</v>
      </c>
      <c r="D111">
        <v>91</v>
      </c>
      <c r="E111">
        <v>102.5</v>
      </c>
      <c r="F111">
        <v>67</v>
      </c>
      <c r="G111">
        <v>57</v>
      </c>
    </row>
    <row r="112" spans="1:7">
      <c r="A112">
        <v>240328</v>
      </c>
      <c r="B112" t="s">
        <v>118</v>
      </c>
      <c r="C112">
        <v>101</v>
      </c>
      <c r="D112">
        <v>98</v>
      </c>
      <c r="E112">
        <v>105</v>
      </c>
      <c r="F112">
        <v>89</v>
      </c>
      <c r="G112">
        <v>70</v>
      </c>
    </row>
    <row r="113" spans="1:7">
      <c r="A113">
        <v>240329</v>
      </c>
      <c r="B113" t="s">
        <v>119</v>
      </c>
      <c r="C113">
        <v>94</v>
      </c>
      <c r="D113">
        <v>88</v>
      </c>
      <c r="E113">
        <v>80</v>
      </c>
      <c r="F113">
        <v>71</v>
      </c>
      <c r="G113">
        <v>77</v>
      </c>
    </row>
    <row r="114" spans="1:7">
      <c r="A114">
        <v>240330</v>
      </c>
      <c r="B114" t="s">
        <v>120</v>
      </c>
      <c r="C114">
        <v>102</v>
      </c>
      <c r="D114">
        <v>80</v>
      </c>
      <c r="E114">
        <v>96.5</v>
      </c>
      <c r="F114">
        <v>71</v>
      </c>
      <c r="G114">
        <v>72</v>
      </c>
    </row>
    <row r="115" spans="1:7">
      <c r="A115">
        <v>240331</v>
      </c>
      <c r="B115" t="s">
        <v>121</v>
      </c>
      <c r="C115">
        <v>79</v>
      </c>
      <c r="D115">
        <v>82</v>
      </c>
      <c r="E115">
        <v>97.5</v>
      </c>
      <c r="F115">
        <v>50</v>
      </c>
      <c r="G115">
        <v>39</v>
      </c>
    </row>
    <row r="116" spans="1:7">
      <c r="A116">
        <v>240332</v>
      </c>
      <c r="B116" t="s">
        <v>122</v>
      </c>
      <c r="C116">
        <v>98</v>
      </c>
      <c r="D116">
        <v>99</v>
      </c>
      <c r="E116">
        <v>105.5</v>
      </c>
      <c r="F116">
        <v>89</v>
      </c>
      <c r="G116">
        <v>75</v>
      </c>
    </row>
    <row r="117" spans="1:7">
      <c r="A117">
        <v>240333</v>
      </c>
      <c r="B117" t="s">
        <v>123</v>
      </c>
      <c r="C117">
        <v>92</v>
      </c>
      <c r="D117">
        <v>95</v>
      </c>
      <c r="E117">
        <v>104.5</v>
      </c>
      <c r="F117">
        <v>68</v>
      </c>
      <c r="G117">
        <v>59</v>
      </c>
    </row>
    <row r="118" spans="1:7">
      <c r="A118">
        <v>240334</v>
      </c>
      <c r="B118" t="s">
        <v>124</v>
      </c>
      <c r="C118">
        <v>92</v>
      </c>
      <c r="D118">
        <v>61</v>
      </c>
      <c r="E118">
        <v>94</v>
      </c>
      <c r="F118">
        <v>69</v>
      </c>
      <c r="G118">
        <v>56</v>
      </c>
    </row>
    <row r="119" spans="1:7">
      <c r="A119">
        <v>240335</v>
      </c>
      <c r="B119" t="s">
        <v>125</v>
      </c>
      <c r="C119">
        <v>82</v>
      </c>
      <c r="D119">
        <v>85</v>
      </c>
      <c r="E119">
        <v>73</v>
      </c>
      <c r="F119">
        <v>60</v>
      </c>
      <c r="G119">
        <v>72</v>
      </c>
    </row>
    <row r="120" spans="1:7">
      <c r="A120">
        <v>240336</v>
      </c>
      <c r="B120" t="s">
        <v>126</v>
      </c>
      <c r="C120">
        <v>99</v>
      </c>
      <c r="D120">
        <v>96</v>
      </c>
      <c r="E120">
        <v>102.5</v>
      </c>
      <c r="F120">
        <v>88</v>
      </c>
      <c r="G120">
        <v>76</v>
      </c>
    </row>
    <row r="121" spans="1:7">
      <c r="A121">
        <v>240337</v>
      </c>
      <c r="B121" t="s">
        <v>127</v>
      </c>
      <c r="C121">
        <v>106</v>
      </c>
      <c r="D121">
        <v>79</v>
      </c>
      <c r="E121">
        <v>103.5</v>
      </c>
      <c r="F121">
        <v>88</v>
      </c>
      <c r="G121">
        <v>69</v>
      </c>
    </row>
    <row r="122" spans="1:7">
      <c r="A122">
        <v>240338</v>
      </c>
      <c r="B122" t="s">
        <v>128</v>
      </c>
      <c r="C122">
        <v>88</v>
      </c>
      <c r="D122">
        <v>50</v>
      </c>
      <c r="E122">
        <v>96.5</v>
      </c>
      <c r="F122">
        <v>85</v>
      </c>
      <c r="G122">
        <v>62</v>
      </c>
    </row>
    <row r="123" spans="1:7">
      <c r="A123">
        <v>240339</v>
      </c>
      <c r="B123" t="s">
        <v>129</v>
      </c>
      <c r="C123">
        <v>84</v>
      </c>
      <c r="D123">
        <v>47</v>
      </c>
      <c r="E123">
        <v>80</v>
      </c>
      <c r="F123">
        <v>71</v>
      </c>
      <c r="G123">
        <v>70</v>
      </c>
    </row>
    <row r="124" spans="1:7">
      <c r="A124">
        <v>240340</v>
      </c>
      <c r="B124" t="s">
        <v>130</v>
      </c>
      <c r="C124">
        <v>86</v>
      </c>
      <c r="D124">
        <v>65</v>
      </c>
      <c r="E124">
        <v>63</v>
      </c>
      <c r="F124">
        <v>59</v>
      </c>
      <c r="G124">
        <v>53</v>
      </c>
    </row>
    <row r="125" spans="1:7">
      <c r="A125">
        <v>240341</v>
      </c>
      <c r="B125" t="s">
        <v>131</v>
      </c>
      <c r="C125">
        <v>93</v>
      </c>
      <c r="D125">
        <v>81</v>
      </c>
      <c r="E125">
        <v>100</v>
      </c>
      <c r="F125">
        <v>75</v>
      </c>
      <c r="G125">
        <v>55</v>
      </c>
    </row>
    <row r="126" spans="1:7">
      <c r="A126">
        <v>241423</v>
      </c>
      <c r="B126" t="s">
        <v>132</v>
      </c>
      <c r="C126">
        <v>84</v>
      </c>
      <c r="D126">
        <v>91</v>
      </c>
      <c r="E126">
        <v>101.5</v>
      </c>
      <c r="F126">
        <v>79</v>
      </c>
      <c r="G126">
        <v>73</v>
      </c>
    </row>
    <row r="127" spans="1:7">
      <c r="A127">
        <v>240401</v>
      </c>
      <c r="B127" t="s">
        <v>133</v>
      </c>
      <c r="C127">
        <v>80</v>
      </c>
      <c r="D127">
        <v>46</v>
      </c>
      <c r="E127">
        <v>75.5</v>
      </c>
      <c r="F127">
        <v>65</v>
      </c>
      <c r="G127">
        <v>42</v>
      </c>
    </row>
    <row r="128" spans="1:7">
      <c r="A128">
        <v>240402</v>
      </c>
      <c r="B128" t="s">
        <v>134</v>
      </c>
      <c r="C128">
        <v>78</v>
      </c>
      <c r="D128">
        <v>75</v>
      </c>
      <c r="E128">
        <v>86</v>
      </c>
      <c r="F128">
        <v>65</v>
      </c>
      <c r="G128">
        <v>51</v>
      </c>
    </row>
    <row r="129" spans="1:7">
      <c r="A129">
        <v>240403</v>
      </c>
      <c r="B129" t="s">
        <v>135</v>
      </c>
      <c r="C129">
        <v>82</v>
      </c>
      <c r="D129">
        <v>61</v>
      </c>
      <c r="E129">
        <v>80.5</v>
      </c>
      <c r="F129">
        <v>78</v>
      </c>
      <c r="G129">
        <v>59</v>
      </c>
    </row>
    <row r="130" spans="1:7">
      <c r="A130">
        <v>240404</v>
      </c>
      <c r="B130" t="s">
        <v>136</v>
      </c>
      <c r="C130">
        <v>81</v>
      </c>
      <c r="D130">
        <v>67</v>
      </c>
      <c r="E130">
        <v>97.5</v>
      </c>
      <c r="F130">
        <v>48</v>
      </c>
      <c r="G130">
        <v>40</v>
      </c>
    </row>
    <row r="131" spans="1:7">
      <c r="A131">
        <v>240405</v>
      </c>
      <c r="B131" t="s">
        <v>137</v>
      </c>
      <c r="C131">
        <v>105</v>
      </c>
      <c r="D131">
        <v>83</v>
      </c>
      <c r="E131">
        <v>110.5</v>
      </c>
      <c r="F131">
        <v>75</v>
      </c>
      <c r="G131">
        <v>74</v>
      </c>
    </row>
    <row r="132" spans="1:7">
      <c r="A132">
        <v>240406</v>
      </c>
      <c r="B132" t="s">
        <v>138</v>
      </c>
      <c r="C132">
        <v>98</v>
      </c>
      <c r="D132">
        <v>76</v>
      </c>
      <c r="E132">
        <v>99.5</v>
      </c>
      <c r="F132">
        <v>74</v>
      </c>
      <c r="G132">
        <v>83</v>
      </c>
    </row>
    <row r="133" spans="1:7">
      <c r="A133">
        <v>240407</v>
      </c>
      <c r="B133" t="s">
        <v>139</v>
      </c>
      <c r="C133">
        <v>79</v>
      </c>
      <c r="D133">
        <v>21</v>
      </c>
      <c r="E133">
        <v>59</v>
      </c>
      <c r="F133">
        <v>61</v>
      </c>
      <c r="G133">
        <v>34</v>
      </c>
    </row>
    <row r="134" spans="1:7">
      <c r="A134">
        <v>240408</v>
      </c>
      <c r="B134" t="s">
        <v>140</v>
      </c>
      <c r="C134">
        <v>62</v>
      </c>
      <c r="D134">
        <v>53</v>
      </c>
      <c r="E134">
        <v>78.5</v>
      </c>
      <c r="F134">
        <v>67</v>
      </c>
      <c r="G134">
        <v>67</v>
      </c>
    </row>
    <row r="135" spans="1:7">
      <c r="A135">
        <v>240409</v>
      </c>
      <c r="B135" t="s">
        <v>141</v>
      </c>
      <c r="C135">
        <v>88</v>
      </c>
      <c r="D135">
        <v>88</v>
      </c>
      <c r="E135">
        <v>100.5</v>
      </c>
      <c r="F135">
        <v>61</v>
      </c>
      <c r="G135">
        <v>68</v>
      </c>
    </row>
    <row r="136" spans="1:7">
      <c r="A136">
        <v>240410</v>
      </c>
      <c r="B136" t="s">
        <v>142</v>
      </c>
      <c r="C136">
        <v>88</v>
      </c>
      <c r="D136">
        <v>67</v>
      </c>
      <c r="E136">
        <v>85.5</v>
      </c>
      <c r="F136">
        <v>69</v>
      </c>
      <c r="G136">
        <v>44</v>
      </c>
    </row>
    <row r="137" spans="1:7">
      <c r="A137">
        <v>240411</v>
      </c>
      <c r="B137" t="s">
        <v>143</v>
      </c>
      <c r="C137">
        <v>96</v>
      </c>
      <c r="D137">
        <v>106</v>
      </c>
      <c r="E137">
        <v>109</v>
      </c>
      <c r="F137">
        <v>83</v>
      </c>
      <c r="G137">
        <v>62</v>
      </c>
    </row>
    <row r="138" spans="1:7">
      <c r="A138">
        <v>240412</v>
      </c>
      <c r="B138" t="s">
        <v>144</v>
      </c>
      <c r="C138">
        <v>91</v>
      </c>
      <c r="D138">
        <v>97</v>
      </c>
      <c r="E138">
        <v>112.5</v>
      </c>
      <c r="F138">
        <v>80</v>
      </c>
      <c r="G138">
        <v>78</v>
      </c>
    </row>
    <row r="139" spans="1:7">
      <c r="A139">
        <v>240413</v>
      </c>
      <c r="B139" t="s">
        <v>145</v>
      </c>
      <c r="C139">
        <v>85</v>
      </c>
      <c r="D139">
        <v>104</v>
      </c>
      <c r="E139">
        <v>89</v>
      </c>
      <c r="F139">
        <v>76</v>
      </c>
      <c r="G139">
        <v>72</v>
      </c>
    </row>
    <row r="140" spans="1:7">
      <c r="A140">
        <v>240414</v>
      </c>
      <c r="B140" t="s">
        <v>146</v>
      </c>
      <c r="C140">
        <v>86</v>
      </c>
      <c r="D140">
        <v>88</v>
      </c>
      <c r="E140">
        <v>86</v>
      </c>
      <c r="F140">
        <v>60</v>
      </c>
      <c r="G140">
        <v>66</v>
      </c>
    </row>
    <row r="141" spans="1:7">
      <c r="A141">
        <v>240415</v>
      </c>
      <c r="B141" t="s">
        <v>147</v>
      </c>
      <c r="C141">
        <v>89</v>
      </c>
      <c r="D141">
        <v>57</v>
      </c>
      <c r="E141">
        <v>58.5</v>
      </c>
      <c r="F141">
        <v>62</v>
      </c>
      <c r="G141">
        <v>71</v>
      </c>
    </row>
    <row r="142" spans="1:7">
      <c r="A142">
        <v>240416</v>
      </c>
      <c r="B142" t="s">
        <v>148</v>
      </c>
      <c r="C142">
        <v>85</v>
      </c>
      <c r="D142">
        <v>98</v>
      </c>
      <c r="E142">
        <v>79.5</v>
      </c>
      <c r="F142">
        <v>78</v>
      </c>
      <c r="G142">
        <v>77</v>
      </c>
    </row>
    <row r="143" spans="1:7">
      <c r="A143">
        <v>240417</v>
      </c>
      <c r="B143" t="s">
        <v>149</v>
      </c>
      <c r="C143">
        <v>71</v>
      </c>
      <c r="D143">
        <v>74</v>
      </c>
      <c r="E143">
        <v>53</v>
      </c>
      <c r="F143">
        <v>54</v>
      </c>
      <c r="G143">
        <v>50</v>
      </c>
    </row>
    <row r="144" spans="1:7">
      <c r="A144">
        <v>240418</v>
      </c>
      <c r="B144" t="s">
        <v>150</v>
      </c>
      <c r="C144">
        <v>81</v>
      </c>
      <c r="D144">
        <v>82</v>
      </c>
      <c r="E144">
        <v>93.5</v>
      </c>
      <c r="F144">
        <v>80</v>
      </c>
      <c r="G144">
        <v>69</v>
      </c>
    </row>
    <row r="145" spans="1:7">
      <c r="A145">
        <v>240419</v>
      </c>
      <c r="B145" t="s">
        <v>151</v>
      </c>
      <c r="C145">
        <v>84</v>
      </c>
      <c r="D145">
        <v>68</v>
      </c>
      <c r="E145">
        <v>101</v>
      </c>
      <c r="F145">
        <v>45</v>
      </c>
      <c r="G145">
        <v>57</v>
      </c>
    </row>
    <row r="146" spans="1:7">
      <c r="A146">
        <v>240420</v>
      </c>
      <c r="B146" t="s">
        <v>152</v>
      </c>
      <c r="C146">
        <v>89</v>
      </c>
      <c r="D146">
        <v>59</v>
      </c>
      <c r="E146">
        <v>94.5</v>
      </c>
      <c r="F146">
        <v>88</v>
      </c>
      <c r="G146">
        <v>53</v>
      </c>
    </row>
    <row r="147" spans="1:7">
      <c r="A147">
        <v>240421</v>
      </c>
      <c r="B147" t="s">
        <v>153</v>
      </c>
      <c r="C147">
        <v>97</v>
      </c>
      <c r="D147">
        <v>98</v>
      </c>
      <c r="E147">
        <v>106.5</v>
      </c>
      <c r="F147">
        <v>79</v>
      </c>
      <c r="G147">
        <v>70</v>
      </c>
    </row>
    <row r="148" spans="1:7">
      <c r="A148">
        <v>240422</v>
      </c>
      <c r="B148" t="s">
        <v>154</v>
      </c>
      <c r="C148">
        <v>75</v>
      </c>
      <c r="D148">
        <v>95</v>
      </c>
      <c r="E148">
        <v>99</v>
      </c>
      <c r="F148">
        <v>77</v>
      </c>
      <c r="G148">
        <v>69</v>
      </c>
    </row>
    <row r="149" spans="1:7">
      <c r="A149">
        <v>240423</v>
      </c>
      <c r="B149" t="s">
        <v>155</v>
      </c>
      <c r="C149">
        <v>85</v>
      </c>
      <c r="D149">
        <v>69</v>
      </c>
      <c r="E149">
        <v>94.5</v>
      </c>
      <c r="F149">
        <v>56</v>
      </c>
      <c r="G149">
        <v>54</v>
      </c>
    </row>
    <row r="150" spans="1:7">
      <c r="A150">
        <v>240424</v>
      </c>
      <c r="B150" t="s">
        <v>156</v>
      </c>
      <c r="C150">
        <v>79</v>
      </c>
      <c r="D150">
        <v>81</v>
      </c>
      <c r="E150">
        <v>91</v>
      </c>
      <c r="F150">
        <v>73</v>
      </c>
      <c r="G150">
        <v>62</v>
      </c>
    </row>
    <row r="151" spans="1:7">
      <c r="A151">
        <v>240425</v>
      </c>
      <c r="B151" t="s">
        <v>157</v>
      </c>
      <c r="C151">
        <v>90</v>
      </c>
      <c r="D151">
        <v>77</v>
      </c>
      <c r="E151">
        <v>87.5</v>
      </c>
      <c r="F151">
        <v>67</v>
      </c>
      <c r="G151">
        <v>71</v>
      </c>
    </row>
    <row r="152" spans="1:7">
      <c r="A152">
        <v>240426</v>
      </c>
      <c r="B152" t="s">
        <v>158</v>
      </c>
      <c r="C152">
        <v>64</v>
      </c>
      <c r="D152">
        <v>36</v>
      </c>
      <c r="E152">
        <v>70.5</v>
      </c>
      <c r="F152">
        <v>44</v>
      </c>
      <c r="G152">
        <v>44</v>
      </c>
    </row>
    <row r="153" spans="1:7">
      <c r="A153">
        <v>240427</v>
      </c>
      <c r="B153" t="s">
        <v>159</v>
      </c>
      <c r="C153">
        <v>86</v>
      </c>
      <c r="D153">
        <v>91</v>
      </c>
      <c r="E153">
        <v>65.5</v>
      </c>
      <c r="F153">
        <v>62</v>
      </c>
      <c r="G153">
        <v>70</v>
      </c>
    </row>
    <row r="154" spans="1:7">
      <c r="A154">
        <v>240428</v>
      </c>
      <c r="B154" t="s">
        <v>160</v>
      </c>
      <c r="C154">
        <v>97</v>
      </c>
      <c r="D154">
        <v>102</v>
      </c>
      <c r="E154">
        <v>106</v>
      </c>
      <c r="F154">
        <v>88</v>
      </c>
      <c r="G154">
        <v>86</v>
      </c>
    </row>
    <row r="155" spans="1:7">
      <c r="A155">
        <v>240429</v>
      </c>
      <c r="B155" t="s">
        <v>161</v>
      </c>
      <c r="C155">
        <v>97</v>
      </c>
      <c r="D155">
        <v>93</v>
      </c>
      <c r="E155">
        <v>106</v>
      </c>
      <c r="F155">
        <v>68</v>
      </c>
      <c r="G155">
        <v>78</v>
      </c>
    </row>
    <row r="156" spans="1:7">
      <c r="A156">
        <v>240430</v>
      </c>
      <c r="B156" t="s">
        <v>162</v>
      </c>
      <c r="C156">
        <v>81</v>
      </c>
      <c r="D156">
        <v>91</v>
      </c>
      <c r="E156">
        <v>100</v>
      </c>
      <c r="F156">
        <v>67</v>
      </c>
      <c r="G156">
        <v>68</v>
      </c>
    </row>
    <row r="157" spans="1:7">
      <c r="A157">
        <v>240431</v>
      </c>
      <c r="B157" t="s">
        <v>163</v>
      </c>
      <c r="C157">
        <v>86</v>
      </c>
      <c r="D157">
        <v>69</v>
      </c>
      <c r="E157">
        <v>78.5</v>
      </c>
      <c r="F157">
        <v>70</v>
      </c>
      <c r="G157">
        <v>48</v>
      </c>
    </row>
    <row r="158" spans="1:7">
      <c r="A158">
        <v>240432</v>
      </c>
      <c r="B158" t="s">
        <v>164</v>
      </c>
      <c r="C158">
        <v>84</v>
      </c>
      <c r="D158">
        <v>72</v>
      </c>
      <c r="E158">
        <v>89</v>
      </c>
      <c r="F158">
        <v>77</v>
      </c>
      <c r="G158">
        <v>69</v>
      </c>
    </row>
    <row r="159" spans="1:7">
      <c r="A159">
        <v>240433</v>
      </c>
      <c r="B159" t="s">
        <v>165</v>
      </c>
      <c r="C159">
        <v>92</v>
      </c>
      <c r="D159">
        <v>91</v>
      </c>
      <c r="E159">
        <v>99</v>
      </c>
      <c r="F159">
        <v>81</v>
      </c>
      <c r="G159">
        <v>73</v>
      </c>
    </row>
    <row r="160" spans="1:7">
      <c r="A160">
        <v>240434</v>
      </c>
      <c r="B160" t="s">
        <v>166</v>
      </c>
      <c r="C160">
        <v>85</v>
      </c>
      <c r="D160">
        <v>89</v>
      </c>
      <c r="E160">
        <v>90</v>
      </c>
      <c r="F160">
        <v>64</v>
      </c>
      <c r="G160">
        <v>69</v>
      </c>
    </row>
    <row r="161" spans="1:7">
      <c r="A161">
        <v>240435</v>
      </c>
      <c r="B161" t="s">
        <v>167</v>
      </c>
      <c r="C161">
        <v>90</v>
      </c>
      <c r="D161">
        <v>72</v>
      </c>
      <c r="E161">
        <v>100.5</v>
      </c>
      <c r="F161">
        <v>80</v>
      </c>
      <c r="G161">
        <v>77</v>
      </c>
    </row>
    <row r="162" spans="1:7">
      <c r="A162">
        <v>240436</v>
      </c>
      <c r="B162" t="s">
        <v>168</v>
      </c>
      <c r="C162">
        <v>74</v>
      </c>
      <c r="D162">
        <v>76</v>
      </c>
      <c r="E162">
        <v>81.5</v>
      </c>
      <c r="F162">
        <v>51</v>
      </c>
      <c r="G162">
        <v>57</v>
      </c>
    </row>
    <row r="163" spans="1:7">
      <c r="A163">
        <v>240437</v>
      </c>
      <c r="B163" t="s">
        <v>169</v>
      </c>
      <c r="C163">
        <v>93</v>
      </c>
      <c r="D163">
        <v>81</v>
      </c>
      <c r="E163">
        <v>113</v>
      </c>
      <c r="F163">
        <v>76</v>
      </c>
      <c r="G163">
        <v>62</v>
      </c>
    </row>
    <row r="164" spans="1:7">
      <c r="A164">
        <v>240438</v>
      </c>
      <c r="B164" t="s">
        <v>170</v>
      </c>
      <c r="C164">
        <v>93</v>
      </c>
      <c r="D164">
        <v>93</v>
      </c>
      <c r="E164">
        <v>108</v>
      </c>
      <c r="F164">
        <v>59</v>
      </c>
      <c r="G164">
        <v>68</v>
      </c>
    </row>
    <row r="165" spans="1:7">
      <c r="A165">
        <v>240439</v>
      </c>
      <c r="B165" t="s">
        <v>171</v>
      </c>
      <c r="C165">
        <v>81</v>
      </c>
      <c r="D165">
        <v>87</v>
      </c>
      <c r="E165">
        <v>113</v>
      </c>
      <c r="F165">
        <v>73</v>
      </c>
      <c r="G165">
        <v>74</v>
      </c>
    </row>
    <row r="166" spans="1:7">
      <c r="A166">
        <v>240440</v>
      </c>
      <c r="B166" t="s">
        <v>172</v>
      </c>
      <c r="C166">
        <v>99</v>
      </c>
      <c r="D166">
        <v>90</v>
      </c>
      <c r="E166">
        <v>93</v>
      </c>
      <c r="F166">
        <v>72</v>
      </c>
      <c r="G166">
        <v>81</v>
      </c>
    </row>
    <row r="167" spans="1:7">
      <c r="A167">
        <v>240441</v>
      </c>
      <c r="B167" t="s">
        <v>173</v>
      </c>
      <c r="C167">
        <v>81</v>
      </c>
      <c r="D167">
        <v>63</v>
      </c>
      <c r="E167">
        <v>71.5</v>
      </c>
      <c r="F167">
        <v>79</v>
      </c>
      <c r="G167">
        <v>77</v>
      </c>
    </row>
    <row r="168" spans="1:7">
      <c r="A168">
        <v>240501</v>
      </c>
      <c r="B168" t="s">
        <v>174</v>
      </c>
      <c r="C168">
        <v>78</v>
      </c>
      <c r="D168">
        <v>64</v>
      </c>
      <c r="E168">
        <v>49</v>
      </c>
      <c r="F168">
        <v>66</v>
      </c>
      <c r="G168">
        <v>69</v>
      </c>
    </row>
    <row r="169" spans="1:7">
      <c r="A169">
        <v>240502</v>
      </c>
      <c r="B169" t="s">
        <v>175</v>
      </c>
      <c r="C169">
        <v>93</v>
      </c>
      <c r="D169">
        <v>94</v>
      </c>
      <c r="E169">
        <v>111.5</v>
      </c>
      <c r="F169">
        <v>87</v>
      </c>
      <c r="G169">
        <v>78</v>
      </c>
    </row>
    <row r="170" spans="1:7">
      <c r="A170">
        <v>240503</v>
      </c>
      <c r="B170" t="s">
        <v>176</v>
      </c>
      <c r="C170">
        <v>94</v>
      </c>
      <c r="D170">
        <v>100</v>
      </c>
      <c r="E170">
        <v>108.5</v>
      </c>
      <c r="F170">
        <v>84</v>
      </c>
      <c r="G170">
        <v>70</v>
      </c>
    </row>
    <row r="171" spans="1:7">
      <c r="A171">
        <v>240504</v>
      </c>
      <c r="B171" t="s">
        <v>177</v>
      </c>
      <c r="C171">
        <v>77</v>
      </c>
      <c r="D171">
        <v>58</v>
      </c>
      <c r="E171">
        <v>70</v>
      </c>
      <c r="F171">
        <v>46</v>
      </c>
      <c r="G171">
        <v>57</v>
      </c>
    </row>
    <row r="172" spans="1:7">
      <c r="A172">
        <v>240505</v>
      </c>
      <c r="B172" t="s">
        <v>178</v>
      </c>
      <c r="C172">
        <v>89</v>
      </c>
      <c r="D172">
        <v>94</v>
      </c>
      <c r="E172">
        <v>101.5</v>
      </c>
      <c r="F172">
        <v>82</v>
      </c>
      <c r="G172">
        <v>68</v>
      </c>
    </row>
    <row r="173" spans="1:7">
      <c r="A173">
        <v>240506</v>
      </c>
      <c r="B173" t="s">
        <v>179</v>
      </c>
      <c r="C173">
        <v>98</v>
      </c>
      <c r="D173">
        <v>92</v>
      </c>
      <c r="E173">
        <v>111.5</v>
      </c>
      <c r="F173">
        <v>79</v>
      </c>
      <c r="G173">
        <v>82</v>
      </c>
    </row>
    <row r="174" spans="1:7">
      <c r="A174">
        <v>240508</v>
      </c>
      <c r="B174" t="s">
        <v>180</v>
      </c>
      <c r="C174">
        <v>102</v>
      </c>
      <c r="D174">
        <v>69</v>
      </c>
      <c r="E174">
        <v>113.5</v>
      </c>
      <c r="F174">
        <v>76</v>
      </c>
      <c r="G174">
        <v>77</v>
      </c>
    </row>
    <row r="175" spans="1:7">
      <c r="A175">
        <v>240509</v>
      </c>
      <c r="B175" t="s">
        <v>181</v>
      </c>
      <c r="C175">
        <v>83</v>
      </c>
      <c r="D175">
        <v>38</v>
      </c>
      <c r="E175">
        <v>56</v>
      </c>
      <c r="F175">
        <v>61</v>
      </c>
      <c r="G175">
        <v>51</v>
      </c>
    </row>
    <row r="176" spans="1:7">
      <c r="A176">
        <v>240510</v>
      </c>
      <c r="B176" t="s">
        <v>182</v>
      </c>
      <c r="C176">
        <v>93</v>
      </c>
      <c r="D176">
        <v>90</v>
      </c>
      <c r="E176">
        <v>106</v>
      </c>
      <c r="F176">
        <v>82</v>
      </c>
      <c r="G176">
        <v>72</v>
      </c>
    </row>
    <row r="177" spans="1:7">
      <c r="A177">
        <v>240511</v>
      </c>
      <c r="B177" t="s">
        <v>183</v>
      </c>
      <c r="C177">
        <v>95</v>
      </c>
      <c r="D177">
        <v>65</v>
      </c>
      <c r="E177">
        <v>103.5</v>
      </c>
      <c r="F177">
        <v>68</v>
      </c>
      <c r="G177">
        <v>65</v>
      </c>
    </row>
    <row r="178" spans="1:7">
      <c r="A178">
        <v>240512</v>
      </c>
      <c r="B178" t="s">
        <v>184</v>
      </c>
      <c r="C178">
        <v>99</v>
      </c>
      <c r="D178">
        <v>100</v>
      </c>
      <c r="E178">
        <v>108</v>
      </c>
      <c r="F178">
        <v>82</v>
      </c>
      <c r="G178">
        <v>79</v>
      </c>
    </row>
    <row r="179" spans="1:7">
      <c r="A179">
        <v>240513</v>
      </c>
      <c r="B179" t="s">
        <v>185</v>
      </c>
      <c r="C179">
        <v>86</v>
      </c>
      <c r="D179">
        <v>88</v>
      </c>
      <c r="E179">
        <v>89.5</v>
      </c>
      <c r="F179">
        <v>81</v>
      </c>
      <c r="G179">
        <v>62</v>
      </c>
    </row>
    <row r="180" spans="1:7">
      <c r="A180">
        <v>240515</v>
      </c>
      <c r="B180" t="s">
        <v>186</v>
      </c>
      <c r="C180">
        <v>91</v>
      </c>
      <c r="D180">
        <v>65</v>
      </c>
      <c r="E180">
        <v>92</v>
      </c>
      <c r="F180">
        <v>66</v>
      </c>
      <c r="G180">
        <v>69</v>
      </c>
    </row>
    <row r="181" spans="1:7">
      <c r="A181">
        <v>240516</v>
      </c>
      <c r="B181" t="s">
        <v>187</v>
      </c>
      <c r="C181">
        <v>93</v>
      </c>
      <c r="D181">
        <v>40</v>
      </c>
      <c r="E181">
        <v>79.5</v>
      </c>
      <c r="F181">
        <v>82</v>
      </c>
      <c r="G181">
        <v>51</v>
      </c>
    </row>
    <row r="182" spans="1:7">
      <c r="A182">
        <v>240517</v>
      </c>
      <c r="B182" t="s">
        <v>188</v>
      </c>
      <c r="C182">
        <v>92</v>
      </c>
      <c r="D182">
        <v>92</v>
      </c>
      <c r="E182">
        <v>98.5</v>
      </c>
      <c r="F182">
        <v>62</v>
      </c>
      <c r="G182">
        <v>72</v>
      </c>
    </row>
    <row r="183" spans="1:7">
      <c r="A183">
        <v>240518</v>
      </c>
      <c r="B183" t="s">
        <v>189</v>
      </c>
      <c r="C183">
        <v>100</v>
      </c>
      <c r="D183">
        <v>80</v>
      </c>
      <c r="E183">
        <v>80</v>
      </c>
      <c r="F183">
        <v>67</v>
      </c>
      <c r="G183">
        <v>77</v>
      </c>
    </row>
    <row r="184" spans="1:7">
      <c r="A184">
        <v>240519</v>
      </c>
      <c r="B184" t="s">
        <v>190</v>
      </c>
      <c r="C184">
        <v>83</v>
      </c>
      <c r="D184">
        <v>76</v>
      </c>
      <c r="E184">
        <v>85.5</v>
      </c>
      <c r="F184">
        <v>79</v>
      </c>
      <c r="G184">
        <v>47</v>
      </c>
    </row>
    <row r="185" spans="1:7">
      <c r="A185">
        <v>240520</v>
      </c>
      <c r="B185" t="s">
        <v>191</v>
      </c>
      <c r="C185">
        <v>96</v>
      </c>
      <c r="D185">
        <v>65</v>
      </c>
      <c r="E185">
        <v>93</v>
      </c>
      <c r="F185">
        <v>84</v>
      </c>
      <c r="G185">
        <v>76</v>
      </c>
    </row>
    <row r="186" spans="1:7">
      <c r="A186">
        <v>240521</v>
      </c>
      <c r="B186" t="s">
        <v>192</v>
      </c>
      <c r="C186">
        <v>85</v>
      </c>
      <c r="D186">
        <v>61</v>
      </c>
      <c r="E186">
        <v>86</v>
      </c>
      <c r="F186">
        <v>62</v>
      </c>
      <c r="G186">
        <v>73</v>
      </c>
    </row>
    <row r="187" spans="1:7">
      <c r="A187">
        <v>240523</v>
      </c>
      <c r="B187" t="s">
        <v>193</v>
      </c>
      <c r="C187">
        <v>90</v>
      </c>
      <c r="D187">
        <v>97</v>
      </c>
      <c r="E187">
        <v>108.5</v>
      </c>
      <c r="F187">
        <v>90</v>
      </c>
      <c r="G187">
        <v>75</v>
      </c>
    </row>
    <row r="188" spans="1:7">
      <c r="A188">
        <v>240524</v>
      </c>
      <c r="B188" t="s">
        <v>194</v>
      </c>
      <c r="C188">
        <v>89</v>
      </c>
      <c r="D188">
        <v>83</v>
      </c>
      <c r="E188">
        <v>112.5</v>
      </c>
      <c r="F188">
        <v>78</v>
      </c>
      <c r="G188">
        <v>77</v>
      </c>
    </row>
    <row r="189" spans="1:7">
      <c r="A189">
        <v>240525</v>
      </c>
      <c r="B189" t="s">
        <v>195</v>
      </c>
      <c r="C189">
        <v>93</v>
      </c>
      <c r="D189">
        <v>48</v>
      </c>
      <c r="E189">
        <v>95.5</v>
      </c>
      <c r="F189">
        <v>78</v>
      </c>
      <c r="G189">
        <v>60</v>
      </c>
    </row>
    <row r="190" spans="1:7">
      <c r="A190">
        <v>240526</v>
      </c>
      <c r="B190" t="s">
        <v>196</v>
      </c>
      <c r="C190">
        <v>66</v>
      </c>
      <c r="D190">
        <v>61</v>
      </c>
      <c r="E190">
        <v>69</v>
      </c>
      <c r="F190">
        <v>53</v>
      </c>
      <c r="G190">
        <v>60</v>
      </c>
    </row>
    <row r="191" spans="1:7">
      <c r="A191">
        <v>240527</v>
      </c>
      <c r="B191" t="s">
        <v>197</v>
      </c>
      <c r="C191">
        <v>88</v>
      </c>
      <c r="D191">
        <v>84</v>
      </c>
      <c r="E191">
        <v>105.5</v>
      </c>
      <c r="F191">
        <v>87</v>
      </c>
      <c r="G191">
        <v>76</v>
      </c>
    </row>
    <row r="192" spans="1:7">
      <c r="A192">
        <v>240528</v>
      </c>
      <c r="B192" t="s">
        <v>198</v>
      </c>
      <c r="C192">
        <v>91</v>
      </c>
      <c r="D192">
        <v>88</v>
      </c>
      <c r="E192">
        <v>103</v>
      </c>
      <c r="F192">
        <v>73</v>
      </c>
      <c r="G192">
        <v>60</v>
      </c>
    </row>
    <row r="193" spans="1:7">
      <c r="A193">
        <v>240529</v>
      </c>
      <c r="B193" t="s">
        <v>199</v>
      </c>
      <c r="C193">
        <v>92</v>
      </c>
      <c r="D193">
        <v>71</v>
      </c>
      <c r="E193">
        <v>113</v>
      </c>
      <c r="F193">
        <v>87</v>
      </c>
      <c r="G193">
        <v>64</v>
      </c>
    </row>
    <row r="194" spans="1:7">
      <c r="A194">
        <v>240530</v>
      </c>
      <c r="B194" t="s">
        <v>200</v>
      </c>
      <c r="C194">
        <v>67</v>
      </c>
      <c r="D194">
        <v>91</v>
      </c>
      <c r="E194">
        <v>100</v>
      </c>
      <c r="F194">
        <v>81</v>
      </c>
      <c r="G194">
        <v>78</v>
      </c>
    </row>
    <row r="195" spans="1:7">
      <c r="A195">
        <v>240531</v>
      </c>
      <c r="B195" t="s">
        <v>201</v>
      </c>
      <c r="C195">
        <v>98</v>
      </c>
      <c r="D195">
        <v>92</v>
      </c>
      <c r="E195">
        <v>112.5</v>
      </c>
      <c r="F195">
        <v>71</v>
      </c>
      <c r="G195">
        <v>71</v>
      </c>
    </row>
    <row r="196" spans="1:7">
      <c r="A196">
        <v>221930</v>
      </c>
      <c r="B196" t="s">
        <v>202</v>
      </c>
      <c r="C196" t="s">
        <v>61</v>
      </c>
      <c r="D196" t="s">
        <v>61</v>
      </c>
      <c r="E196" t="s">
        <v>61</v>
      </c>
      <c r="F196" t="s">
        <v>61</v>
      </c>
      <c r="G196" t="s">
        <v>61</v>
      </c>
    </row>
    <row r="197" spans="1:7">
      <c r="A197">
        <v>240532</v>
      </c>
      <c r="B197" t="s">
        <v>203</v>
      </c>
      <c r="C197">
        <v>98</v>
      </c>
      <c r="D197">
        <v>90</v>
      </c>
      <c r="E197">
        <v>114</v>
      </c>
      <c r="F197">
        <v>83</v>
      </c>
      <c r="G197">
        <v>76</v>
      </c>
    </row>
    <row r="198" spans="1:7">
      <c r="A198">
        <v>240533</v>
      </c>
      <c r="B198" t="s">
        <v>204</v>
      </c>
      <c r="C198">
        <v>90</v>
      </c>
      <c r="D198">
        <v>51</v>
      </c>
      <c r="E198">
        <v>99</v>
      </c>
      <c r="F198">
        <v>80</v>
      </c>
      <c r="G198">
        <v>47</v>
      </c>
    </row>
    <row r="199" spans="1:7">
      <c r="A199">
        <v>240535</v>
      </c>
      <c r="B199" t="s">
        <v>205</v>
      </c>
      <c r="C199">
        <v>92</v>
      </c>
      <c r="D199">
        <v>98</v>
      </c>
      <c r="E199">
        <v>115</v>
      </c>
      <c r="F199">
        <v>83</v>
      </c>
      <c r="G199">
        <v>86</v>
      </c>
    </row>
    <row r="200" spans="1:7">
      <c r="A200">
        <v>240536</v>
      </c>
      <c r="B200" t="s">
        <v>206</v>
      </c>
      <c r="C200">
        <v>99</v>
      </c>
      <c r="D200">
        <v>98</v>
      </c>
      <c r="E200">
        <v>104.5</v>
      </c>
      <c r="F200">
        <v>86</v>
      </c>
      <c r="G200">
        <v>71</v>
      </c>
    </row>
    <row r="201" spans="1:7">
      <c r="A201">
        <v>240537</v>
      </c>
      <c r="B201" t="s">
        <v>207</v>
      </c>
      <c r="C201">
        <v>100</v>
      </c>
      <c r="D201">
        <v>98</v>
      </c>
      <c r="E201">
        <v>114</v>
      </c>
      <c r="F201">
        <v>88</v>
      </c>
      <c r="G201">
        <v>84</v>
      </c>
    </row>
    <row r="202" spans="1:7">
      <c r="A202">
        <v>240538</v>
      </c>
      <c r="B202" t="s">
        <v>208</v>
      </c>
      <c r="C202">
        <v>98</v>
      </c>
      <c r="D202">
        <v>105</v>
      </c>
      <c r="E202">
        <v>100</v>
      </c>
      <c r="F202">
        <v>78</v>
      </c>
      <c r="G202">
        <v>64</v>
      </c>
    </row>
    <row r="203" spans="1:7">
      <c r="A203">
        <v>240539</v>
      </c>
      <c r="B203" t="s">
        <v>209</v>
      </c>
      <c r="C203">
        <v>80</v>
      </c>
      <c r="D203">
        <v>76</v>
      </c>
      <c r="E203">
        <v>67</v>
      </c>
      <c r="F203">
        <v>77</v>
      </c>
      <c r="G203">
        <v>64</v>
      </c>
    </row>
    <row r="204" spans="1:7">
      <c r="A204">
        <v>240540</v>
      </c>
      <c r="B204" t="s">
        <v>210</v>
      </c>
      <c r="C204">
        <v>92</v>
      </c>
      <c r="D204">
        <v>95</v>
      </c>
      <c r="E204">
        <v>108</v>
      </c>
      <c r="F204">
        <v>85</v>
      </c>
      <c r="G204">
        <v>78</v>
      </c>
    </row>
    <row r="205" spans="1:7">
      <c r="A205">
        <v>241512</v>
      </c>
      <c r="B205" t="s">
        <v>211</v>
      </c>
      <c r="C205">
        <v>90</v>
      </c>
      <c r="D205">
        <v>78</v>
      </c>
      <c r="E205">
        <v>103.5</v>
      </c>
      <c r="F205">
        <v>81</v>
      </c>
      <c r="G205">
        <v>60</v>
      </c>
    </row>
    <row r="206" spans="1:7">
      <c r="A206">
        <v>240541</v>
      </c>
      <c r="B206" t="s">
        <v>212</v>
      </c>
      <c r="C206" t="e">
        <v>#N/A</v>
      </c>
      <c r="D206" t="e">
        <v>#N/A</v>
      </c>
      <c r="E206" t="e">
        <v>#N/A</v>
      </c>
      <c r="F206" t="e">
        <v>#N/A</v>
      </c>
      <c r="G206" t="e">
        <v>#N/A</v>
      </c>
    </row>
    <row r="207" spans="1:7">
      <c r="A207">
        <v>241707</v>
      </c>
      <c r="B207" t="s">
        <v>213</v>
      </c>
      <c r="C207">
        <v>106</v>
      </c>
      <c r="D207">
        <v>89</v>
      </c>
      <c r="E207">
        <v>90.5</v>
      </c>
      <c r="F207">
        <v>79</v>
      </c>
      <c r="G207">
        <v>73</v>
      </c>
    </row>
    <row r="208" spans="1:7">
      <c r="A208">
        <v>240542</v>
      </c>
      <c r="B208" t="s">
        <v>214</v>
      </c>
      <c r="C208" t="e">
        <v>#N/A</v>
      </c>
      <c r="D208" t="e">
        <v>#N/A</v>
      </c>
      <c r="E208" t="e">
        <v>#N/A</v>
      </c>
      <c r="F208" t="e">
        <v>#N/A</v>
      </c>
      <c r="G208" t="e">
        <v>#N/A</v>
      </c>
    </row>
    <row r="209" spans="1:7">
      <c r="A209">
        <v>240543</v>
      </c>
      <c r="B209" t="s">
        <v>215</v>
      </c>
      <c r="C209" t="e">
        <v>#N/A</v>
      </c>
      <c r="D209" t="e">
        <v>#N/A</v>
      </c>
      <c r="E209" t="e">
        <v>#N/A</v>
      </c>
      <c r="F209" t="e">
        <v>#N/A</v>
      </c>
      <c r="G209" t="e">
        <v>#N/A</v>
      </c>
    </row>
    <row r="210" spans="1:7">
      <c r="A210">
        <v>240601</v>
      </c>
      <c r="B210" t="s">
        <v>216</v>
      </c>
      <c r="C210">
        <v>88</v>
      </c>
      <c r="D210">
        <v>98</v>
      </c>
      <c r="E210">
        <v>95</v>
      </c>
      <c r="F210">
        <v>77</v>
      </c>
      <c r="G210">
        <v>83</v>
      </c>
    </row>
    <row r="211" spans="1:7">
      <c r="A211">
        <v>240603</v>
      </c>
      <c r="B211" t="s">
        <v>217</v>
      </c>
      <c r="C211">
        <v>56</v>
      </c>
      <c r="D211">
        <v>46</v>
      </c>
      <c r="E211" t="s">
        <v>61</v>
      </c>
      <c r="F211" t="s">
        <v>61</v>
      </c>
      <c r="G211">
        <v>41</v>
      </c>
    </row>
    <row r="212" spans="1:7">
      <c r="A212">
        <v>240604</v>
      </c>
      <c r="B212" t="s">
        <v>218</v>
      </c>
      <c r="C212">
        <v>80</v>
      </c>
      <c r="D212">
        <v>83</v>
      </c>
      <c r="E212">
        <v>89.5</v>
      </c>
      <c r="F212">
        <v>81</v>
      </c>
      <c r="G212">
        <v>78</v>
      </c>
    </row>
    <row r="213" spans="1:7">
      <c r="A213">
        <v>240605</v>
      </c>
      <c r="B213" t="s">
        <v>219</v>
      </c>
      <c r="C213">
        <v>38</v>
      </c>
      <c r="D213">
        <v>14</v>
      </c>
      <c r="E213">
        <v>33</v>
      </c>
      <c r="F213">
        <v>45</v>
      </c>
      <c r="G213">
        <v>18</v>
      </c>
    </row>
    <row r="214" spans="1:7">
      <c r="A214">
        <v>240606</v>
      </c>
      <c r="B214" t="s">
        <v>220</v>
      </c>
      <c r="C214" t="s">
        <v>61</v>
      </c>
      <c r="D214" t="s">
        <v>61</v>
      </c>
      <c r="E214" t="s">
        <v>61</v>
      </c>
      <c r="F214" t="s">
        <v>61</v>
      </c>
      <c r="G214" t="s">
        <v>61</v>
      </c>
    </row>
    <row r="215" spans="1:7">
      <c r="A215">
        <v>240607</v>
      </c>
      <c r="B215" t="s">
        <v>221</v>
      </c>
      <c r="C215">
        <v>93</v>
      </c>
      <c r="D215">
        <v>98</v>
      </c>
      <c r="E215">
        <v>96.5</v>
      </c>
      <c r="F215">
        <v>84</v>
      </c>
      <c r="G215">
        <v>68</v>
      </c>
    </row>
    <row r="216" spans="1:7">
      <c r="A216">
        <v>240609</v>
      </c>
      <c r="B216" t="s">
        <v>222</v>
      </c>
      <c r="C216">
        <v>95</v>
      </c>
      <c r="D216">
        <v>77</v>
      </c>
      <c r="E216">
        <v>98</v>
      </c>
      <c r="F216">
        <v>75</v>
      </c>
      <c r="G216">
        <v>70</v>
      </c>
    </row>
    <row r="217" spans="1:7">
      <c r="A217">
        <v>240610</v>
      </c>
      <c r="B217" t="s">
        <v>223</v>
      </c>
      <c r="C217">
        <v>96</v>
      </c>
      <c r="D217">
        <v>84</v>
      </c>
      <c r="E217">
        <v>100</v>
      </c>
      <c r="F217">
        <v>85</v>
      </c>
      <c r="G217">
        <v>64</v>
      </c>
    </row>
    <row r="218" spans="1:7">
      <c r="A218">
        <v>240611</v>
      </c>
      <c r="B218" t="s">
        <v>224</v>
      </c>
      <c r="C218">
        <v>88</v>
      </c>
      <c r="D218">
        <v>60</v>
      </c>
      <c r="E218">
        <v>93.5</v>
      </c>
      <c r="F218">
        <v>80</v>
      </c>
      <c r="G218">
        <v>64</v>
      </c>
    </row>
    <row r="219" spans="1:7">
      <c r="A219">
        <v>240612</v>
      </c>
      <c r="B219" t="s">
        <v>225</v>
      </c>
      <c r="C219">
        <v>92</v>
      </c>
      <c r="D219">
        <v>80</v>
      </c>
      <c r="E219">
        <v>96.5</v>
      </c>
      <c r="F219">
        <v>82</v>
      </c>
      <c r="G219">
        <v>76</v>
      </c>
    </row>
    <row r="220" spans="1:7">
      <c r="A220">
        <v>240614</v>
      </c>
      <c r="B220" t="s">
        <v>226</v>
      </c>
      <c r="C220">
        <v>76</v>
      </c>
      <c r="D220">
        <v>80</v>
      </c>
      <c r="E220">
        <v>84.5</v>
      </c>
      <c r="F220">
        <v>80</v>
      </c>
      <c r="G220">
        <v>69</v>
      </c>
    </row>
    <row r="221" spans="1:7">
      <c r="A221">
        <v>240615</v>
      </c>
      <c r="B221" t="s">
        <v>227</v>
      </c>
      <c r="C221">
        <v>87</v>
      </c>
      <c r="D221">
        <v>82</v>
      </c>
      <c r="E221">
        <v>96</v>
      </c>
      <c r="F221">
        <v>77</v>
      </c>
      <c r="G221">
        <v>78</v>
      </c>
    </row>
    <row r="222" spans="1:7">
      <c r="A222">
        <v>240616</v>
      </c>
      <c r="B222" t="s">
        <v>228</v>
      </c>
      <c r="C222">
        <v>97</v>
      </c>
      <c r="D222">
        <v>99</v>
      </c>
      <c r="E222">
        <v>105.5</v>
      </c>
      <c r="F222">
        <v>81</v>
      </c>
      <c r="G222">
        <v>75</v>
      </c>
    </row>
    <row r="223" spans="1:7">
      <c r="A223">
        <v>240617</v>
      </c>
      <c r="B223" t="s">
        <v>229</v>
      </c>
      <c r="C223">
        <v>65</v>
      </c>
      <c r="D223">
        <v>41</v>
      </c>
      <c r="E223">
        <v>58.5</v>
      </c>
      <c r="F223">
        <v>68</v>
      </c>
      <c r="G223">
        <v>58</v>
      </c>
    </row>
    <row r="224" spans="1:7">
      <c r="A224">
        <v>240618</v>
      </c>
      <c r="B224" t="s">
        <v>230</v>
      </c>
      <c r="C224">
        <v>92</v>
      </c>
      <c r="D224">
        <v>92</v>
      </c>
      <c r="E224">
        <v>100.5</v>
      </c>
      <c r="F224">
        <v>73</v>
      </c>
      <c r="G224">
        <v>70</v>
      </c>
    </row>
    <row r="225" spans="1:7">
      <c r="A225">
        <v>240619</v>
      </c>
      <c r="B225" t="s">
        <v>231</v>
      </c>
      <c r="C225">
        <v>60</v>
      </c>
      <c r="D225">
        <v>11</v>
      </c>
      <c r="E225">
        <v>24</v>
      </c>
      <c r="F225">
        <v>36</v>
      </c>
      <c r="G225">
        <v>39</v>
      </c>
    </row>
    <row r="226" spans="1:7">
      <c r="A226">
        <v>240620</v>
      </c>
      <c r="B226" t="s">
        <v>232</v>
      </c>
      <c r="C226">
        <v>91</v>
      </c>
      <c r="D226">
        <v>63</v>
      </c>
      <c r="E226">
        <v>68.5</v>
      </c>
      <c r="F226">
        <v>67</v>
      </c>
      <c r="G226">
        <v>44</v>
      </c>
    </row>
    <row r="227" spans="1:7">
      <c r="A227">
        <v>240621</v>
      </c>
      <c r="B227" t="s">
        <v>233</v>
      </c>
      <c r="C227">
        <v>89</v>
      </c>
      <c r="D227">
        <v>80</v>
      </c>
      <c r="E227">
        <v>114.5</v>
      </c>
      <c r="F227">
        <v>84</v>
      </c>
      <c r="G227">
        <v>69</v>
      </c>
    </row>
    <row r="228" spans="1:7">
      <c r="A228">
        <v>240622</v>
      </c>
      <c r="B228" t="s">
        <v>234</v>
      </c>
      <c r="C228">
        <v>82</v>
      </c>
      <c r="D228">
        <v>92</v>
      </c>
      <c r="E228">
        <v>96.5</v>
      </c>
      <c r="F228">
        <v>77</v>
      </c>
      <c r="G228">
        <v>74</v>
      </c>
    </row>
    <row r="229" spans="1:7">
      <c r="A229">
        <v>240623</v>
      </c>
      <c r="B229" t="s">
        <v>235</v>
      </c>
      <c r="C229">
        <v>86</v>
      </c>
      <c r="D229">
        <v>83</v>
      </c>
      <c r="E229">
        <v>79.5</v>
      </c>
      <c r="F229">
        <v>74</v>
      </c>
      <c r="G229">
        <v>67</v>
      </c>
    </row>
    <row r="230" spans="1:7">
      <c r="A230">
        <v>240624</v>
      </c>
      <c r="B230" t="s">
        <v>236</v>
      </c>
      <c r="C230">
        <v>72</v>
      </c>
      <c r="D230">
        <v>44</v>
      </c>
      <c r="E230">
        <v>58</v>
      </c>
      <c r="F230">
        <v>63</v>
      </c>
      <c r="G230">
        <v>58</v>
      </c>
    </row>
    <row r="231" spans="1:7">
      <c r="A231">
        <v>240625</v>
      </c>
      <c r="B231" t="s">
        <v>237</v>
      </c>
      <c r="C231">
        <v>88</v>
      </c>
      <c r="D231">
        <v>94</v>
      </c>
      <c r="E231">
        <v>89</v>
      </c>
      <c r="F231">
        <v>81</v>
      </c>
      <c r="G231">
        <v>68</v>
      </c>
    </row>
    <row r="232" spans="1:7">
      <c r="A232">
        <v>240626</v>
      </c>
      <c r="B232" t="s">
        <v>238</v>
      </c>
      <c r="C232">
        <v>82</v>
      </c>
      <c r="D232">
        <v>49</v>
      </c>
      <c r="E232">
        <v>48.5</v>
      </c>
      <c r="F232">
        <v>71</v>
      </c>
      <c r="G232">
        <v>55</v>
      </c>
    </row>
    <row r="233" spans="1:7">
      <c r="A233">
        <v>240627</v>
      </c>
      <c r="B233" t="s">
        <v>239</v>
      </c>
      <c r="C233">
        <v>85</v>
      </c>
      <c r="D233">
        <v>65</v>
      </c>
      <c r="E233">
        <v>103.5</v>
      </c>
      <c r="F233">
        <v>74</v>
      </c>
      <c r="G233">
        <v>71</v>
      </c>
    </row>
    <row r="234" spans="1:7">
      <c r="A234">
        <v>240628</v>
      </c>
      <c r="B234" t="s">
        <v>240</v>
      </c>
      <c r="C234">
        <v>88</v>
      </c>
      <c r="D234">
        <v>72</v>
      </c>
      <c r="E234">
        <v>99</v>
      </c>
      <c r="F234">
        <v>78</v>
      </c>
      <c r="G234">
        <v>81</v>
      </c>
    </row>
    <row r="235" spans="1:7">
      <c r="A235">
        <v>240629</v>
      </c>
      <c r="B235" t="s">
        <v>241</v>
      </c>
      <c r="C235">
        <v>94</v>
      </c>
      <c r="D235">
        <v>48</v>
      </c>
      <c r="E235">
        <v>107.5</v>
      </c>
      <c r="F235">
        <v>78</v>
      </c>
      <c r="G235">
        <v>76</v>
      </c>
    </row>
    <row r="236" spans="1:7">
      <c r="A236">
        <v>240630</v>
      </c>
      <c r="B236" t="s">
        <v>242</v>
      </c>
      <c r="C236">
        <v>97</v>
      </c>
      <c r="D236">
        <v>90</v>
      </c>
      <c r="E236">
        <v>103</v>
      </c>
      <c r="F236">
        <v>80</v>
      </c>
      <c r="G236">
        <v>72</v>
      </c>
    </row>
    <row r="237" spans="1:7">
      <c r="A237">
        <v>240631</v>
      </c>
      <c r="B237" t="s">
        <v>243</v>
      </c>
      <c r="C237">
        <v>101</v>
      </c>
      <c r="D237">
        <v>82</v>
      </c>
      <c r="E237">
        <v>111</v>
      </c>
      <c r="F237">
        <v>79</v>
      </c>
      <c r="G237">
        <v>80</v>
      </c>
    </row>
    <row r="238" spans="1:7">
      <c r="A238">
        <v>240632</v>
      </c>
      <c r="B238" t="s">
        <v>244</v>
      </c>
      <c r="C238">
        <v>90</v>
      </c>
      <c r="D238">
        <v>81</v>
      </c>
      <c r="E238">
        <v>90</v>
      </c>
      <c r="F238">
        <v>76</v>
      </c>
      <c r="G238">
        <v>78</v>
      </c>
    </row>
    <row r="239" spans="1:7">
      <c r="A239">
        <v>240633</v>
      </c>
      <c r="B239" t="s">
        <v>245</v>
      </c>
      <c r="C239">
        <v>95</v>
      </c>
      <c r="D239">
        <v>73</v>
      </c>
      <c r="E239">
        <v>93.5</v>
      </c>
      <c r="F239">
        <v>82</v>
      </c>
      <c r="G239">
        <v>78</v>
      </c>
    </row>
    <row r="240" spans="1:7">
      <c r="A240">
        <v>240634</v>
      </c>
      <c r="B240" t="s">
        <v>246</v>
      </c>
      <c r="C240">
        <v>85</v>
      </c>
      <c r="D240">
        <v>105</v>
      </c>
      <c r="E240">
        <v>98</v>
      </c>
      <c r="F240">
        <v>76</v>
      </c>
      <c r="G240">
        <v>78</v>
      </c>
    </row>
    <row r="241" spans="1:7">
      <c r="A241">
        <v>240635</v>
      </c>
      <c r="B241" t="s">
        <v>247</v>
      </c>
      <c r="C241">
        <v>94</v>
      </c>
      <c r="D241">
        <v>75</v>
      </c>
      <c r="E241">
        <v>103.5</v>
      </c>
      <c r="F241">
        <v>76</v>
      </c>
      <c r="G241">
        <v>73</v>
      </c>
    </row>
    <row r="242" spans="1:7">
      <c r="A242">
        <v>240636</v>
      </c>
      <c r="B242" t="s">
        <v>248</v>
      </c>
      <c r="C242">
        <v>104</v>
      </c>
      <c r="D242">
        <v>98</v>
      </c>
      <c r="E242">
        <v>114</v>
      </c>
      <c r="F242">
        <v>82</v>
      </c>
      <c r="G242">
        <v>76</v>
      </c>
    </row>
    <row r="243" spans="1:7">
      <c r="A243">
        <v>240637</v>
      </c>
      <c r="B243" t="s">
        <v>249</v>
      </c>
      <c r="C243">
        <v>77</v>
      </c>
      <c r="D243">
        <v>77</v>
      </c>
      <c r="E243">
        <v>87</v>
      </c>
      <c r="F243">
        <v>51</v>
      </c>
      <c r="G243">
        <v>52</v>
      </c>
    </row>
    <row r="244" spans="1:7">
      <c r="A244">
        <v>240638</v>
      </c>
      <c r="B244" t="s">
        <v>250</v>
      </c>
      <c r="C244">
        <v>77</v>
      </c>
      <c r="D244">
        <v>64</v>
      </c>
      <c r="E244">
        <v>59</v>
      </c>
      <c r="F244">
        <v>62</v>
      </c>
      <c r="G244">
        <v>65</v>
      </c>
    </row>
    <row r="245" spans="1:7">
      <c r="A245">
        <v>240639</v>
      </c>
      <c r="B245" t="s">
        <v>251</v>
      </c>
      <c r="C245">
        <v>89</v>
      </c>
      <c r="D245">
        <v>98</v>
      </c>
      <c r="E245">
        <v>80</v>
      </c>
      <c r="F245">
        <v>70</v>
      </c>
      <c r="G245">
        <v>66</v>
      </c>
    </row>
    <row r="246" spans="1:7">
      <c r="A246">
        <v>240640</v>
      </c>
      <c r="B246" t="s">
        <v>252</v>
      </c>
      <c r="C246">
        <v>80</v>
      </c>
      <c r="D246">
        <v>59</v>
      </c>
      <c r="E246">
        <v>89</v>
      </c>
      <c r="F246">
        <v>72</v>
      </c>
      <c r="G246">
        <v>71</v>
      </c>
    </row>
    <row r="247" spans="1:7">
      <c r="A247">
        <v>241617</v>
      </c>
      <c r="B247" t="s">
        <v>253</v>
      </c>
      <c r="C247">
        <v>80</v>
      </c>
      <c r="D247">
        <v>65</v>
      </c>
      <c r="E247">
        <v>65.5</v>
      </c>
      <c r="F247">
        <v>73</v>
      </c>
      <c r="G247">
        <v>74</v>
      </c>
    </row>
    <row r="248" spans="1:7">
      <c r="A248">
        <v>240641</v>
      </c>
      <c r="B248" t="s">
        <v>254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</row>
    <row r="249" spans="1:7">
      <c r="A249">
        <v>240642</v>
      </c>
      <c r="B249" t="s">
        <v>255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</row>
    <row r="250" spans="1:7">
      <c r="A250">
        <v>240701</v>
      </c>
      <c r="B250" t="s">
        <v>256</v>
      </c>
      <c r="C250">
        <v>93</v>
      </c>
      <c r="D250">
        <v>98</v>
      </c>
      <c r="E250">
        <v>105.5</v>
      </c>
      <c r="F250">
        <v>63</v>
      </c>
      <c r="G250">
        <v>55</v>
      </c>
    </row>
    <row r="251" spans="1:7">
      <c r="A251">
        <v>240702</v>
      </c>
      <c r="B251" t="s">
        <v>257</v>
      </c>
      <c r="C251">
        <v>100</v>
      </c>
      <c r="D251">
        <v>98</v>
      </c>
      <c r="E251">
        <v>104</v>
      </c>
      <c r="F251">
        <v>83</v>
      </c>
      <c r="G251">
        <v>79</v>
      </c>
    </row>
    <row r="252" spans="1:7">
      <c r="A252">
        <v>240703</v>
      </c>
      <c r="B252" t="s">
        <v>258</v>
      </c>
      <c r="C252">
        <v>107</v>
      </c>
      <c r="D252">
        <v>96</v>
      </c>
      <c r="E252">
        <v>115.5</v>
      </c>
      <c r="F252">
        <v>86</v>
      </c>
      <c r="G252">
        <v>80</v>
      </c>
    </row>
    <row r="253" spans="1:7">
      <c r="A253">
        <v>240704</v>
      </c>
      <c r="B253" t="s">
        <v>259</v>
      </c>
      <c r="C253">
        <v>105</v>
      </c>
      <c r="D253">
        <v>98</v>
      </c>
      <c r="E253">
        <v>112.5</v>
      </c>
      <c r="F253">
        <v>79</v>
      </c>
      <c r="G253">
        <v>78</v>
      </c>
    </row>
    <row r="254" spans="1:7">
      <c r="A254">
        <v>240705</v>
      </c>
      <c r="B254" t="s">
        <v>260</v>
      </c>
      <c r="C254">
        <v>99</v>
      </c>
      <c r="D254">
        <v>95</v>
      </c>
      <c r="E254">
        <v>106</v>
      </c>
      <c r="F254">
        <v>88</v>
      </c>
      <c r="G254">
        <v>81</v>
      </c>
    </row>
    <row r="255" spans="1:7">
      <c r="A255">
        <v>240706</v>
      </c>
      <c r="B255" t="s">
        <v>261</v>
      </c>
      <c r="C255">
        <v>99</v>
      </c>
      <c r="D255">
        <v>103</v>
      </c>
      <c r="E255">
        <v>113.5</v>
      </c>
      <c r="F255">
        <v>89</v>
      </c>
      <c r="G255">
        <v>72</v>
      </c>
    </row>
    <row r="256" spans="1:7">
      <c r="A256">
        <v>240707</v>
      </c>
      <c r="B256" t="s">
        <v>262</v>
      </c>
      <c r="C256">
        <v>90</v>
      </c>
      <c r="D256">
        <v>92</v>
      </c>
      <c r="E256">
        <v>96.5</v>
      </c>
      <c r="F256">
        <v>71</v>
      </c>
      <c r="G256">
        <v>50</v>
      </c>
    </row>
    <row r="257" spans="1:7">
      <c r="A257">
        <v>240708</v>
      </c>
      <c r="B257" t="s">
        <v>263</v>
      </c>
      <c r="C257">
        <v>93</v>
      </c>
      <c r="D257">
        <v>98</v>
      </c>
      <c r="E257">
        <v>107.5</v>
      </c>
      <c r="F257">
        <v>68</v>
      </c>
      <c r="G257">
        <v>70</v>
      </c>
    </row>
    <row r="258" spans="1:7">
      <c r="A258">
        <v>240709</v>
      </c>
      <c r="B258" t="s">
        <v>264</v>
      </c>
      <c r="C258">
        <v>101</v>
      </c>
      <c r="D258">
        <v>97</v>
      </c>
      <c r="E258">
        <v>117</v>
      </c>
      <c r="F258">
        <v>87</v>
      </c>
      <c r="G258">
        <v>74</v>
      </c>
    </row>
    <row r="259" spans="1:7">
      <c r="A259">
        <v>240710</v>
      </c>
      <c r="B259" t="s">
        <v>265</v>
      </c>
      <c r="C259">
        <v>101</v>
      </c>
      <c r="D259">
        <v>81</v>
      </c>
      <c r="E259">
        <v>100</v>
      </c>
      <c r="F259">
        <v>77</v>
      </c>
      <c r="G259">
        <v>76</v>
      </c>
    </row>
    <row r="260" spans="1:7">
      <c r="A260">
        <v>240711</v>
      </c>
      <c r="B260" t="s">
        <v>266</v>
      </c>
      <c r="C260">
        <v>91</v>
      </c>
      <c r="D260">
        <v>84</v>
      </c>
      <c r="E260">
        <v>105</v>
      </c>
      <c r="F260">
        <v>74</v>
      </c>
      <c r="G260">
        <v>60</v>
      </c>
    </row>
    <row r="261" spans="1:7">
      <c r="A261">
        <v>240712</v>
      </c>
      <c r="B261" t="s">
        <v>267</v>
      </c>
      <c r="C261">
        <v>110</v>
      </c>
      <c r="D261">
        <v>115</v>
      </c>
      <c r="E261">
        <v>119</v>
      </c>
      <c r="F261">
        <v>90</v>
      </c>
      <c r="G261">
        <v>81</v>
      </c>
    </row>
    <row r="262" spans="1:7">
      <c r="A262">
        <v>240713</v>
      </c>
      <c r="B262" t="s">
        <v>268</v>
      </c>
      <c r="C262">
        <v>106</v>
      </c>
      <c r="D262">
        <v>87</v>
      </c>
      <c r="E262">
        <v>107.5</v>
      </c>
      <c r="F262">
        <v>84</v>
      </c>
      <c r="G262">
        <v>77</v>
      </c>
    </row>
    <row r="263" spans="1:7">
      <c r="A263">
        <v>240714</v>
      </c>
      <c r="B263" t="s">
        <v>269</v>
      </c>
      <c r="C263">
        <v>100</v>
      </c>
      <c r="D263">
        <v>102</v>
      </c>
      <c r="E263">
        <v>115</v>
      </c>
      <c r="F263">
        <v>90</v>
      </c>
      <c r="G263">
        <v>83</v>
      </c>
    </row>
    <row r="264" spans="1:7">
      <c r="A264">
        <v>240715</v>
      </c>
      <c r="B264" t="s">
        <v>270</v>
      </c>
      <c r="C264">
        <v>111</v>
      </c>
      <c r="D264">
        <v>112</v>
      </c>
      <c r="E264">
        <v>118.5</v>
      </c>
      <c r="F264">
        <v>85</v>
      </c>
      <c r="G264">
        <v>88</v>
      </c>
    </row>
    <row r="265" spans="1:7">
      <c r="A265">
        <v>240716</v>
      </c>
      <c r="B265" t="s">
        <v>271</v>
      </c>
      <c r="C265">
        <v>105</v>
      </c>
      <c r="D265">
        <v>91</v>
      </c>
      <c r="E265">
        <v>110</v>
      </c>
      <c r="F265">
        <v>85</v>
      </c>
      <c r="G265">
        <v>77</v>
      </c>
    </row>
    <row r="266" spans="1:7">
      <c r="A266">
        <v>240717</v>
      </c>
      <c r="B266" t="s">
        <v>272</v>
      </c>
      <c r="C266">
        <v>104</v>
      </c>
      <c r="D266">
        <v>93</v>
      </c>
      <c r="E266">
        <v>115.5</v>
      </c>
      <c r="F266">
        <v>85</v>
      </c>
      <c r="G266">
        <v>76</v>
      </c>
    </row>
    <row r="267" spans="1:7">
      <c r="A267">
        <v>240718</v>
      </c>
      <c r="B267" t="s">
        <v>273</v>
      </c>
      <c r="C267">
        <v>94</v>
      </c>
      <c r="D267">
        <v>109</v>
      </c>
      <c r="E267">
        <v>107.5</v>
      </c>
      <c r="F267">
        <v>86</v>
      </c>
      <c r="G267">
        <v>75</v>
      </c>
    </row>
    <row r="268" spans="1:7">
      <c r="A268">
        <v>240719</v>
      </c>
      <c r="B268" t="s">
        <v>274</v>
      </c>
      <c r="C268">
        <v>94</v>
      </c>
      <c r="D268">
        <v>107</v>
      </c>
      <c r="E268">
        <v>101.5</v>
      </c>
      <c r="F268">
        <v>67</v>
      </c>
      <c r="G268">
        <v>68</v>
      </c>
    </row>
    <row r="269" spans="1:7">
      <c r="A269">
        <v>240720</v>
      </c>
      <c r="B269" t="s">
        <v>275</v>
      </c>
      <c r="C269">
        <v>104</v>
      </c>
      <c r="D269">
        <v>101</v>
      </c>
      <c r="E269">
        <v>110.5</v>
      </c>
      <c r="F269">
        <v>84</v>
      </c>
      <c r="G269">
        <v>77</v>
      </c>
    </row>
    <row r="270" spans="1:7">
      <c r="A270">
        <v>240721</v>
      </c>
      <c r="B270" t="s">
        <v>276</v>
      </c>
      <c r="C270">
        <v>96</v>
      </c>
      <c r="D270">
        <v>113</v>
      </c>
      <c r="E270">
        <v>112.5</v>
      </c>
      <c r="F270">
        <v>88</v>
      </c>
      <c r="G270">
        <v>83</v>
      </c>
    </row>
    <row r="271" spans="1:7">
      <c r="A271">
        <v>240722</v>
      </c>
      <c r="B271" t="s">
        <v>277</v>
      </c>
      <c r="C271">
        <v>97</v>
      </c>
      <c r="D271">
        <v>81</v>
      </c>
      <c r="E271">
        <v>102</v>
      </c>
      <c r="F271">
        <v>86</v>
      </c>
      <c r="G271">
        <v>75</v>
      </c>
    </row>
    <row r="272" spans="1:7">
      <c r="A272">
        <v>240723</v>
      </c>
      <c r="B272" t="s">
        <v>278</v>
      </c>
      <c r="C272">
        <v>97</v>
      </c>
      <c r="D272">
        <v>82</v>
      </c>
      <c r="E272">
        <v>102</v>
      </c>
      <c r="F272">
        <v>66</v>
      </c>
      <c r="G272">
        <v>57</v>
      </c>
    </row>
    <row r="273" spans="1:7">
      <c r="A273">
        <v>240724</v>
      </c>
      <c r="B273" t="s">
        <v>279</v>
      </c>
      <c r="C273">
        <v>95</v>
      </c>
      <c r="D273">
        <v>95</v>
      </c>
      <c r="E273">
        <v>111.5</v>
      </c>
      <c r="F273">
        <v>79</v>
      </c>
      <c r="G273">
        <v>78</v>
      </c>
    </row>
    <row r="274" spans="1:7">
      <c r="A274">
        <v>240725</v>
      </c>
      <c r="B274" t="s">
        <v>280</v>
      </c>
      <c r="C274">
        <v>95</v>
      </c>
      <c r="D274">
        <v>74</v>
      </c>
      <c r="E274">
        <v>97</v>
      </c>
      <c r="F274">
        <v>62</v>
      </c>
      <c r="G274">
        <v>65</v>
      </c>
    </row>
    <row r="275" spans="1:7">
      <c r="A275">
        <v>240726</v>
      </c>
      <c r="B275" t="s">
        <v>281</v>
      </c>
      <c r="C275">
        <v>93</v>
      </c>
      <c r="D275">
        <v>99</v>
      </c>
      <c r="E275">
        <v>110.5</v>
      </c>
      <c r="F275">
        <v>85</v>
      </c>
      <c r="G275">
        <v>72</v>
      </c>
    </row>
    <row r="276" spans="1:7">
      <c r="A276">
        <v>240727</v>
      </c>
      <c r="B276" t="s">
        <v>282</v>
      </c>
      <c r="C276">
        <v>102</v>
      </c>
      <c r="D276">
        <v>101</v>
      </c>
      <c r="E276">
        <v>110</v>
      </c>
      <c r="F276">
        <v>76</v>
      </c>
      <c r="G276">
        <v>72</v>
      </c>
    </row>
    <row r="277" spans="1:7">
      <c r="A277">
        <v>240729</v>
      </c>
      <c r="B277" t="s">
        <v>283</v>
      </c>
      <c r="C277">
        <v>95</v>
      </c>
      <c r="D277">
        <v>93</v>
      </c>
      <c r="E277">
        <v>94.5</v>
      </c>
      <c r="F277">
        <v>86</v>
      </c>
      <c r="G277">
        <v>76</v>
      </c>
    </row>
    <row r="278" spans="1:7">
      <c r="A278">
        <v>240730</v>
      </c>
      <c r="B278" t="s">
        <v>284</v>
      </c>
      <c r="C278">
        <v>79</v>
      </c>
      <c r="D278">
        <v>100</v>
      </c>
      <c r="E278">
        <v>115</v>
      </c>
      <c r="F278">
        <v>65</v>
      </c>
      <c r="G278">
        <v>65</v>
      </c>
    </row>
    <row r="279" spans="1:7">
      <c r="A279">
        <v>240731</v>
      </c>
      <c r="B279" t="s">
        <v>285</v>
      </c>
      <c r="C279">
        <v>98</v>
      </c>
      <c r="D279">
        <v>92</v>
      </c>
      <c r="E279">
        <v>99</v>
      </c>
      <c r="F279">
        <v>66</v>
      </c>
      <c r="G279">
        <v>67</v>
      </c>
    </row>
    <row r="280" spans="1:7">
      <c r="A280">
        <v>240732</v>
      </c>
      <c r="B280" t="s">
        <v>286</v>
      </c>
      <c r="C280">
        <v>94</v>
      </c>
      <c r="D280">
        <v>97</v>
      </c>
      <c r="E280">
        <v>109</v>
      </c>
      <c r="F280">
        <v>89</v>
      </c>
      <c r="G280">
        <v>80</v>
      </c>
    </row>
    <row r="281" spans="1:7">
      <c r="A281">
        <v>240733</v>
      </c>
      <c r="B281" t="s">
        <v>287</v>
      </c>
      <c r="C281">
        <v>91</v>
      </c>
      <c r="D281">
        <v>91</v>
      </c>
      <c r="E281">
        <v>83.5</v>
      </c>
      <c r="F281">
        <v>82</v>
      </c>
      <c r="G281">
        <v>54</v>
      </c>
    </row>
    <row r="282" spans="1:7">
      <c r="A282">
        <v>240734</v>
      </c>
      <c r="B282" t="s">
        <v>288</v>
      </c>
      <c r="C282">
        <v>105</v>
      </c>
      <c r="D282">
        <v>103</v>
      </c>
      <c r="E282">
        <v>109.5</v>
      </c>
      <c r="F282">
        <v>88</v>
      </c>
      <c r="G282">
        <v>82</v>
      </c>
    </row>
    <row r="283" spans="1:7">
      <c r="A283">
        <v>240735</v>
      </c>
      <c r="B283" t="s">
        <v>289</v>
      </c>
      <c r="C283">
        <v>91</v>
      </c>
      <c r="D283">
        <v>87</v>
      </c>
      <c r="E283">
        <v>97</v>
      </c>
      <c r="F283">
        <v>76</v>
      </c>
      <c r="G283">
        <v>64</v>
      </c>
    </row>
    <row r="284" spans="1:7">
      <c r="A284">
        <v>240736</v>
      </c>
      <c r="B284" t="s">
        <v>290</v>
      </c>
      <c r="C284">
        <v>106</v>
      </c>
      <c r="D284">
        <v>101</v>
      </c>
      <c r="E284">
        <v>108</v>
      </c>
      <c r="F284">
        <v>88</v>
      </c>
      <c r="G284">
        <v>79</v>
      </c>
    </row>
    <row r="285" spans="1:7">
      <c r="A285">
        <v>240737</v>
      </c>
      <c r="B285" t="s">
        <v>291</v>
      </c>
      <c r="C285">
        <v>92</v>
      </c>
      <c r="D285">
        <v>105</v>
      </c>
      <c r="E285">
        <v>107.5</v>
      </c>
      <c r="F285">
        <v>76</v>
      </c>
      <c r="G285">
        <v>74</v>
      </c>
    </row>
    <row r="286" spans="1:7">
      <c r="A286">
        <v>240738</v>
      </c>
      <c r="B286" t="s">
        <v>292</v>
      </c>
      <c r="C286">
        <v>93</v>
      </c>
      <c r="D286">
        <v>95</v>
      </c>
      <c r="E286">
        <v>94</v>
      </c>
      <c r="F286">
        <v>64</v>
      </c>
      <c r="G286">
        <v>68</v>
      </c>
    </row>
    <row r="287" spans="1:7">
      <c r="A287">
        <v>240739</v>
      </c>
      <c r="B287" t="s">
        <v>293</v>
      </c>
      <c r="C287">
        <v>90</v>
      </c>
      <c r="D287">
        <v>95</v>
      </c>
      <c r="E287">
        <v>95.5</v>
      </c>
      <c r="F287">
        <v>81</v>
      </c>
      <c r="G287">
        <v>74</v>
      </c>
    </row>
    <row r="288" spans="1:7">
      <c r="A288">
        <v>240740</v>
      </c>
      <c r="B288" t="s">
        <v>294</v>
      </c>
      <c r="C288" t="e">
        <v>#N/A</v>
      </c>
      <c r="D288" t="e">
        <v>#N/A</v>
      </c>
      <c r="E288" t="e">
        <v>#N/A</v>
      </c>
      <c r="F288" t="e">
        <v>#N/A</v>
      </c>
      <c r="G288" t="e">
        <v>#N/A</v>
      </c>
    </row>
    <row r="289" spans="1:7">
      <c r="A289">
        <v>240801</v>
      </c>
      <c r="B289" t="s">
        <v>295</v>
      </c>
      <c r="C289">
        <v>86</v>
      </c>
      <c r="D289">
        <v>104</v>
      </c>
      <c r="E289">
        <v>108.5</v>
      </c>
      <c r="F289">
        <v>76</v>
      </c>
      <c r="G289">
        <v>74</v>
      </c>
    </row>
    <row r="290" spans="1:7">
      <c r="A290">
        <v>240802</v>
      </c>
      <c r="B290" t="s">
        <v>296</v>
      </c>
      <c r="C290">
        <v>102</v>
      </c>
      <c r="D290">
        <v>106</v>
      </c>
      <c r="E290">
        <v>116</v>
      </c>
      <c r="F290">
        <v>87</v>
      </c>
      <c r="G290">
        <v>83</v>
      </c>
    </row>
    <row r="291" spans="1:7">
      <c r="A291">
        <v>240803</v>
      </c>
      <c r="B291" t="s">
        <v>297</v>
      </c>
      <c r="C291">
        <v>96</v>
      </c>
      <c r="D291">
        <v>107</v>
      </c>
      <c r="E291">
        <v>112.5</v>
      </c>
      <c r="F291">
        <v>83</v>
      </c>
      <c r="G291">
        <v>83</v>
      </c>
    </row>
    <row r="292" spans="1:7">
      <c r="A292">
        <v>240804</v>
      </c>
      <c r="B292" t="s">
        <v>298</v>
      </c>
      <c r="C292">
        <v>97</v>
      </c>
      <c r="D292">
        <v>98</v>
      </c>
      <c r="E292">
        <v>105</v>
      </c>
      <c r="F292">
        <v>77</v>
      </c>
      <c r="G292">
        <v>77</v>
      </c>
    </row>
    <row r="293" spans="1:7">
      <c r="A293">
        <v>240805</v>
      </c>
      <c r="B293" t="s">
        <v>299</v>
      </c>
      <c r="C293" t="s">
        <v>61</v>
      </c>
      <c r="D293" t="s">
        <v>61</v>
      </c>
      <c r="E293" t="s">
        <v>61</v>
      </c>
      <c r="F293" t="s">
        <v>61</v>
      </c>
      <c r="G293" t="s">
        <v>61</v>
      </c>
    </row>
    <row r="294" spans="1:7">
      <c r="A294">
        <v>240806</v>
      </c>
      <c r="B294" t="s">
        <v>300</v>
      </c>
      <c r="C294">
        <v>104</v>
      </c>
      <c r="D294">
        <v>101</v>
      </c>
      <c r="E294">
        <v>110</v>
      </c>
      <c r="F294">
        <v>82</v>
      </c>
      <c r="G294">
        <v>78</v>
      </c>
    </row>
    <row r="295" spans="1:7">
      <c r="A295">
        <v>240807</v>
      </c>
      <c r="B295" t="s">
        <v>301</v>
      </c>
      <c r="C295">
        <v>109</v>
      </c>
      <c r="D295">
        <v>110</v>
      </c>
      <c r="E295">
        <v>115.5</v>
      </c>
      <c r="F295">
        <v>82</v>
      </c>
      <c r="G295">
        <v>81</v>
      </c>
    </row>
    <row r="296" spans="1:7">
      <c r="A296">
        <v>240808</v>
      </c>
      <c r="B296" t="s">
        <v>302</v>
      </c>
      <c r="C296">
        <v>98</v>
      </c>
      <c r="D296">
        <v>86</v>
      </c>
      <c r="E296">
        <v>115.5</v>
      </c>
      <c r="F296">
        <v>77</v>
      </c>
      <c r="G296">
        <v>76</v>
      </c>
    </row>
    <row r="297" spans="1:7">
      <c r="A297">
        <v>240809</v>
      </c>
      <c r="B297" t="s">
        <v>303</v>
      </c>
      <c r="C297">
        <v>101</v>
      </c>
      <c r="D297">
        <v>104</v>
      </c>
      <c r="E297">
        <v>110</v>
      </c>
      <c r="F297">
        <v>82</v>
      </c>
      <c r="G297">
        <v>77</v>
      </c>
    </row>
    <row r="298" spans="1:7">
      <c r="A298">
        <v>240810</v>
      </c>
      <c r="B298" t="s">
        <v>304</v>
      </c>
      <c r="C298">
        <v>94</v>
      </c>
      <c r="D298">
        <v>93</v>
      </c>
      <c r="E298">
        <v>96</v>
      </c>
      <c r="F298">
        <v>70</v>
      </c>
      <c r="G298">
        <v>71</v>
      </c>
    </row>
    <row r="299" spans="1:7">
      <c r="A299">
        <v>240811</v>
      </c>
      <c r="B299" t="s">
        <v>305</v>
      </c>
      <c r="C299">
        <v>107</v>
      </c>
      <c r="D299">
        <v>95</v>
      </c>
      <c r="E299">
        <v>110.5</v>
      </c>
      <c r="F299">
        <v>79</v>
      </c>
      <c r="G299">
        <v>61</v>
      </c>
    </row>
    <row r="300" spans="1:7">
      <c r="A300">
        <v>240812</v>
      </c>
      <c r="B300" t="s">
        <v>306</v>
      </c>
      <c r="C300">
        <v>95</v>
      </c>
      <c r="D300">
        <v>99</v>
      </c>
      <c r="E300">
        <v>109</v>
      </c>
      <c r="F300">
        <v>87</v>
      </c>
      <c r="G300">
        <v>77</v>
      </c>
    </row>
    <row r="301" spans="1:7">
      <c r="A301">
        <v>240813</v>
      </c>
      <c r="B301" t="s">
        <v>307</v>
      </c>
      <c r="C301">
        <v>94</v>
      </c>
      <c r="D301">
        <v>99</v>
      </c>
      <c r="E301">
        <v>111.5</v>
      </c>
      <c r="F301">
        <v>86</v>
      </c>
      <c r="G301">
        <v>74</v>
      </c>
    </row>
    <row r="302" spans="1:7">
      <c r="A302">
        <v>240814</v>
      </c>
      <c r="B302" t="s">
        <v>308</v>
      </c>
      <c r="C302">
        <v>87</v>
      </c>
      <c r="D302">
        <v>99</v>
      </c>
      <c r="E302">
        <v>99</v>
      </c>
      <c r="F302">
        <v>82</v>
      </c>
      <c r="G302">
        <v>68</v>
      </c>
    </row>
    <row r="303" spans="1:7">
      <c r="A303">
        <v>240815</v>
      </c>
      <c r="B303" t="s">
        <v>309</v>
      </c>
      <c r="C303">
        <v>96</v>
      </c>
      <c r="D303">
        <v>69</v>
      </c>
      <c r="E303">
        <v>112.5</v>
      </c>
      <c r="F303">
        <v>78</v>
      </c>
      <c r="G303">
        <v>75</v>
      </c>
    </row>
    <row r="304" spans="1:7">
      <c r="A304">
        <v>240816</v>
      </c>
      <c r="B304" t="s">
        <v>310</v>
      </c>
      <c r="C304">
        <v>90</v>
      </c>
      <c r="D304">
        <v>97</v>
      </c>
      <c r="E304">
        <v>94.5</v>
      </c>
      <c r="F304">
        <v>78</v>
      </c>
      <c r="G304">
        <v>74</v>
      </c>
    </row>
    <row r="305" spans="1:7">
      <c r="A305">
        <v>240817</v>
      </c>
      <c r="B305" t="s">
        <v>311</v>
      </c>
      <c r="C305">
        <v>106</v>
      </c>
      <c r="D305">
        <v>98</v>
      </c>
      <c r="E305">
        <v>117.5</v>
      </c>
      <c r="F305">
        <v>84</v>
      </c>
      <c r="G305">
        <v>78</v>
      </c>
    </row>
    <row r="306" spans="1:7">
      <c r="A306">
        <v>240818</v>
      </c>
      <c r="B306" t="s">
        <v>312</v>
      </c>
      <c r="C306">
        <v>92</v>
      </c>
      <c r="D306">
        <v>95</v>
      </c>
      <c r="E306">
        <v>102.5</v>
      </c>
      <c r="F306">
        <v>78</v>
      </c>
      <c r="G306">
        <v>67</v>
      </c>
    </row>
    <row r="307" spans="1:7">
      <c r="A307">
        <v>240819</v>
      </c>
      <c r="B307" t="s">
        <v>313</v>
      </c>
      <c r="C307">
        <v>87</v>
      </c>
      <c r="D307">
        <v>89</v>
      </c>
      <c r="E307">
        <v>106</v>
      </c>
      <c r="F307">
        <v>70</v>
      </c>
      <c r="G307">
        <v>80</v>
      </c>
    </row>
    <row r="308" spans="1:7">
      <c r="A308">
        <v>240820</v>
      </c>
      <c r="B308" t="s">
        <v>314</v>
      </c>
      <c r="C308">
        <v>102</v>
      </c>
      <c r="D308">
        <v>107</v>
      </c>
      <c r="E308">
        <v>107.5</v>
      </c>
      <c r="F308">
        <v>83</v>
      </c>
      <c r="G308">
        <v>83</v>
      </c>
    </row>
    <row r="309" spans="1:7">
      <c r="A309">
        <v>240821</v>
      </c>
      <c r="B309" t="s">
        <v>315</v>
      </c>
      <c r="C309">
        <v>80</v>
      </c>
      <c r="D309">
        <v>94</v>
      </c>
      <c r="E309">
        <v>100.5</v>
      </c>
      <c r="F309">
        <v>67</v>
      </c>
      <c r="G309">
        <v>71</v>
      </c>
    </row>
    <row r="310" spans="1:7">
      <c r="A310">
        <v>240822</v>
      </c>
      <c r="B310" t="s">
        <v>316</v>
      </c>
      <c r="C310">
        <v>103</v>
      </c>
      <c r="D310">
        <v>106</v>
      </c>
      <c r="E310">
        <v>113.5</v>
      </c>
      <c r="F310">
        <v>86</v>
      </c>
      <c r="G310">
        <v>84</v>
      </c>
    </row>
    <row r="311" spans="1:7">
      <c r="A311">
        <v>240823</v>
      </c>
      <c r="B311" t="s">
        <v>317</v>
      </c>
      <c r="C311">
        <v>94</v>
      </c>
      <c r="D311">
        <v>100</v>
      </c>
      <c r="E311">
        <v>109.5</v>
      </c>
      <c r="F311">
        <v>86</v>
      </c>
      <c r="G311">
        <v>75</v>
      </c>
    </row>
    <row r="312" spans="1:7">
      <c r="A312">
        <v>240824</v>
      </c>
      <c r="B312" t="s">
        <v>318</v>
      </c>
      <c r="C312">
        <v>97</v>
      </c>
      <c r="D312">
        <v>78</v>
      </c>
      <c r="E312">
        <v>107.5</v>
      </c>
      <c r="F312">
        <v>82</v>
      </c>
      <c r="G312">
        <v>65</v>
      </c>
    </row>
    <row r="313" spans="1:7">
      <c r="A313">
        <v>240825</v>
      </c>
      <c r="B313" t="s">
        <v>319</v>
      </c>
      <c r="C313">
        <v>86</v>
      </c>
      <c r="D313">
        <v>80</v>
      </c>
      <c r="E313">
        <v>95.5</v>
      </c>
      <c r="F313">
        <v>80</v>
      </c>
      <c r="G313">
        <v>69</v>
      </c>
    </row>
    <row r="314" spans="1:7">
      <c r="A314">
        <v>240826</v>
      </c>
      <c r="B314" t="s">
        <v>320</v>
      </c>
      <c r="C314">
        <v>99</v>
      </c>
      <c r="D314">
        <v>98</v>
      </c>
      <c r="E314">
        <v>98.5</v>
      </c>
      <c r="F314">
        <v>72</v>
      </c>
      <c r="G314">
        <v>71</v>
      </c>
    </row>
    <row r="315" spans="1:7">
      <c r="A315">
        <v>240827</v>
      </c>
      <c r="B315" t="s">
        <v>321</v>
      </c>
      <c r="C315">
        <v>98</v>
      </c>
      <c r="D315">
        <v>100</v>
      </c>
      <c r="E315">
        <v>108.5</v>
      </c>
      <c r="F315">
        <v>83</v>
      </c>
      <c r="G315">
        <v>79</v>
      </c>
    </row>
    <row r="316" spans="1:7">
      <c r="A316">
        <v>240828</v>
      </c>
      <c r="B316" t="s">
        <v>322</v>
      </c>
      <c r="C316">
        <v>101</v>
      </c>
      <c r="D316">
        <v>94</v>
      </c>
      <c r="E316">
        <v>119.5</v>
      </c>
      <c r="F316">
        <v>88</v>
      </c>
      <c r="G316">
        <v>81</v>
      </c>
    </row>
    <row r="317" spans="1:7">
      <c r="A317">
        <v>240829</v>
      </c>
      <c r="B317" t="s">
        <v>323</v>
      </c>
      <c r="C317">
        <v>99</v>
      </c>
      <c r="D317">
        <v>91</v>
      </c>
      <c r="E317">
        <v>107</v>
      </c>
      <c r="F317">
        <v>84</v>
      </c>
      <c r="G317">
        <v>79</v>
      </c>
    </row>
    <row r="318" spans="1:7">
      <c r="A318">
        <v>240830</v>
      </c>
      <c r="B318" t="s">
        <v>324</v>
      </c>
      <c r="C318">
        <v>93</v>
      </c>
      <c r="D318">
        <v>105</v>
      </c>
      <c r="E318">
        <v>119</v>
      </c>
      <c r="F318">
        <v>77</v>
      </c>
      <c r="G318">
        <v>74</v>
      </c>
    </row>
    <row r="319" spans="1:7">
      <c r="A319">
        <v>240831</v>
      </c>
      <c r="B319" t="s">
        <v>325</v>
      </c>
      <c r="C319">
        <v>94</v>
      </c>
      <c r="D319">
        <v>93</v>
      </c>
      <c r="E319">
        <v>99</v>
      </c>
      <c r="F319">
        <v>73</v>
      </c>
      <c r="G319">
        <v>60</v>
      </c>
    </row>
    <row r="320" spans="1:7">
      <c r="A320">
        <v>240832</v>
      </c>
      <c r="B320" t="s">
        <v>326</v>
      </c>
      <c r="C320">
        <v>88</v>
      </c>
      <c r="D320">
        <v>109</v>
      </c>
      <c r="E320">
        <v>110.5</v>
      </c>
      <c r="F320">
        <v>85</v>
      </c>
      <c r="G320">
        <v>79</v>
      </c>
    </row>
    <row r="321" spans="1:7">
      <c r="A321">
        <v>240833</v>
      </c>
      <c r="B321" t="s">
        <v>327</v>
      </c>
      <c r="C321">
        <v>80</v>
      </c>
      <c r="D321">
        <v>106</v>
      </c>
      <c r="E321">
        <v>83</v>
      </c>
      <c r="F321">
        <v>79</v>
      </c>
      <c r="G321">
        <v>66</v>
      </c>
    </row>
    <row r="322" spans="1:7">
      <c r="A322">
        <v>240834</v>
      </c>
      <c r="B322" t="s">
        <v>328</v>
      </c>
      <c r="C322">
        <v>106</v>
      </c>
      <c r="D322">
        <v>97</v>
      </c>
      <c r="E322">
        <v>100</v>
      </c>
      <c r="F322">
        <v>86</v>
      </c>
      <c r="G322">
        <v>84</v>
      </c>
    </row>
    <row r="323" spans="1:7">
      <c r="A323">
        <v>240836</v>
      </c>
      <c r="B323" t="s">
        <v>329</v>
      </c>
      <c r="C323">
        <v>79</v>
      </c>
      <c r="D323">
        <v>103</v>
      </c>
      <c r="E323">
        <v>93</v>
      </c>
      <c r="F323">
        <v>82</v>
      </c>
      <c r="G323">
        <v>68</v>
      </c>
    </row>
    <row r="324" spans="1:7">
      <c r="A324">
        <v>240837</v>
      </c>
      <c r="B324" t="s">
        <v>330</v>
      </c>
      <c r="C324">
        <v>83</v>
      </c>
      <c r="D324">
        <v>91</v>
      </c>
      <c r="E324">
        <v>101</v>
      </c>
      <c r="F324">
        <v>76</v>
      </c>
      <c r="G324">
        <v>75</v>
      </c>
    </row>
    <row r="325" spans="1:7">
      <c r="A325">
        <v>240838</v>
      </c>
      <c r="B325" t="s">
        <v>331</v>
      </c>
      <c r="C325">
        <v>108</v>
      </c>
      <c r="D325">
        <v>95</v>
      </c>
      <c r="E325">
        <v>116</v>
      </c>
      <c r="F325">
        <v>88</v>
      </c>
      <c r="G325">
        <v>76</v>
      </c>
    </row>
    <row r="326" spans="1:7">
      <c r="A326">
        <v>240839</v>
      </c>
      <c r="B326" t="s">
        <v>332</v>
      </c>
      <c r="C326">
        <v>82</v>
      </c>
      <c r="D326">
        <v>86</v>
      </c>
      <c r="E326">
        <v>54.5</v>
      </c>
      <c r="F326">
        <v>84</v>
      </c>
      <c r="G326">
        <v>62</v>
      </c>
    </row>
    <row r="327" spans="1:7">
      <c r="A327">
        <v>240840</v>
      </c>
      <c r="B327" t="s">
        <v>333</v>
      </c>
      <c r="C327">
        <v>97</v>
      </c>
      <c r="D327">
        <v>95</v>
      </c>
      <c r="E327">
        <v>104.5</v>
      </c>
      <c r="F327">
        <v>79</v>
      </c>
      <c r="G327">
        <v>79</v>
      </c>
    </row>
    <row r="328" spans="1:7">
      <c r="A328">
        <v>240901</v>
      </c>
      <c r="B328" t="s">
        <v>334</v>
      </c>
      <c r="C328">
        <v>80</v>
      </c>
      <c r="D328">
        <v>84</v>
      </c>
      <c r="E328">
        <v>80.5</v>
      </c>
      <c r="F328">
        <v>80</v>
      </c>
      <c r="G328">
        <v>66</v>
      </c>
    </row>
    <row r="329" spans="1:7">
      <c r="A329">
        <v>240902</v>
      </c>
      <c r="B329" t="s">
        <v>335</v>
      </c>
      <c r="C329">
        <v>114</v>
      </c>
      <c r="D329">
        <v>102</v>
      </c>
      <c r="E329">
        <v>111.5</v>
      </c>
      <c r="F329">
        <v>87</v>
      </c>
      <c r="G329">
        <v>79</v>
      </c>
    </row>
    <row r="330" spans="1:7">
      <c r="A330">
        <v>240903</v>
      </c>
      <c r="B330" t="s">
        <v>336</v>
      </c>
      <c r="C330">
        <v>102</v>
      </c>
      <c r="D330">
        <v>105</v>
      </c>
      <c r="E330">
        <v>117</v>
      </c>
      <c r="F330">
        <v>88</v>
      </c>
      <c r="G330">
        <v>86</v>
      </c>
    </row>
    <row r="331" spans="1:7">
      <c r="A331">
        <v>240904</v>
      </c>
      <c r="B331" t="s">
        <v>337</v>
      </c>
      <c r="C331">
        <v>77</v>
      </c>
      <c r="D331">
        <v>82</v>
      </c>
      <c r="E331">
        <v>109.5</v>
      </c>
      <c r="F331">
        <v>67</v>
      </c>
      <c r="G331">
        <v>65</v>
      </c>
    </row>
    <row r="332" spans="1:7">
      <c r="A332">
        <v>240905</v>
      </c>
      <c r="B332" t="s">
        <v>338</v>
      </c>
      <c r="C332">
        <v>82</v>
      </c>
      <c r="D332">
        <v>97</v>
      </c>
      <c r="E332">
        <v>93.5</v>
      </c>
      <c r="F332">
        <v>81</v>
      </c>
      <c r="G332">
        <v>82</v>
      </c>
    </row>
    <row r="333" spans="1:7">
      <c r="A333">
        <v>240906</v>
      </c>
      <c r="B333" t="s">
        <v>339</v>
      </c>
      <c r="C333">
        <v>102</v>
      </c>
      <c r="D333">
        <v>106</v>
      </c>
      <c r="E333">
        <v>109</v>
      </c>
      <c r="F333">
        <v>84</v>
      </c>
      <c r="G333">
        <v>85</v>
      </c>
    </row>
    <row r="334" spans="1:7">
      <c r="A334">
        <v>240907</v>
      </c>
      <c r="B334" t="s">
        <v>340</v>
      </c>
      <c r="C334">
        <v>92</v>
      </c>
      <c r="D334">
        <v>93</v>
      </c>
      <c r="E334">
        <v>86.5</v>
      </c>
      <c r="F334">
        <v>67</v>
      </c>
      <c r="G334">
        <v>61</v>
      </c>
    </row>
    <row r="335" spans="1:7">
      <c r="A335">
        <v>240908</v>
      </c>
      <c r="B335" t="s">
        <v>341</v>
      </c>
      <c r="C335">
        <v>105</v>
      </c>
      <c r="D335">
        <v>101</v>
      </c>
      <c r="E335">
        <v>110</v>
      </c>
      <c r="F335">
        <v>77</v>
      </c>
      <c r="G335">
        <v>68</v>
      </c>
    </row>
    <row r="336" spans="1:7">
      <c r="A336">
        <v>240909</v>
      </c>
      <c r="B336" t="s">
        <v>342</v>
      </c>
      <c r="C336">
        <v>108</v>
      </c>
      <c r="D336">
        <v>100</v>
      </c>
      <c r="E336">
        <v>114</v>
      </c>
      <c r="F336">
        <v>86</v>
      </c>
      <c r="G336">
        <v>72</v>
      </c>
    </row>
    <row r="337" spans="1:7">
      <c r="A337">
        <v>240910</v>
      </c>
      <c r="B337" t="s">
        <v>343</v>
      </c>
      <c r="C337">
        <v>87</v>
      </c>
      <c r="D337">
        <v>104</v>
      </c>
      <c r="E337">
        <v>115</v>
      </c>
      <c r="F337">
        <v>84</v>
      </c>
      <c r="G337">
        <v>78</v>
      </c>
    </row>
    <row r="338" spans="1:7">
      <c r="A338">
        <v>240911</v>
      </c>
      <c r="B338" t="s">
        <v>344</v>
      </c>
      <c r="C338">
        <v>103</v>
      </c>
      <c r="D338">
        <v>106</v>
      </c>
      <c r="E338">
        <v>113</v>
      </c>
      <c r="F338">
        <v>76</v>
      </c>
      <c r="G338">
        <v>67</v>
      </c>
    </row>
    <row r="339" spans="1:7">
      <c r="A339">
        <v>240912</v>
      </c>
      <c r="B339" t="s">
        <v>345</v>
      </c>
      <c r="C339">
        <v>97</v>
      </c>
      <c r="D339">
        <v>108</v>
      </c>
      <c r="E339">
        <v>114</v>
      </c>
      <c r="F339">
        <v>88</v>
      </c>
      <c r="G339">
        <v>81</v>
      </c>
    </row>
    <row r="340" spans="1:7">
      <c r="A340">
        <v>240913</v>
      </c>
      <c r="B340" t="s">
        <v>346</v>
      </c>
      <c r="C340">
        <v>91</v>
      </c>
      <c r="D340">
        <v>69</v>
      </c>
      <c r="E340">
        <v>84</v>
      </c>
      <c r="F340">
        <v>69</v>
      </c>
      <c r="G340">
        <v>68</v>
      </c>
    </row>
    <row r="341" spans="1:7">
      <c r="A341">
        <v>240914</v>
      </c>
      <c r="B341" t="s">
        <v>347</v>
      </c>
      <c r="C341">
        <v>110</v>
      </c>
      <c r="D341">
        <v>100</v>
      </c>
      <c r="E341">
        <v>112</v>
      </c>
      <c r="F341">
        <v>85</v>
      </c>
      <c r="G341">
        <v>82</v>
      </c>
    </row>
    <row r="342" spans="1:7">
      <c r="A342">
        <v>240915</v>
      </c>
      <c r="B342" t="s">
        <v>348</v>
      </c>
      <c r="C342">
        <v>90</v>
      </c>
      <c r="D342">
        <v>107</v>
      </c>
      <c r="E342">
        <v>103.5</v>
      </c>
      <c r="F342">
        <v>81</v>
      </c>
      <c r="G342">
        <v>68</v>
      </c>
    </row>
    <row r="343" spans="1:7">
      <c r="A343">
        <v>240916</v>
      </c>
      <c r="B343" t="s">
        <v>349</v>
      </c>
      <c r="C343">
        <v>91</v>
      </c>
      <c r="D343">
        <v>101</v>
      </c>
      <c r="E343">
        <v>103.5</v>
      </c>
      <c r="F343">
        <v>77</v>
      </c>
      <c r="G343">
        <v>74</v>
      </c>
    </row>
    <row r="344" spans="1:7">
      <c r="A344">
        <v>240917</v>
      </c>
      <c r="B344" t="s">
        <v>350</v>
      </c>
      <c r="C344">
        <v>99</v>
      </c>
      <c r="D344">
        <v>105</v>
      </c>
      <c r="E344">
        <v>107.5</v>
      </c>
      <c r="F344">
        <v>85</v>
      </c>
      <c r="G344">
        <v>68</v>
      </c>
    </row>
    <row r="345" spans="1:7">
      <c r="A345">
        <v>240918</v>
      </c>
      <c r="B345" t="s">
        <v>351</v>
      </c>
      <c r="C345">
        <v>112</v>
      </c>
      <c r="D345">
        <v>103</v>
      </c>
      <c r="E345">
        <v>112.5</v>
      </c>
      <c r="F345">
        <v>77</v>
      </c>
      <c r="G345">
        <v>78</v>
      </c>
    </row>
    <row r="346" spans="1:7">
      <c r="A346">
        <v>240919</v>
      </c>
      <c r="B346" t="s">
        <v>352</v>
      </c>
      <c r="C346">
        <v>110</v>
      </c>
      <c r="D346">
        <v>103</v>
      </c>
      <c r="E346">
        <v>117</v>
      </c>
      <c r="F346">
        <v>87</v>
      </c>
      <c r="G346">
        <v>82</v>
      </c>
    </row>
    <row r="347" spans="1:7">
      <c r="A347">
        <v>240920</v>
      </c>
      <c r="B347" t="s">
        <v>353</v>
      </c>
      <c r="C347">
        <v>90</v>
      </c>
      <c r="D347">
        <v>77</v>
      </c>
      <c r="E347">
        <v>86</v>
      </c>
      <c r="F347">
        <v>68</v>
      </c>
      <c r="G347">
        <v>55</v>
      </c>
    </row>
    <row r="348" spans="1:7">
      <c r="A348">
        <v>240921</v>
      </c>
      <c r="B348" t="s">
        <v>354</v>
      </c>
      <c r="C348">
        <v>98</v>
      </c>
      <c r="D348">
        <v>100</v>
      </c>
      <c r="E348">
        <v>110.5</v>
      </c>
      <c r="F348">
        <v>83</v>
      </c>
      <c r="G348">
        <v>82</v>
      </c>
    </row>
    <row r="349" spans="1:7">
      <c r="A349">
        <v>240922</v>
      </c>
      <c r="B349" t="s">
        <v>355</v>
      </c>
      <c r="C349">
        <v>104</v>
      </c>
      <c r="D349">
        <v>105</v>
      </c>
      <c r="E349">
        <v>112</v>
      </c>
      <c r="F349">
        <v>86</v>
      </c>
      <c r="G349">
        <v>80</v>
      </c>
    </row>
    <row r="350" spans="1:7">
      <c r="A350">
        <v>240923</v>
      </c>
      <c r="B350" t="s">
        <v>356</v>
      </c>
      <c r="C350">
        <v>92</v>
      </c>
      <c r="D350">
        <v>95</v>
      </c>
      <c r="E350">
        <v>114</v>
      </c>
      <c r="F350">
        <v>84</v>
      </c>
      <c r="G350">
        <v>74</v>
      </c>
    </row>
    <row r="351" spans="1:7">
      <c r="A351">
        <v>240924</v>
      </c>
      <c r="B351" t="s">
        <v>357</v>
      </c>
      <c r="C351">
        <v>98</v>
      </c>
      <c r="D351">
        <v>92</v>
      </c>
      <c r="E351">
        <v>104</v>
      </c>
      <c r="F351">
        <v>82</v>
      </c>
      <c r="G351">
        <v>81</v>
      </c>
    </row>
    <row r="352" spans="1:7">
      <c r="A352">
        <v>240925</v>
      </c>
      <c r="B352" t="s">
        <v>358</v>
      </c>
      <c r="C352">
        <v>93</v>
      </c>
      <c r="D352">
        <v>103</v>
      </c>
      <c r="E352">
        <v>105</v>
      </c>
      <c r="F352">
        <v>85</v>
      </c>
      <c r="G352">
        <v>85</v>
      </c>
    </row>
    <row r="353" spans="1:7">
      <c r="A353">
        <v>240926</v>
      </c>
      <c r="B353" t="s">
        <v>359</v>
      </c>
      <c r="C353">
        <v>89</v>
      </c>
      <c r="D353">
        <v>103</v>
      </c>
      <c r="E353">
        <v>112.5</v>
      </c>
      <c r="F353">
        <v>76</v>
      </c>
      <c r="G353">
        <v>72</v>
      </c>
    </row>
    <row r="354" spans="1:7">
      <c r="A354">
        <v>240927</v>
      </c>
      <c r="B354" t="s">
        <v>360</v>
      </c>
      <c r="C354">
        <v>100</v>
      </c>
      <c r="D354">
        <v>105</v>
      </c>
      <c r="E354">
        <v>88.5</v>
      </c>
      <c r="F354">
        <v>87</v>
      </c>
      <c r="G354">
        <v>78</v>
      </c>
    </row>
    <row r="355" spans="1:7">
      <c r="A355">
        <v>240928</v>
      </c>
      <c r="B355" t="s">
        <v>361</v>
      </c>
      <c r="C355">
        <v>96</v>
      </c>
      <c r="D355">
        <v>102</v>
      </c>
      <c r="E355">
        <v>75</v>
      </c>
      <c r="F355">
        <v>87</v>
      </c>
      <c r="G355">
        <v>69</v>
      </c>
    </row>
    <row r="356" spans="1:7">
      <c r="A356">
        <v>240929</v>
      </c>
      <c r="B356" t="s">
        <v>362</v>
      </c>
      <c r="C356">
        <v>91</v>
      </c>
      <c r="D356">
        <v>113</v>
      </c>
      <c r="E356">
        <v>107.5</v>
      </c>
      <c r="F356">
        <v>80</v>
      </c>
      <c r="G356">
        <v>65</v>
      </c>
    </row>
    <row r="357" spans="1:7">
      <c r="A357">
        <v>240930</v>
      </c>
      <c r="B357" t="s">
        <v>363</v>
      </c>
      <c r="C357">
        <v>93</v>
      </c>
      <c r="D357">
        <v>100</v>
      </c>
      <c r="E357">
        <v>110.5</v>
      </c>
      <c r="F357">
        <v>86</v>
      </c>
      <c r="G357">
        <v>78</v>
      </c>
    </row>
    <row r="358" spans="1:7">
      <c r="A358">
        <v>240931</v>
      </c>
      <c r="B358" t="s">
        <v>364</v>
      </c>
      <c r="C358">
        <v>94</v>
      </c>
      <c r="D358">
        <v>91</v>
      </c>
      <c r="E358">
        <v>105</v>
      </c>
      <c r="F358">
        <v>76</v>
      </c>
      <c r="G358">
        <v>70</v>
      </c>
    </row>
    <row r="359" spans="1:7">
      <c r="A359">
        <v>240932</v>
      </c>
      <c r="B359" t="s">
        <v>365</v>
      </c>
      <c r="C359">
        <v>93</v>
      </c>
      <c r="D359">
        <v>89</v>
      </c>
      <c r="E359">
        <v>108.5</v>
      </c>
      <c r="F359">
        <v>79</v>
      </c>
      <c r="G359">
        <v>79</v>
      </c>
    </row>
    <row r="360" spans="1:7">
      <c r="A360">
        <v>240933</v>
      </c>
      <c r="B360" t="s">
        <v>366</v>
      </c>
      <c r="C360">
        <v>95</v>
      </c>
      <c r="D360">
        <v>107</v>
      </c>
      <c r="E360">
        <v>116.5</v>
      </c>
      <c r="F360">
        <v>89</v>
      </c>
      <c r="G360">
        <v>80</v>
      </c>
    </row>
    <row r="361" spans="1:7">
      <c r="A361">
        <v>240934</v>
      </c>
      <c r="B361" t="s">
        <v>367</v>
      </c>
      <c r="C361">
        <v>103</v>
      </c>
      <c r="D361">
        <v>100</v>
      </c>
      <c r="E361">
        <v>112</v>
      </c>
      <c r="F361">
        <v>81</v>
      </c>
      <c r="G361">
        <v>74</v>
      </c>
    </row>
    <row r="362" spans="1:7">
      <c r="A362">
        <v>240935</v>
      </c>
      <c r="B362" t="s">
        <v>368</v>
      </c>
      <c r="C362">
        <v>108</v>
      </c>
      <c r="D362">
        <v>106</v>
      </c>
      <c r="E362">
        <v>117</v>
      </c>
      <c r="F362">
        <v>85</v>
      </c>
      <c r="G362">
        <v>85</v>
      </c>
    </row>
    <row r="363" spans="1:7">
      <c r="A363">
        <v>240936</v>
      </c>
      <c r="B363" t="s">
        <v>369</v>
      </c>
      <c r="C363">
        <v>95</v>
      </c>
      <c r="D363">
        <v>84</v>
      </c>
      <c r="E363">
        <v>103</v>
      </c>
      <c r="F363">
        <v>82</v>
      </c>
      <c r="G363">
        <v>68</v>
      </c>
    </row>
    <row r="364" spans="1:7">
      <c r="A364">
        <v>240938</v>
      </c>
      <c r="B364" t="s">
        <v>370</v>
      </c>
      <c r="C364">
        <v>106</v>
      </c>
      <c r="D364">
        <v>113</v>
      </c>
      <c r="E364">
        <v>115</v>
      </c>
      <c r="F364">
        <v>90</v>
      </c>
      <c r="G364">
        <v>85</v>
      </c>
    </row>
    <row r="365" spans="1:7">
      <c r="A365">
        <v>240939</v>
      </c>
      <c r="B365" t="s">
        <v>371</v>
      </c>
      <c r="C365">
        <v>98</v>
      </c>
      <c r="D365">
        <v>92</v>
      </c>
      <c r="E365">
        <v>111.5</v>
      </c>
      <c r="F365">
        <v>85</v>
      </c>
      <c r="G365">
        <v>83</v>
      </c>
    </row>
    <row r="366" spans="1:7">
      <c r="A366">
        <v>240940</v>
      </c>
      <c r="B366" t="s">
        <v>372</v>
      </c>
      <c r="C366">
        <v>100</v>
      </c>
      <c r="D366">
        <v>103</v>
      </c>
      <c r="E366">
        <v>107.5</v>
      </c>
      <c r="F366">
        <v>81</v>
      </c>
      <c r="G366">
        <v>80</v>
      </c>
    </row>
    <row r="367" spans="1:7">
      <c r="A367">
        <v>240522</v>
      </c>
      <c r="B367" t="s">
        <v>373</v>
      </c>
      <c r="C367">
        <v>105</v>
      </c>
      <c r="D367">
        <v>107</v>
      </c>
      <c r="E367">
        <v>115.5</v>
      </c>
      <c r="F367">
        <v>89</v>
      </c>
      <c r="G367">
        <v>82</v>
      </c>
    </row>
    <row r="368" spans="1:7">
      <c r="A368">
        <v>240534</v>
      </c>
      <c r="B368" t="s">
        <v>374</v>
      </c>
      <c r="C368">
        <v>107</v>
      </c>
      <c r="D368">
        <v>102</v>
      </c>
      <c r="E368">
        <v>111.5</v>
      </c>
      <c r="F368">
        <v>86</v>
      </c>
      <c r="G368">
        <v>83</v>
      </c>
    </row>
    <row r="369" spans="1:7">
      <c r="A369">
        <v>241001</v>
      </c>
      <c r="B369" t="s">
        <v>375</v>
      </c>
      <c r="C369">
        <v>101</v>
      </c>
      <c r="D369">
        <v>109</v>
      </c>
      <c r="E369">
        <v>115</v>
      </c>
      <c r="F369">
        <v>83</v>
      </c>
      <c r="G369">
        <v>80</v>
      </c>
    </row>
    <row r="370" spans="1:7">
      <c r="A370">
        <v>241002</v>
      </c>
      <c r="B370" t="s">
        <v>376</v>
      </c>
      <c r="C370">
        <v>104</v>
      </c>
      <c r="D370">
        <v>83</v>
      </c>
      <c r="E370">
        <v>103.5</v>
      </c>
      <c r="F370">
        <v>80</v>
      </c>
      <c r="G370">
        <v>79</v>
      </c>
    </row>
    <row r="371" spans="1:7">
      <c r="A371">
        <v>241003</v>
      </c>
      <c r="B371" t="s">
        <v>377</v>
      </c>
      <c r="C371">
        <v>116</v>
      </c>
      <c r="D371">
        <v>82</v>
      </c>
      <c r="E371">
        <v>102.5</v>
      </c>
      <c r="F371">
        <v>85</v>
      </c>
      <c r="G371">
        <v>85</v>
      </c>
    </row>
    <row r="372" spans="1:7">
      <c r="A372">
        <v>241004</v>
      </c>
      <c r="B372" t="s">
        <v>378</v>
      </c>
      <c r="C372">
        <v>92</v>
      </c>
      <c r="D372">
        <v>97</v>
      </c>
      <c r="E372">
        <v>112.5</v>
      </c>
      <c r="F372">
        <v>74</v>
      </c>
      <c r="G372">
        <v>75</v>
      </c>
    </row>
    <row r="373" spans="1:7">
      <c r="A373">
        <v>241005</v>
      </c>
      <c r="B373" t="s">
        <v>379</v>
      </c>
      <c r="C373">
        <v>93</v>
      </c>
      <c r="D373">
        <v>95</v>
      </c>
      <c r="E373">
        <v>105</v>
      </c>
      <c r="F373">
        <v>85</v>
      </c>
      <c r="G373">
        <v>74</v>
      </c>
    </row>
    <row r="374" spans="1:7">
      <c r="A374">
        <v>241006</v>
      </c>
      <c r="B374" t="s">
        <v>380</v>
      </c>
      <c r="C374">
        <v>109</v>
      </c>
      <c r="D374">
        <v>115</v>
      </c>
      <c r="E374">
        <v>116.5</v>
      </c>
      <c r="F374">
        <v>89</v>
      </c>
      <c r="G374">
        <v>87</v>
      </c>
    </row>
    <row r="375" spans="1:7">
      <c r="A375">
        <v>241007</v>
      </c>
      <c r="B375" t="s">
        <v>381</v>
      </c>
      <c r="C375">
        <v>83</v>
      </c>
      <c r="D375">
        <v>85</v>
      </c>
      <c r="E375">
        <v>80</v>
      </c>
      <c r="F375">
        <v>79</v>
      </c>
      <c r="G375">
        <v>65</v>
      </c>
    </row>
    <row r="376" spans="1:7">
      <c r="A376">
        <v>241008</v>
      </c>
      <c r="B376" t="s">
        <v>382</v>
      </c>
      <c r="C376">
        <v>100</v>
      </c>
      <c r="D376">
        <v>92</v>
      </c>
      <c r="E376">
        <v>115.5</v>
      </c>
      <c r="F376">
        <v>89</v>
      </c>
      <c r="G376">
        <v>83</v>
      </c>
    </row>
    <row r="377" spans="1:7">
      <c r="A377">
        <v>241009</v>
      </c>
      <c r="B377" t="s">
        <v>383</v>
      </c>
      <c r="C377">
        <v>84</v>
      </c>
      <c r="D377">
        <v>97</v>
      </c>
      <c r="E377">
        <v>94</v>
      </c>
      <c r="F377">
        <v>69</v>
      </c>
      <c r="G377">
        <v>67</v>
      </c>
    </row>
    <row r="378" spans="1:7">
      <c r="A378">
        <v>241010</v>
      </c>
      <c r="B378" t="s">
        <v>384</v>
      </c>
      <c r="C378">
        <v>87</v>
      </c>
      <c r="D378">
        <v>99</v>
      </c>
      <c r="E378">
        <v>97.5</v>
      </c>
      <c r="F378">
        <v>81</v>
      </c>
      <c r="G378">
        <v>72</v>
      </c>
    </row>
    <row r="379" spans="1:7">
      <c r="A379">
        <v>241011</v>
      </c>
      <c r="B379" t="s">
        <v>385</v>
      </c>
      <c r="C379">
        <v>99</v>
      </c>
      <c r="D379">
        <v>88</v>
      </c>
      <c r="E379">
        <v>102</v>
      </c>
      <c r="F379">
        <v>79</v>
      </c>
      <c r="G379">
        <v>63</v>
      </c>
    </row>
    <row r="380" spans="1:7">
      <c r="A380">
        <v>241012</v>
      </c>
      <c r="B380" t="s">
        <v>386</v>
      </c>
      <c r="C380">
        <v>92</v>
      </c>
      <c r="D380">
        <v>107</v>
      </c>
      <c r="E380">
        <v>113.5</v>
      </c>
      <c r="F380">
        <v>82</v>
      </c>
      <c r="G380">
        <v>79</v>
      </c>
    </row>
    <row r="381" spans="1:7">
      <c r="A381">
        <v>241013</v>
      </c>
      <c r="B381" t="s">
        <v>387</v>
      </c>
      <c r="C381">
        <v>98</v>
      </c>
      <c r="D381">
        <v>107</v>
      </c>
      <c r="E381">
        <v>99</v>
      </c>
      <c r="F381">
        <v>82</v>
      </c>
      <c r="G381">
        <v>69</v>
      </c>
    </row>
    <row r="382" spans="1:7">
      <c r="A382">
        <v>241014</v>
      </c>
      <c r="B382" t="s">
        <v>388</v>
      </c>
      <c r="C382">
        <v>108</v>
      </c>
      <c r="D382">
        <v>112</v>
      </c>
      <c r="E382">
        <v>115</v>
      </c>
      <c r="F382">
        <v>88</v>
      </c>
      <c r="G382">
        <v>85</v>
      </c>
    </row>
    <row r="383" spans="1:7">
      <c r="A383">
        <v>241015</v>
      </c>
      <c r="B383" t="s">
        <v>389</v>
      </c>
      <c r="C383">
        <v>87</v>
      </c>
      <c r="D383">
        <v>88</v>
      </c>
      <c r="E383">
        <v>100</v>
      </c>
      <c r="F383">
        <v>74</v>
      </c>
      <c r="G383">
        <v>71</v>
      </c>
    </row>
    <row r="384" spans="1:7">
      <c r="A384">
        <v>241016</v>
      </c>
      <c r="B384" t="s">
        <v>390</v>
      </c>
      <c r="C384">
        <v>82</v>
      </c>
      <c r="D384">
        <v>54</v>
      </c>
      <c r="E384">
        <v>85</v>
      </c>
      <c r="F384">
        <v>68</v>
      </c>
      <c r="G384">
        <v>52</v>
      </c>
    </row>
    <row r="385" spans="1:7">
      <c r="A385">
        <v>241017</v>
      </c>
      <c r="B385" t="s">
        <v>391</v>
      </c>
      <c r="C385">
        <v>85</v>
      </c>
      <c r="D385">
        <v>94</v>
      </c>
      <c r="E385">
        <v>84</v>
      </c>
      <c r="F385">
        <v>74</v>
      </c>
      <c r="G385">
        <v>70</v>
      </c>
    </row>
    <row r="386" spans="1:7">
      <c r="A386">
        <v>241018</v>
      </c>
      <c r="B386" t="s">
        <v>392</v>
      </c>
      <c r="C386">
        <v>101</v>
      </c>
      <c r="D386">
        <v>110</v>
      </c>
      <c r="E386">
        <v>107</v>
      </c>
      <c r="F386">
        <v>81</v>
      </c>
      <c r="G386">
        <v>77</v>
      </c>
    </row>
    <row r="387" spans="1:7">
      <c r="A387">
        <v>241019</v>
      </c>
      <c r="B387" t="s">
        <v>393</v>
      </c>
      <c r="C387">
        <v>101</v>
      </c>
      <c r="D387">
        <v>67</v>
      </c>
      <c r="E387">
        <v>103</v>
      </c>
      <c r="F387">
        <v>86</v>
      </c>
      <c r="G387">
        <v>79</v>
      </c>
    </row>
    <row r="388" spans="1:7">
      <c r="A388">
        <v>241020</v>
      </c>
      <c r="B388" t="s">
        <v>394</v>
      </c>
      <c r="C388">
        <v>94</v>
      </c>
      <c r="D388">
        <v>68</v>
      </c>
      <c r="E388">
        <v>81.5</v>
      </c>
      <c r="F388">
        <v>76</v>
      </c>
      <c r="G388">
        <v>54</v>
      </c>
    </row>
    <row r="389" spans="1:7">
      <c r="A389">
        <v>241021</v>
      </c>
      <c r="B389" t="s">
        <v>395</v>
      </c>
      <c r="C389">
        <v>110</v>
      </c>
      <c r="D389">
        <v>80</v>
      </c>
      <c r="E389">
        <v>105.5</v>
      </c>
      <c r="F389">
        <v>87</v>
      </c>
      <c r="G389">
        <v>80</v>
      </c>
    </row>
    <row r="390" spans="1:7">
      <c r="A390">
        <v>241022</v>
      </c>
      <c r="B390" t="s">
        <v>396</v>
      </c>
      <c r="C390">
        <v>105</v>
      </c>
      <c r="D390">
        <v>104</v>
      </c>
      <c r="E390">
        <v>110.5</v>
      </c>
      <c r="F390">
        <v>83</v>
      </c>
      <c r="G390">
        <v>80</v>
      </c>
    </row>
    <row r="391" spans="1:7">
      <c r="A391">
        <v>241023</v>
      </c>
      <c r="B391" t="s">
        <v>397</v>
      </c>
      <c r="C391">
        <v>96</v>
      </c>
      <c r="D391">
        <v>105</v>
      </c>
      <c r="E391">
        <v>108</v>
      </c>
      <c r="F391">
        <v>88</v>
      </c>
      <c r="G391">
        <v>81</v>
      </c>
    </row>
    <row r="392" spans="1:7">
      <c r="A392">
        <v>241024</v>
      </c>
      <c r="B392" t="s">
        <v>398</v>
      </c>
      <c r="C392">
        <v>102</v>
      </c>
      <c r="D392">
        <v>98</v>
      </c>
      <c r="E392">
        <v>114.5</v>
      </c>
      <c r="F392">
        <v>86</v>
      </c>
      <c r="G392">
        <v>84</v>
      </c>
    </row>
    <row r="393" spans="1:7">
      <c r="A393">
        <v>241025</v>
      </c>
      <c r="B393" t="s">
        <v>399</v>
      </c>
      <c r="C393">
        <v>98</v>
      </c>
      <c r="D393">
        <v>91</v>
      </c>
      <c r="E393">
        <v>100</v>
      </c>
      <c r="F393">
        <v>85</v>
      </c>
      <c r="G393">
        <v>73</v>
      </c>
    </row>
    <row r="394" spans="1:7">
      <c r="A394">
        <v>241026</v>
      </c>
      <c r="B394" t="s">
        <v>400</v>
      </c>
      <c r="C394">
        <v>92</v>
      </c>
      <c r="D394">
        <v>104</v>
      </c>
      <c r="E394">
        <v>111.5</v>
      </c>
      <c r="F394">
        <v>76</v>
      </c>
      <c r="G394">
        <v>71</v>
      </c>
    </row>
    <row r="395" spans="1:7">
      <c r="A395">
        <v>241027</v>
      </c>
      <c r="B395" t="s">
        <v>401</v>
      </c>
      <c r="C395">
        <v>85</v>
      </c>
      <c r="D395">
        <v>84</v>
      </c>
      <c r="E395">
        <v>80.5</v>
      </c>
      <c r="F395">
        <v>66</v>
      </c>
      <c r="G395">
        <v>64</v>
      </c>
    </row>
    <row r="396" spans="1:7">
      <c r="A396">
        <v>241028</v>
      </c>
      <c r="B396" t="s">
        <v>402</v>
      </c>
      <c r="C396">
        <v>106</v>
      </c>
      <c r="D396">
        <v>109</v>
      </c>
      <c r="E396">
        <v>114</v>
      </c>
      <c r="F396">
        <v>84</v>
      </c>
      <c r="G396">
        <v>78</v>
      </c>
    </row>
    <row r="397" spans="1:7">
      <c r="A397">
        <v>241029</v>
      </c>
      <c r="B397" t="s">
        <v>403</v>
      </c>
      <c r="C397">
        <v>102</v>
      </c>
      <c r="D397">
        <v>86</v>
      </c>
      <c r="E397">
        <v>108.5</v>
      </c>
      <c r="F397">
        <v>78</v>
      </c>
      <c r="G397">
        <v>83</v>
      </c>
    </row>
    <row r="398" spans="1:7">
      <c r="A398">
        <v>241030</v>
      </c>
      <c r="B398" t="s">
        <v>404</v>
      </c>
      <c r="C398">
        <v>108</v>
      </c>
      <c r="D398">
        <v>104</v>
      </c>
      <c r="E398">
        <v>116.5</v>
      </c>
      <c r="F398">
        <v>90</v>
      </c>
      <c r="G398">
        <v>84</v>
      </c>
    </row>
    <row r="399" spans="1:7">
      <c r="A399">
        <v>241031</v>
      </c>
      <c r="B399" t="s">
        <v>405</v>
      </c>
      <c r="C399">
        <v>105</v>
      </c>
      <c r="D399">
        <v>86</v>
      </c>
      <c r="E399">
        <v>104.5</v>
      </c>
      <c r="F399">
        <v>90</v>
      </c>
      <c r="G399">
        <v>72</v>
      </c>
    </row>
    <row r="400" spans="1:7">
      <c r="A400">
        <v>241032</v>
      </c>
      <c r="B400" t="s">
        <v>406</v>
      </c>
      <c r="C400">
        <v>85</v>
      </c>
      <c r="D400">
        <v>60</v>
      </c>
      <c r="E400">
        <v>76.5</v>
      </c>
      <c r="F400">
        <v>66</v>
      </c>
      <c r="G400">
        <v>56</v>
      </c>
    </row>
    <row r="401" spans="1:7">
      <c r="A401">
        <v>241033</v>
      </c>
      <c r="B401" t="s">
        <v>407</v>
      </c>
      <c r="C401">
        <v>102</v>
      </c>
      <c r="D401">
        <v>93</v>
      </c>
      <c r="E401">
        <v>108.5</v>
      </c>
      <c r="F401">
        <v>84</v>
      </c>
      <c r="G401">
        <v>80</v>
      </c>
    </row>
    <row r="402" spans="1:7">
      <c r="A402">
        <v>241034</v>
      </c>
      <c r="B402" t="s">
        <v>408</v>
      </c>
      <c r="C402">
        <v>104</v>
      </c>
      <c r="D402">
        <v>111</v>
      </c>
      <c r="E402">
        <v>111.5</v>
      </c>
      <c r="F402">
        <v>87</v>
      </c>
      <c r="G402">
        <v>80</v>
      </c>
    </row>
    <row r="403" spans="1:7">
      <c r="A403">
        <v>241035</v>
      </c>
      <c r="B403" t="s">
        <v>409</v>
      </c>
      <c r="C403">
        <v>105</v>
      </c>
      <c r="D403">
        <v>100</v>
      </c>
      <c r="E403">
        <v>101.5</v>
      </c>
      <c r="F403">
        <v>83</v>
      </c>
      <c r="G403">
        <v>78</v>
      </c>
    </row>
    <row r="404" spans="1:7">
      <c r="A404">
        <v>241036</v>
      </c>
      <c r="B404" t="s">
        <v>410</v>
      </c>
      <c r="C404">
        <v>99</v>
      </c>
      <c r="D404">
        <v>87</v>
      </c>
      <c r="E404">
        <v>103.5</v>
      </c>
      <c r="F404">
        <v>78</v>
      </c>
      <c r="G404">
        <v>74</v>
      </c>
    </row>
    <row r="405" spans="1:7">
      <c r="A405">
        <v>241037</v>
      </c>
      <c r="B405" t="s">
        <v>411</v>
      </c>
      <c r="C405">
        <v>111</v>
      </c>
      <c r="D405">
        <v>101</v>
      </c>
      <c r="E405">
        <v>107</v>
      </c>
      <c r="F405">
        <v>89</v>
      </c>
      <c r="G405">
        <v>74</v>
      </c>
    </row>
    <row r="406" spans="1:7">
      <c r="A406">
        <v>241038</v>
      </c>
      <c r="B406" t="s">
        <v>412</v>
      </c>
      <c r="C406">
        <v>93</v>
      </c>
      <c r="D406">
        <v>101</v>
      </c>
      <c r="E406">
        <v>102</v>
      </c>
      <c r="F406">
        <v>72</v>
      </c>
      <c r="G406">
        <v>67</v>
      </c>
    </row>
    <row r="407" spans="1:7">
      <c r="A407">
        <v>241039</v>
      </c>
      <c r="B407" t="s">
        <v>413</v>
      </c>
      <c r="C407">
        <v>97</v>
      </c>
      <c r="D407">
        <v>103</v>
      </c>
      <c r="E407">
        <v>106</v>
      </c>
      <c r="F407">
        <v>82</v>
      </c>
      <c r="G407">
        <v>69</v>
      </c>
    </row>
    <row r="408" spans="1:7">
      <c r="A408">
        <v>241040</v>
      </c>
      <c r="B408" t="s">
        <v>414</v>
      </c>
      <c r="C408">
        <v>103</v>
      </c>
      <c r="D408">
        <v>84</v>
      </c>
      <c r="E408">
        <v>91</v>
      </c>
      <c r="F408">
        <v>81</v>
      </c>
      <c r="G408">
        <v>77</v>
      </c>
    </row>
    <row r="409" spans="1:7">
      <c r="A409">
        <v>241101</v>
      </c>
      <c r="B409" t="s">
        <v>415</v>
      </c>
      <c r="C409">
        <v>95</v>
      </c>
      <c r="D409">
        <v>100</v>
      </c>
      <c r="E409">
        <v>108</v>
      </c>
      <c r="F409">
        <v>80</v>
      </c>
      <c r="G409">
        <v>84</v>
      </c>
    </row>
    <row r="410" spans="1:7">
      <c r="A410">
        <v>241102</v>
      </c>
      <c r="B410" t="s">
        <v>416</v>
      </c>
      <c r="C410">
        <v>104</v>
      </c>
      <c r="D410">
        <v>102</v>
      </c>
      <c r="E410">
        <v>118</v>
      </c>
      <c r="F410">
        <v>90</v>
      </c>
      <c r="G410">
        <v>84</v>
      </c>
    </row>
    <row r="411" spans="1:7">
      <c r="A411">
        <v>241103</v>
      </c>
      <c r="B411" t="s">
        <v>417</v>
      </c>
      <c r="C411">
        <v>98</v>
      </c>
      <c r="D411">
        <v>97</v>
      </c>
      <c r="E411">
        <v>114</v>
      </c>
      <c r="F411">
        <v>87</v>
      </c>
      <c r="G411">
        <v>81</v>
      </c>
    </row>
    <row r="412" spans="1:7">
      <c r="A412">
        <v>241104</v>
      </c>
      <c r="B412" t="s">
        <v>418</v>
      </c>
      <c r="C412">
        <v>94</v>
      </c>
      <c r="D412">
        <v>82</v>
      </c>
      <c r="E412">
        <v>104</v>
      </c>
      <c r="F412">
        <v>85</v>
      </c>
      <c r="G412">
        <v>65</v>
      </c>
    </row>
    <row r="413" spans="1:7">
      <c r="A413">
        <v>241105</v>
      </c>
      <c r="B413" t="s">
        <v>419</v>
      </c>
      <c r="C413">
        <v>93</v>
      </c>
      <c r="D413">
        <v>99</v>
      </c>
      <c r="E413">
        <v>116.5</v>
      </c>
      <c r="F413">
        <v>74</v>
      </c>
      <c r="G413">
        <v>77</v>
      </c>
    </row>
    <row r="414" spans="1:7">
      <c r="A414">
        <v>241106</v>
      </c>
      <c r="B414" t="s">
        <v>420</v>
      </c>
      <c r="C414">
        <v>98</v>
      </c>
      <c r="D414">
        <v>92</v>
      </c>
      <c r="E414">
        <v>111.5</v>
      </c>
      <c r="F414">
        <v>85</v>
      </c>
      <c r="G414">
        <v>79</v>
      </c>
    </row>
    <row r="415" spans="1:7">
      <c r="A415">
        <v>241107</v>
      </c>
      <c r="B415" t="s">
        <v>421</v>
      </c>
      <c r="C415">
        <v>109</v>
      </c>
      <c r="D415">
        <v>98</v>
      </c>
      <c r="E415">
        <v>114</v>
      </c>
      <c r="F415">
        <v>86</v>
      </c>
      <c r="G415">
        <v>81</v>
      </c>
    </row>
    <row r="416" spans="1:7">
      <c r="A416">
        <v>241108</v>
      </c>
      <c r="B416" t="s">
        <v>422</v>
      </c>
      <c r="C416">
        <v>97</v>
      </c>
      <c r="D416">
        <v>93</v>
      </c>
      <c r="E416">
        <v>109.5</v>
      </c>
      <c r="F416">
        <v>80</v>
      </c>
      <c r="G416">
        <v>75</v>
      </c>
    </row>
    <row r="417" spans="1:7">
      <c r="A417">
        <v>241109</v>
      </c>
      <c r="B417" t="s">
        <v>423</v>
      </c>
      <c r="C417" t="s">
        <v>61</v>
      </c>
      <c r="D417" t="s">
        <v>61</v>
      </c>
      <c r="E417">
        <v>85.5</v>
      </c>
      <c r="F417">
        <v>59</v>
      </c>
      <c r="G417" t="s">
        <v>61</v>
      </c>
    </row>
    <row r="418" spans="1:7">
      <c r="A418">
        <v>241110</v>
      </c>
      <c r="B418" t="s">
        <v>424</v>
      </c>
      <c r="C418">
        <v>97</v>
      </c>
      <c r="D418">
        <v>101</v>
      </c>
      <c r="E418">
        <v>111</v>
      </c>
      <c r="F418">
        <v>80</v>
      </c>
      <c r="G418">
        <v>78</v>
      </c>
    </row>
    <row r="419" spans="1:7">
      <c r="A419">
        <v>241111</v>
      </c>
      <c r="B419" t="s">
        <v>425</v>
      </c>
      <c r="C419">
        <v>98</v>
      </c>
      <c r="D419">
        <v>71</v>
      </c>
      <c r="E419">
        <v>104</v>
      </c>
      <c r="F419">
        <v>78</v>
      </c>
      <c r="G419">
        <v>73</v>
      </c>
    </row>
    <row r="420" spans="1:7">
      <c r="A420">
        <v>241112</v>
      </c>
      <c r="B420" t="s">
        <v>426</v>
      </c>
      <c r="C420" t="s">
        <v>61</v>
      </c>
      <c r="D420" t="s">
        <v>61</v>
      </c>
      <c r="E420">
        <v>67.5</v>
      </c>
      <c r="F420">
        <v>63</v>
      </c>
      <c r="G420" t="s">
        <v>61</v>
      </c>
    </row>
    <row r="421" spans="1:7">
      <c r="A421">
        <v>241113</v>
      </c>
      <c r="B421" t="s">
        <v>427</v>
      </c>
      <c r="C421">
        <v>90</v>
      </c>
      <c r="D421">
        <v>88</v>
      </c>
      <c r="E421">
        <v>109</v>
      </c>
      <c r="F421">
        <v>79</v>
      </c>
      <c r="G421">
        <v>71</v>
      </c>
    </row>
    <row r="422" spans="1:7">
      <c r="A422">
        <v>241114</v>
      </c>
      <c r="B422" t="s">
        <v>428</v>
      </c>
      <c r="C422">
        <v>95</v>
      </c>
      <c r="D422">
        <v>97</v>
      </c>
      <c r="E422">
        <v>113</v>
      </c>
      <c r="F422">
        <v>88</v>
      </c>
      <c r="G422">
        <v>77</v>
      </c>
    </row>
    <row r="423" spans="1:7">
      <c r="A423">
        <v>241115</v>
      </c>
      <c r="B423" t="s">
        <v>429</v>
      </c>
      <c r="C423">
        <v>96</v>
      </c>
      <c r="D423">
        <v>87</v>
      </c>
      <c r="E423">
        <v>108</v>
      </c>
      <c r="F423">
        <v>85</v>
      </c>
      <c r="G423">
        <v>63</v>
      </c>
    </row>
    <row r="424" spans="1:7">
      <c r="A424">
        <v>241116</v>
      </c>
      <c r="B424" t="s">
        <v>430</v>
      </c>
      <c r="C424">
        <v>95</v>
      </c>
      <c r="D424">
        <v>88</v>
      </c>
      <c r="E424">
        <v>111</v>
      </c>
      <c r="F424">
        <v>84</v>
      </c>
      <c r="G424">
        <v>79</v>
      </c>
    </row>
    <row r="425" spans="1:7">
      <c r="A425">
        <v>241117</v>
      </c>
      <c r="B425" t="s">
        <v>431</v>
      </c>
      <c r="C425">
        <v>98</v>
      </c>
      <c r="D425">
        <v>97</v>
      </c>
      <c r="E425">
        <v>117.5</v>
      </c>
      <c r="F425">
        <v>90</v>
      </c>
      <c r="G425">
        <v>86</v>
      </c>
    </row>
    <row r="426" spans="1:7">
      <c r="A426">
        <v>241118</v>
      </c>
      <c r="B426" t="s">
        <v>432</v>
      </c>
      <c r="C426">
        <v>93</v>
      </c>
      <c r="D426">
        <v>100</v>
      </c>
      <c r="E426">
        <v>112.5</v>
      </c>
      <c r="F426">
        <v>83</v>
      </c>
      <c r="G426">
        <v>81</v>
      </c>
    </row>
    <row r="427" spans="1:7">
      <c r="A427">
        <v>241119</v>
      </c>
      <c r="B427" t="s">
        <v>433</v>
      </c>
      <c r="C427">
        <v>97</v>
      </c>
      <c r="D427">
        <v>98</v>
      </c>
      <c r="E427">
        <v>113.5</v>
      </c>
      <c r="F427">
        <v>81</v>
      </c>
      <c r="G427">
        <v>74</v>
      </c>
    </row>
    <row r="428" spans="1:7">
      <c r="A428">
        <v>241120</v>
      </c>
      <c r="B428" t="s">
        <v>434</v>
      </c>
      <c r="C428">
        <v>104</v>
      </c>
      <c r="D428">
        <v>101</v>
      </c>
      <c r="E428">
        <v>112.5</v>
      </c>
      <c r="F428">
        <v>77</v>
      </c>
      <c r="G428">
        <v>76</v>
      </c>
    </row>
    <row r="429" spans="1:7">
      <c r="A429">
        <v>241121</v>
      </c>
      <c r="B429" t="s">
        <v>435</v>
      </c>
      <c r="C429">
        <v>104</v>
      </c>
      <c r="D429">
        <v>102</v>
      </c>
      <c r="E429">
        <v>113</v>
      </c>
      <c r="F429">
        <v>86</v>
      </c>
      <c r="G429">
        <v>73</v>
      </c>
    </row>
    <row r="430" spans="1:7">
      <c r="A430">
        <v>241122</v>
      </c>
      <c r="B430" t="s">
        <v>436</v>
      </c>
      <c r="C430">
        <v>103</v>
      </c>
      <c r="D430">
        <v>97</v>
      </c>
      <c r="E430">
        <v>114</v>
      </c>
      <c r="F430">
        <v>85</v>
      </c>
      <c r="G430">
        <v>81</v>
      </c>
    </row>
    <row r="431" spans="1:7">
      <c r="A431">
        <v>241123</v>
      </c>
      <c r="B431" t="s">
        <v>437</v>
      </c>
      <c r="C431">
        <v>100</v>
      </c>
      <c r="D431">
        <v>100</v>
      </c>
      <c r="E431">
        <v>112</v>
      </c>
      <c r="F431">
        <v>90</v>
      </c>
      <c r="G431">
        <v>77</v>
      </c>
    </row>
    <row r="432" spans="1:7">
      <c r="A432">
        <v>241124</v>
      </c>
      <c r="B432" t="s">
        <v>438</v>
      </c>
      <c r="C432">
        <v>99</v>
      </c>
      <c r="D432">
        <v>98</v>
      </c>
      <c r="E432">
        <v>115.5</v>
      </c>
      <c r="F432">
        <v>74</v>
      </c>
      <c r="G432">
        <v>75</v>
      </c>
    </row>
    <row r="433" spans="1:7">
      <c r="A433">
        <v>241125</v>
      </c>
      <c r="B433" t="s">
        <v>439</v>
      </c>
      <c r="C433">
        <v>98</v>
      </c>
      <c r="D433">
        <v>100</v>
      </c>
      <c r="E433">
        <v>109.5</v>
      </c>
      <c r="F433">
        <v>80</v>
      </c>
      <c r="G433">
        <v>68</v>
      </c>
    </row>
    <row r="434" spans="1:7">
      <c r="A434">
        <v>241127</v>
      </c>
      <c r="B434" t="s">
        <v>440</v>
      </c>
      <c r="C434">
        <v>86</v>
      </c>
      <c r="D434">
        <v>96</v>
      </c>
      <c r="E434">
        <v>70.5</v>
      </c>
      <c r="F434">
        <v>65</v>
      </c>
      <c r="G434">
        <v>72</v>
      </c>
    </row>
    <row r="435" spans="1:7">
      <c r="A435">
        <v>241128</v>
      </c>
      <c r="B435" t="s">
        <v>441</v>
      </c>
      <c r="C435">
        <v>98</v>
      </c>
      <c r="D435">
        <v>104</v>
      </c>
      <c r="E435">
        <v>104.5</v>
      </c>
      <c r="F435">
        <v>85</v>
      </c>
      <c r="G435">
        <v>68</v>
      </c>
    </row>
    <row r="436" spans="1:7">
      <c r="A436">
        <v>241129</v>
      </c>
      <c r="B436" t="s">
        <v>442</v>
      </c>
      <c r="C436">
        <v>103</v>
      </c>
      <c r="D436">
        <v>107</v>
      </c>
      <c r="E436">
        <v>116</v>
      </c>
      <c r="F436">
        <v>82</v>
      </c>
      <c r="G436">
        <v>73</v>
      </c>
    </row>
    <row r="437" spans="1:7">
      <c r="A437">
        <v>241130</v>
      </c>
      <c r="B437" t="s">
        <v>443</v>
      </c>
      <c r="C437">
        <v>94</v>
      </c>
      <c r="D437">
        <v>108</v>
      </c>
      <c r="E437">
        <v>110</v>
      </c>
      <c r="F437">
        <v>71</v>
      </c>
      <c r="G437">
        <v>77</v>
      </c>
    </row>
    <row r="438" spans="1:7">
      <c r="A438">
        <v>241131</v>
      </c>
      <c r="B438" t="s">
        <v>444</v>
      </c>
      <c r="C438">
        <v>87</v>
      </c>
      <c r="D438">
        <v>53</v>
      </c>
      <c r="E438">
        <v>99</v>
      </c>
      <c r="F438">
        <v>62</v>
      </c>
      <c r="G438">
        <v>46</v>
      </c>
    </row>
    <row r="439" spans="1:7">
      <c r="A439">
        <v>241132</v>
      </c>
      <c r="B439" t="s">
        <v>445</v>
      </c>
      <c r="C439">
        <v>97</v>
      </c>
      <c r="D439">
        <v>108</v>
      </c>
      <c r="E439">
        <v>107</v>
      </c>
      <c r="F439">
        <v>79</v>
      </c>
      <c r="G439">
        <v>68</v>
      </c>
    </row>
    <row r="440" spans="1:7">
      <c r="A440">
        <v>241133</v>
      </c>
      <c r="B440" t="s">
        <v>446</v>
      </c>
      <c r="C440">
        <v>102</v>
      </c>
      <c r="D440">
        <v>104</v>
      </c>
      <c r="E440">
        <v>113.5</v>
      </c>
      <c r="F440">
        <v>88</v>
      </c>
      <c r="G440">
        <v>80</v>
      </c>
    </row>
    <row r="441" spans="1:7">
      <c r="A441">
        <v>241134</v>
      </c>
      <c r="B441" t="s">
        <v>447</v>
      </c>
      <c r="C441">
        <v>113</v>
      </c>
      <c r="D441">
        <v>112</v>
      </c>
      <c r="E441">
        <v>111</v>
      </c>
      <c r="F441">
        <v>90</v>
      </c>
      <c r="G441">
        <v>84</v>
      </c>
    </row>
    <row r="442" spans="1:7">
      <c r="A442">
        <v>241135</v>
      </c>
      <c r="B442" t="s">
        <v>448</v>
      </c>
      <c r="C442">
        <v>99</v>
      </c>
      <c r="D442">
        <v>98</v>
      </c>
      <c r="E442">
        <v>110</v>
      </c>
      <c r="F442">
        <v>87</v>
      </c>
      <c r="G442">
        <v>77</v>
      </c>
    </row>
    <row r="443" spans="1:7">
      <c r="A443">
        <v>241136</v>
      </c>
      <c r="B443" t="s">
        <v>449</v>
      </c>
      <c r="C443">
        <v>100</v>
      </c>
      <c r="D443">
        <v>86</v>
      </c>
      <c r="E443">
        <v>116.5</v>
      </c>
      <c r="F443">
        <v>88</v>
      </c>
      <c r="G443">
        <v>82</v>
      </c>
    </row>
    <row r="444" spans="1:7">
      <c r="A444">
        <v>241137</v>
      </c>
      <c r="B444" t="s">
        <v>450</v>
      </c>
      <c r="C444">
        <v>84</v>
      </c>
      <c r="D444">
        <v>86</v>
      </c>
      <c r="E444">
        <v>100</v>
      </c>
      <c r="F444">
        <v>68</v>
      </c>
      <c r="G444">
        <v>69</v>
      </c>
    </row>
    <row r="445" spans="1:7">
      <c r="A445">
        <v>241138</v>
      </c>
      <c r="B445" t="s">
        <v>451</v>
      </c>
      <c r="C445">
        <v>80</v>
      </c>
      <c r="D445">
        <v>87</v>
      </c>
      <c r="E445">
        <v>97.5</v>
      </c>
      <c r="F445">
        <v>66</v>
      </c>
      <c r="G445">
        <v>61</v>
      </c>
    </row>
    <row r="446" spans="1:7">
      <c r="A446">
        <v>241139</v>
      </c>
      <c r="B446" t="s">
        <v>452</v>
      </c>
      <c r="C446">
        <v>103</v>
      </c>
      <c r="D446">
        <v>102</v>
      </c>
      <c r="E446">
        <v>110</v>
      </c>
      <c r="F446">
        <v>84</v>
      </c>
      <c r="G446">
        <v>78</v>
      </c>
    </row>
    <row r="447" spans="1:7">
      <c r="A447">
        <v>241140</v>
      </c>
      <c r="B447" t="s">
        <v>453</v>
      </c>
      <c r="C447">
        <v>95</v>
      </c>
      <c r="D447">
        <v>86</v>
      </c>
      <c r="E447">
        <v>113</v>
      </c>
      <c r="F447">
        <v>88</v>
      </c>
      <c r="G447">
        <v>85</v>
      </c>
    </row>
    <row r="448" spans="1:7">
      <c r="A448">
        <v>241201</v>
      </c>
      <c r="B448" t="s">
        <v>454</v>
      </c>
      <c r="C448">
        <v>101</v>
      </c>
      <c r="D448">
        <v>100</v>
      </c>
      <c r="E448">
        <v>115</v>
      </c>
      <c r="F448">
        <v>82</v>
      </c>
      <c r="G448">
        <v>68</v>
      </c>
    </row>
    <row r="449" spans="1:7">
      <c r="A449">
        <v>241203</v>
      </c>
      <c r="B449" t="s">
        <v>455</v>
      </c>
      <c r="C449">
        <v>82</v>
      </c>
      <c r="D449">
        <v>89</v>
      </c>
      <c r="E449">
        <v>71.5</v>
      </c>
      <c r="F449">
        <v>82</v>
      </c>
      <c r="G449">
        <v>78</v>
      </c>
    </row>
    <row r="450" spans="1:7">
      <c r="A450">
        <v>241204</v>
      </c>
      <c r="B450" t="s">
        <v>456</v>
      </c>
      <c r="C450">
        <v>89</v>
      </c>
      <c r="D450">
        <v>96</v>
      </c>
      <c r="E450">
        <v>98</v>
      </c>
      <c r="F450">
        <v>79</v>
      </c>
      <c r="G450">
        <v>76</v>
      </c>
    </row>
    <row r="451" spans="1:7">
      <c r="A451">
        <v>241205</v>
      </c>
      <c r="B451" t="s">
        <v>457</v>
      </c>
      <c r="C451">
        <v>92</v>
      </c>
      <c r="D451">
        <v>105</v>
      </c>
      <c r="E451">
        <v>94.5</v>
      </c>
      <c r="F451">
        <v>74</v>
      </c>
      <c r="G451">
        <v>76</v>
      </c>
    </row>
    <row r="452" spans="1:7">
      <c r="A452">
        <v>241206</v>
      </c>
      <c r="B452" t="s">
        <v>458</v>
      </c>
      <c r="C452">
        <v>95</v>
      </c>
      <c r="D452">
        <v>102</v>
      </c>
      <c r="E452">
        <v>109.5</v>
      </c>
      <c r="F452">
        <v>78</v>
      </c>
      <c r="G452">
        <v>77</v>
      </c>
    </row>
    <row r="453" spans="1:7">
      <c r="A453">
        <v>241207</v>
      </c>
      <c r="B453" t="s">
        <v>459</v>
      </c>
      <c r="C453">
        <v>92</v>
      </c>
      <c r="D453">
        <v>100</v>
      </c>
      <c r="E453">
        <v>107.5</v>
      </c>
      <c r="F453">
        <v>89</v>
      </c>
      <c r="G453">
        <v>74</v>
      </c>
    </row>
    <row r="454" spans="1:7">
      <c r="A454">
        <v>241208</v>
      </c>
      <c r="B454" t="s">
        <v>460</v>
      </c>
      <c r="C454">
        <v>102</v>
      </c>
      <c r="D454">
        <v>87</v>
      </c>
      <c r="E454">
        <v>110</v>
      </c>
      <c r="F454">
        <v>82</v>
      </c>
      <c r="G454">
        <v>76</v>
      </c>
    </row>
    <row r="455" spans="1:7">
      <c r="A455">
        <v>241209</v>
      </c>
      <c r="B455" t="s">
        <v>461</v>
      </c>
      <c r="C455">
        <v>91</v>
      </c>
      <c r="D455">
        <v>98</v>
      </c>
      <c r="E455">
        <v>113.5</v>
      </c>
      <c r="F455">
        <v>77</v>
      </c>
      <c r="G455">
        <v>80</v>
      </c>
    </row>
    <row r="456" spans="1:7">
      <c r="A456">
        <v>241210</v>
      </c>
      <c r="B456" t="s">
        <v>462</v>
      </c>
      <c r="C456">
        <v>93</v>
      </c>
      <c r="D456">
        <v>105</v>
      </c>
      <c r="E456">
        <v>112.5</v>
      </c>
      <c r="F456">
        <v>82</v>
      </c>
      <c r="G456">
        <v>82</v>
      </c>
    </row>
    <row r="457" spans="1:7">
      <c r="A457">
        <v>241211</v>
      </c>
      <c r="B457" t="s">
        <v>463</v>
      </c>
      <c r="C457">
        <v>100</v>
      </c>
      <c r="D457">
        <v>107</v>
      </c>
      <c r="E457">
        <v>89.5</v>
      </c>
      <c r="F457">
        <v>75</v>
      </c>
      <c r="G457">
        <v>68</v>
      </c>
    </row>
    <row r="458" spans="1:7">
      <c r="A458">
        <v>241212</v>
      </c>
      <c r="B458" t="s">
        <v>464</v>
      </c>
      <c r="C458">
        <v>86</v>
      </c>
      <c r="D458">
        <v>99</v>
      </c>
      <c r="E458">
        <v>108</v>
      </c>
      <c r="F458">
        <v>78</v>
      </c>
      <c r="G458">
        <v>77</v>
      </c>
    </row>
    <row r="459" spans="1:7">
      <c r="A459">
        <v>241213</v>
      </c>
      <c r="B459" t="s">
        <v>465</v>
      </c>
      <c r="C459">
        <v>93</v>
      </c>
      <c r="D459">
        <v>103</v>
      </c>
      <c r="E459">
        <v>111.5</v>
      </c>
      <c r="F459">
        <v>87</v>
      </c>
      <c r="G459">
        <v>69</v>
      </c>
    </row>
    <row r="460" spans="1:7">
      <c r="A460">
        <v>241214</v>
      </c>
      <c r="B460" t="s">
        <v>466</v>
      </c>
      <c r="C460">
        <v>81</v>
      </c>
      <c r="D460">
        <v>105</v>
      </c>
      <c r="E460">
        <v>96</v>
      </c>
      <c r="F460">
        <v>79</v>
      </c>
      <c r="G460">
        <v>68</v>
      </c>
    </row>
    <row r="461" spans="1:7">
      <c r="A461">
        <v>241215</v>
      </c>
      <c r="B461" t="s">
        <v>467</v>
      </c>
      <c r="C461">
        <v>95</v>
      </c>
      <c r="D461">
        <v>97</v>
      </c>
      <c r="E461">
        <v>107.5</v>
      </c>
      <c r="F461">
        <v>89</v>
      </c>
      <c r="G461">
        <v>80</v>
      </c>
    </row>
    <row r="462" spans="1:7">
      <c r="A462">
        <v>241216</v>
      </c>
      <c r="B462" t="s">
        <v>468</v>
      </c>
      <c r="C462">
        <v>80</v>
      </c>
      <c r="D462">
        <v>89</v>
      </c>
      <c r="E462">
        <v>96.5</v>
      </c>
      <c r="F462">
        <v>63</v>
      </c>
      <c r="G462">
        <v>74</v>
      </c>
    </row>
    <row r="463" spans="1:7">
      <c r="A463">
        <v>241217</v>
      </c>
      <c r="B463" t="s">
        <v>469</v>
      </c>
      <c r="C463">
        <v>94</v>
      </c>
      <c r="D463">
        <v>103</v>
      </c>
      <c r="E463">
        <v>115.5</v>
      </c>
      <c r="F463">
        <v>86</v>
      </c>
      <c r="G463">
        <v>72</v>
      </c>
    </row>
    <row r="464" spans="1:7">
      <c r="A464">
        <v>241218</v>
      </c>
      <c r="B464" t="s">
        <v>470</v>
      </c>
      <c r="C464">
        <v>88</v>
      </c>
      <c r="D464">
        <v>93</v>
      </c>
      <c r="E464">
        <v>105</v>
      </c>
      <c r="F464">
        <v>73</v>
      </c>
      <c r="G464">
        <v>72</v>
      </c>
    </row>
    <row r="465" spans="1:7">
      <c r="A465">
        <v>241219</v>
      </c>
      <c r="B465" t="s">
        <v>471</v>
      </c>
      <c r="C465">
        <v>95</v>
      </c>
      <c r="D465">
        <v>106</v>
      </c>
      <c r="E465">
        <v>116</v>
      </c>
      <c r="F465">
        <v>83</v>
      </c>
      <c r="G465">
        <v>81</v>
      </c>
    </row>
    <row r="466" spans="1:7">
      <c r="A466">
        <v>241220</v>
      </c>
      <c r="B466" t="s">
        <v>472</v>
      </c>
      <c r="C466">
        <v>88</v>
      </c>
      <c r="D466">
        <v>102</v>
      </c>
      <c r="E466">
        <v>114</v>
      </c>
      <c r="F466">
        <v>89</v>
      </c>
      <c r="G466">
        <v>69</v>
      </c>
    </row>
    <row r="467" spans="1:7">
      <c r="A467">
        <v>241221</v>
      </c>
      <c r="B467" t="s">
        <v>473</v>
      </c>
      <c r="C467">
        <v>111</v>
      </c>
      <c r="D467">
        <v>99</v>
      </c>
      <c r="E467">
        <v>115</v>
      </c>
      <c r="F467">
        <v>86</v>
      </c>
      <c r="G467">
        <v>79</v>
      </c>
    </row>
    <row r="468" spans="1:7">
      <c r="A468">
        <v>241222</v>
      </c>
      <c r="B468" t="s">
        <v>474</v>
      </c>
      <c r="C468">
        <v>92</v>
      </c>
      <c r="D468">
        <v>106</v>
      </c>
      <c r="E468">
        <v>114.5</v>
      </c>
      <c r="F468">
        <v>80</v>
      </c>
      <c r="G468">
        <v>70</v>
      </c>
    </row>
    <row r="469" spans="1:7">
      <c r="A469">
        <v>241223</v>
      </c>
      <c r="B469" t="s">
        <v>475</v>
      </c>
      <c r="C469">
        <v>87</v>
      </c>
      <c r="D469">
        <v>94</v>
      </c>
      <c r="E469">
        <v>104.5</v>
      </c>
      <c r="F469">
        <v>70</v>
      </c>
      <c r="G469">
        <v>55</v>
      </c>
    </row>
    <row r="470" spans="1:7">
      <c r="A470">
        <v>241224</v>
      </c>
      <c r="B470" t="s">
        <v>476</v>
      </c>
      <c r="C470">
        <v>103</v>
      </c>
      <c r="D470">
        <v>93</v>
      </c>
      <c r="E470">
        <v>112</v>
      </c>
      <c r="F470">
        <v>73</v>
      </c>
      <c r="G470">
        <v>76</v>
      </c>
    </row>
    <row r="471" spans="1:7">
      <c r="A471">
        <v>241225</v>
      </c>
      <c r="B471" t="s">
        <v>477</v>
      </c>
      <c r="C471">
        <v>91</v>
      </c>
      <c r="D471">
        <v>85</v>
      </c>
      <c r="E471">
        <v>109</v>
      </c>
      <c r="F471">
        <v>81</v>
      </c>
      <c r="G471">
        <v>82</v>
      </c>
    </row>
    <row r="472" spans="1:7">
      <c r="A472">
        <v>241226</v>
      </c>
      <c r="B472" t="s">
        <v>478</v>
      </c>
      <c r="C472">
        <v>86</v>
      </c>
      <c r="D472">
        <v>87</v>
      </c>
      <c r="E472">
        <v>114.5</v>
      </c>
      <c r="F472">
        <v>78</v>
      </c>
      <c r="G472">
        <v>72</v>
      </c>
    </row>
    <row r="473" spans="1:7">
      <c r="A473">
        <v>241227</v>
      </c>
      <c r="B473" t="s">
        <v>479</v>
      </c>
      <c r="C473">
        <v>81</v>
      </c>
      <c r="D473">
        <v>91</v>
      </c>
      <c r="E473">
        <v>107.5</v>
      </c>
      <c r="F473">
        <v>80</v>
      </c>
      <c r="G473">
        <v>72</v>
      </c>
    </row>
    <row r="474" spans="1:7">
      <c r="A474">
        <v>241228</v>
      </c>
      <c r="B474" t="s">
        <v>480</v>
      </c>
      <c r="C474">
        <v>103</v>
      </c>
      <c r="D474">
        <v>105</v>
      </c>
      <c r="E474">
        <v>108.5</v>
      </c>
      <c r="F474">
        <v>88</v>
      </c>
      <c r="G474">
        <v>72</v>
      </c>
    </row>
    <row r="475" spans="1:7">
      <c r="A475">
        <v>241229</v>
      </c>
      <c r="B475" t="s">
        <v>481</v>
      </c>
      <c r="C475">
        <v>94</v>
      </c>
      <c r="D475">
        <v>97</v>
      </c>
      <c r="E475">
        <v>91.5</v>
      </c>
      <c r="F475">
        <v>63</v>
      </c>
      <c r="G475">
        <v>76</v>
      </c>
    </row>
    <row r="476" spans="1:7">
      <c r="A476">
        <v>241230</v>
      </c>
      <c r="B476" t="s">
        <v>482</v>
      </c>
      <c r="C476">
        <v>102</v>
      </c>
      <c r="D476">
        <v>98</v>
      </c>
      <c r="E476">
        <v>109.5</v>
      </c>
      <c r="F476">
        <v>69</v>
      </c>
      <c r="G476">
        <v>74</v>
      </c>
    </row>
    <row r="477" spans="1:7">
      <c r="A477">
        <v>241231</v>
      </c>
      <c r="B477" t="s">
        <v>483</v>
      </c>
      <c r="C477">
        <v>94</v>
      </c>
      <c r="D477">
        <v>108</v>
      </c>
      <c r="E477">
        <v>109.5</v>
      </c>
      <c r="F477">
        <v>79</v>
      </c>
      <c r="G477">
        <v>81</v>
      </c>
    </row>
    <row r="478" spans="1:7">
      <c r="A478">
        <v>241232</v>
      </c>
      <c r="B478" t="s">
        <v>484</v>
      </c>
      <c r="C478">
        <v>110</v>
      </c>
      <c r="D478">
        <v>106</v>
      </c>
      <c r="E478">
        <v>117</v>
      </c>
      <c r="F478">
        <v>88</v>
      </c>
      <c r="G478">
        <v>83</v>
      </c>
    </row>
    <row r="479" spans="1:7">
      <c r="A479">
        <v>241233</v>
      </c>
      <c r="B479" t="s">
        <v>485</v>
      </c>
      <c r="C479">
        <v>94</v>
      </c>
      <c r="D479">
        <v>75</v>
      </c>
      <c r="E479">
        <v>98.5</v>
      </c>
      <c r="F479">
        <v>70</v>
      </c>
      <c r="G479">
        <v>58</v>
      </c>
    </row>
    <row r="480" spans="1:7">
      <c r="A480">
        <v>241234</v>
      </c>
      <c r="B480" t="s">
        <v>486</v>
      </c>
      <c r="C480">
        <v>90</v>
      </c>
      <c r="D480">
        <v>110</v>
      </c>
      <c r="E480">
        <v>106.5</v>
      </c>
      <c r="F480">
        <v>78</v>
      </c>
      <c r="G480">
        <v>74</v>
      </c>
    </row>
    <row r="481" spans="1:7">
      <c r="A481">
        <v>241235</v>
      </c>
      <c r="B481" t="s">
        <v>487</v>
      </c>
      <c r="C481">
        <v>84</v>
      </c>
      <c r="D481">
        <v>91</v>
      </c>
      <c r="E481">
        <v>110</v>
      </c>
      <c r="F481">
        <v>68</v>
      </c>
      <c r="G481">
        <v>73</v>
      </c>
    </row>
    <row r="482" spans="1:7">
      <c r="A482">
        <v>241236</v>
      </c>
      <c r="B482" t="s">
        <v>488</v>
      </c>
      <c r="C482">
        <v>92</v>
      </c>
      <c r="D482">
        <v>94</v>
      </c>
      <c r="E482">
        <v>97</v>
      </c>
      <c r="F482">
        <v>77</v>
      </c>
      <c r="G482">
        <v>61</v>
      </c>
    </row>
    <row r="483" spans="1:7">
      <c r="A483">
        <v>241237</v>
      </c>
      <c r="B483" t="s">
        <v>489</v>
      </c>
      <c r="C483">
        <v>105</v>
      </c>
      <c r="D483">
        <v>107</v>
      </c>
      <c r="E483">
        <v>109.5</v>
      </c>
      <c r="F483">
        <v>88</v>
      </c>
      <c r="G483">
        <v>83</v>
      </c>
    </row>
    <row r="484" spans="1:7">
      <c r="A484">
        <v>241238</v>
      </c>
      <c r="B484" t="s">
        <v>490</v>
      </c>
      <c r="C484">
        <v>93</v>
      </c>
      <c r="D484">
        <v>109</v>
      </c>
      <c r="E484">
        <v>103.5</v>
      </c>
      <c r="F484">
        <v>84</v>
      </c>
      <c r="G484">
        <v>76</v>
      </c>
    </row>
    <row r="485" spans="1:7">
      <c r="A485">
        <v>241239</v>
      </c>
      <c r="B485" t="s">
        <v>491</v>
      </c>
      <c r="C485">
        <v>88</v>
      </c>
      <c r="D485">
        <v>103</v>
      </c>
      <c r="E485">
        <v>108.5</v>
      </c>
      <c r="F485">
        <v>81</v>
      </c>
      <c r="G485">
        <v>80</v>
      </c>
    </row>
    <row r="486" spans="1:7">
      <c r="A486">
        <v>241240</v>
      </c>
      <c r="B486" t="s">
        <v>492</v>
      </c>
      <c r="C486">
        <v>64</v>
      </c>
      <c r="D486">
        <v>75</v>
      </c>
      <c r="E486">
        <v>88.5</v>
      </c>
      <c r="F486">
        <v>60</v>
      </c>
      <c r="G486">
        <v>57</v>
      </c>
    </row>
    <row r="487" spans="1:7">
      <c r="A487">
        <v>241241</v>
      </c>
      <c r="B487" t="s">
        <v>493</v>
      </c>
      <c r="C487">
        <v>88</v>
      </c>
      <c r="D487">
        <v>106</v>
      </c>
      <c r="E487">
        <v>107</v>
      </c>
      <c r="F487">
        <v>81</v>
      </c>
      <c r="G487">
        <v>76</v>
      </c>
    </row>
    <row r="488" spans="1:7">
      <c r="A488">
        <v>241301</v>
      </c>
      <c r="B488" t="s">
        <v>494</v>
      </c>
      <c r="C488">
        <v>89</v>
      </c>
      <c r="D488">
        <v>106</v>
      </c>
      <c r="E488">
        <v>109</v>
      </c>
      <c r="F488">
        <v>86</v>
      </c>
      <c r="G488">
        <v>77</v>
      </c>
    </row>
    <row r="489" spans="1:7">
      <c r="A489">
        <v>241302</v>
      </c>
      <c r="B489" t="s">
        <v>495</v>
      </c>
      <c r="C489">
        <v>97</v>
      </c>
      <c r="D489">
        <v>104</v>
      </c>
      <c r="E489">
        <v>115</v>
      </c>
      <c r="F489">
        <v>83</v>
      </c>
      <c r="G489">
        <v>81</v>
      </c>
    </row>
    <row r="490" spans="1:7">
      <c r="A490">
        <v>241303</v>
      </c>
      <c r="B490" t="s">
        <v>496</v>
      </c>
      <c r="C490">
        <v>100</v>
      </c>
      <c r="D490">
        <v>104</v>
      </c>
      <c r="E490">
        <v>111.5</v>
      </c>
      <c r="F490">
        <v>90</v>
      </c>
      <c r="G490">
        <v>81</v>
      </c>
    </row>
    <row r="491" spans="1:7">
      <c r="A491">
        <v>241304</v>
      </c>
      <c r="B491" t="s">
        <v>497</v>
      </c>
      <c r="C491">
        <v>85</v>
      </c>
      <c r="D491">
        <v>93</v>
      </c>
      <c r="E491">
        <v>108</v>
      </c>
      <c r="F491">
        <v>76</v>
      </c>
      <c r="G491">
        <v>80</v>
      </c>
    </row>
    <row r="492" spans="1:7">
      <c r="A492">
        <v>241305</v>
      </c>
      <c r="B492" t="s">
        <v>498</v>
      </c>
      <c r="C492">
        <v>99</v>
      </c>
      <c r="D492">
        <v>110</v>
      </c>
      <c r="E492">
        <v>116.5</v>
      </c>
      <c r="F492">
        <v>87</v>
      </c>
      <c r="G492">
        <v>77</v>
      </c>
    </row>
    <row r="493" spans="1:7">
      <c r="A493">
        <v>241306</v>
      </c>
      <c r="B493" t="s">
        <v>499</v>
      </c>
      <c r="C493">
        <v>100</v>
      </c>
      <c r="D493">
        <v>114</v>
      </c>
      <c r="E493">
        <v>112.5</v>
      </c>
      <c r="F493">
        <v>90</v>
      </c>
      <c r="G493">
        <v>77</v>
      </c>
    </row>
    <row r="494" spans="1:7">
      <c r="A494">
        <v>241307</v>
      </c>
      <c r="B494" t="s">
        <v>500</v>
      </c>
      <c r="C494">
        <v>100</v>
      </c>
      <c r="D494">
        <v>101</v>
      </c>
      <c r="E494">
        <v>115.5</v>
      </c>
      <c r="F494">
        <v>77</v>
      </c>
      <c r="G494">
        <v>72</v>
      </c>
    </row>
    <row r="495" spans="1:7">
      <c r="A495">
        <v>241308</v>
      </c>
      <c r="B495" t="s">
        <v>501</v>
      </c>
      <c r="C495" t="s">
        <v>61</v>
      </c>
      <c r="D495" t="s">
        <v>61</v>
      </c>
      <c r="E495" t="s">
        <v>61</v>
      </c>
      <c r="F495" t="s">
        <v>61</v>
      </c>
      <c r="G495" t="s">
        <v>61</v>
      </c>
    </row>
    <row r="496" spans="1:7">
      <c r="A496">
        <v>241309</v>
      </c>
      <c r="B496" t="s">
        <v>502</v>
      </c>
      <c r="C496">
        <v>98</v>
      </c>
      <c r="D496">
        <v>95</v>
      </c>
      <c r="E496">
        <v>113</v>
      </c>
      <c r="F496">
        <v>87</v>
      </c>
      <c r="G496">
        <v>83</v>
      </c>
    </row>
    <row r="497" spans="1:7">
      <c r="A497">
        <v>241310</v>
      </c>
      <c r="B497" t="s">
        <v>503</v>
      </c>
      <c r="C497">
        <v>91</v>
      </c>
      <c r="D497">
        <v>84</v>
      </c>
      <c r="E497">
        <v>89.5</v>
      </c>
      <c r="F497">
        <v>80</v>
      </c>
      <c r="G497">
        <v>80</v>
      </c>
    </row>
    <row r="498" spans="1:7">
      <c r="A498">
        <v>241311</v>
      </c>
      <c r="B498" t="s">
        <v>504</v>
      </c>
      <c r="C498">
        <v>104</v>
      </c>
      <c r="D498">
        <v>110</v>
      </c>
      <c r="E498">
        <v>115.5</v>
      </c>
      <c r="F498">
        <v>88</v>
      </c>
      <c r="G498">
        <v>82</v>
      </c>
    </row>
    <row r="499" spans="1:7">
      <c r="A499">
        <v>241312</v>
      </c>
      <c r="B499" t="s">
        <v>505</v>
      </c>
      <c r="C499">
        <v>99</v>
      </c>
      <c r="D499">
        <v>103</v>
      </c>
      <c r="E499">
        <v>113</v>
      </c>
      <c r="F499">
        <v>85</v>
      </c>
      <c r="G499">
        <v>78</v>
      </c>
    </row>
    <row r="500" spans="1:7">
      <c r="A500">
        <v>241313</v>
      </c>
      <c r="B500" t="s">
        <v>506</v>
      </c>
      <c r="C500">
        <v>101</v>
      </c>
      <c r="D500">
        <v>103</v>
      </c>
      <c r="E500">
        <v>114.5</v>
      </c>
      <c r="F500">
        <v>82</v>
      </c>
      <c r="G500">
        <v>79</v>
      </c>
    </row>
    <row r="501" spans="1:7">
      <c r="A501">
        <v>241314</v>
      </c>
      <c r="B501" t="s">
        <v>507</v>
      </c>
      <c r="C501">
        <v>95</v>
      </c>
      <c r="D501">
        <v>91</v>
      </c>
      <c r="E501">
        <v>106</v>
      </c>
      <c r="F501">
        <v>77</v>
      </c>
      <c r="G501">
        <v>71</v>
      </c>
    </row>
    <row r="502" spans="1:7">
      <c r="A502">
        <v>241315</v>
      </c>
      <c r="B502" t="s">
        <v>508</v>
      </c>
      <c r="C502">
        <v>91</v>
      </c>
      <c r="D502">
        <v>101</v>
      </c>
      <c r="E502">
        <v>106</v>
      </c>
      <c r="F502">
        <v>86</v>
      </c>
      <c r="G502">
        <v>72</v>
      </c>
    </row>
    <row r="503" spans="1:7">
      <c r="A503">
        <v>241316</v>
      </c>
      <c r="B503" t="s">
        <v>509</v>
      </c>
      <c r="C503">
        <v>80</v>
      </c>
      <c r="D503">
        <v>93</v>
      </c>
      <c r="E503">
        <v>69</v>
      </c>
      <c r="F503">
        <v>73</v>
      </c>
      <c r="G503">
        <v>70</v>
      </c>
    </row>
    <row r="504" spans="1:7">
      <c r="A504">
        <v>241318</v>
      </c>
      <c r="B504" t="s">
        <v>510</v>
      </c>
      <c r="C504">
        <v>82</v>
      </c>
      <c r="D504">
        <v>51</v>
      </c>
      <c r="E504">
        <v>96.5</v>
      </c>
      <c r="F504">
        <v>60</v>
      </c>
      <c r="G504">
        <v>62</v>
      </c>
    </row>
    <row r="505" spans="1:7">
      <c r="A505">
        <v>241319</v>
      </c>
      <c r="B505" t="s">
        <v>511</v>
      </c>
      <c r="C505">
        <v>89</v>
      </c>
      <c r="D505">
        <v>91</v>
      </c>
      <c r="E505">
        <v>108.5</v>
      </c>
      <c r="F505">
        <v>86</v>
      </c>
      <c r="G505">
        <v>62</v>
      </c>
    </row>
    <row r="506" spans="1:7">
      <c r="A506">
        <v>241320</v>
      </c>
      <c r="B506" t="s">
        <v>512</v>
      </c>
      <c r="C506">
        <v>106</v>
      </c>
      <c r="D506">
        <v>96</v>
      </c>
      <c r="E506">
        <v>113</v>
      </c>
      <c r="F506">
        <v>82</v>
      </c>
      <c r="G506">
        <v>85</v>
      </c>
    </row>
    <row r="507" spans="1:7">
      <c r="A507">
        <v>241321</v>
      </c>
      <c r="B507" t="s">
        <v>513</v>
      </c>
      <c r="C507">
        <v>104</v>
      </c>
      <c r="D507">
        <v>104</v>
      </c>
      <c r="E507">
        <v>98.5</v>
      </c>
      <c r="F507">
        <v>76</v>
      </c>
      <c r="G507">
        <v>71</v>
      </c>
    </row>
    <row r="508" spans="1:7">
      <c r="A508">
        <v>241322</v>
      </c>
      <c r="B508" t="s">
        <v>514</v>
      </c>
      <c r="C508">
        <v>95</v>
      </c>
      <c r="D508">
        <v>91</v>
      </c>
      <c r="E508">
        <v>97.5</v>
      </c>
      <c r="F508">
        <v>72</v>
      </c>
      <c r="G508">
        <v>54</v>
      </c>
    </row>
    <row r="509" spans="1:7">
      <c r="A509">
        <v>241323</v>
      </c>
      <c r="B509" t="s">
        <v>515</v>
      </c>
      <c r="C509">
        <v>102</v>
      </c>
      <c r="D509">
        <v>109</v>
      </c>
      <c r="E509">
        <v>113</v>
      </c>
      <c r="F509">
        <v>87</v>
      </c>
      <c r="G509">
        <v>87</v>
      </c>
    </row>
    <row r="510" spans="1:7">
      <c r="A510">
        <v>241324</v>
      </c>
      <c r="B510" t="s">
        <v>516</v>
      </c>
      <c r="C510">
        <v>112</v>
      </c>
      <c r="D510">
        <v>90</v>
      </c>
      <c r="E510">
        <v>113</v>
      </c>
      <c r="F510">
        <v>84</v>
      </c>
      <c r="G510">
        <v>76</v>
      </c>
    </row>
    <row r="511" spans="1:7">
      <c r="A511">
        <v>241325</v>
      </c>
      <c r="B511" t="s">
        <v>517</v>
      </c>
      <c r="C511">
        <v>107</v>
      </c>
      <c r="D511">
        <v>101</v>
      </c>
      <c r="E511">
        <v>101</v>
      </c>
      <c r="F511">
        <v>78</v>
      </c>
      <c r="G511">
        <v>72</v>
      </c>
    </row>
    <row r="512" spans="1:7">
      <c r="A512">
        <v>241326</v>
      </c>
      <c r="B512" t="s">
        <v>518</v>
      </c>
      <c r="C512">
        <v>103</v>
      </c>
      <c r="D512">
        <v>81</v>
      </c>
      <c r="E512">
        <v>108.5</v>
      </c>
      <c r="F512">
        <v>86</v>
      </c>
      <c r="G512">
        <v>65</v>
      </c>
    </row>
    <row r="513" spans="1:7">
      <c r="A513">
        <v>241327</v>
      </c>
      <c r="B513" t="s">
        <v>519</v>
      </c>
      <c r="C513">
        <v>88</v>
      </c>
      <c r="D513">
        <v>77</v>
      </c>
      <c r="E513">
        <v>106</v>
      </c>
      <c r="F513">
        <v>58</v>
      </c>
      <c r="G513">
        <v>75</v>
      </c>
    </row>
    <row r="514" spans="1:7">
      <c r="A514">
        <v>241328</v>
      </c>
      <c r="B514" t="s">
        <v>520</v>
      </c>
      <c r="C514">
        <v>100</v>
      </c>
      <c r="D514">
        <v>100</v>
      </c>
      <c r="E514">
        <v>118.5</v>
      </c>
      <c r="F514">
        <v>88</v>
      </c>
      <c r="G514">
        <v>81</v>
      </c>
    </row>
    <row r="515" spans="1:7">
      <c r="A515">
        <v>241329</v>
      </c>
      <c r="B515" t="s">
        <v>521</v>
      </c>
      <c r="C515">
        <v>92</v>
      </c>
      <c r="D515">
        <v>92</v>
      </c>
      <c r="E515">
        <v>100</v>
      </c>
      <c r="F515">
        <v>84</v>
      </c>
      <c r="G515">
        <v>71</v>
      </c>
    </row>
    <row r="516" spans="1:7">
      <c r="A516">
        <v>241330</v>
      </c>
      <c r="B516" t="s">
        <v>522</v>
      </c>
      <c r="C516">
        <v>97</v>
      </c>
      <c r="D516">
        <v>101</v>
      </c>
      <c r="E516">
        <v>112</v>
      </c>
      <c r="F516">
        <v>79</v>
      </c>
      <c r="G516">
        <v>81</v>
      </c>
    </row>
    <row r="517" spans="1:7">
      <c r="A517">
        <v>241331</v>
      </c>
      <c r="B517" t="s">
        <v>523</v>
      </c>
      <c r="C517">
        <v>101</v>
      </c>
      <c r="D517">
        <v>101</v>
      </c>
      <c r="E517">
        <v>105.5</v>
      </c>
      <c r="F517">
        <v>88</v>
      </c>
      <c r="G517">
        <v>79</v>
      </c>
    </row>
    <row r="518" spans="1:7">
      <c r="A518">
        <v>241332</v>
      </c>
      <c r="B518" t="s">
        <v>524</v>
      </c>
      <c r="C518">
        <v>112</v>
      </c>
      <c r="D518">
        <v>96</v>
      </c>
      <c r="E518">
        <v>114</v>
      </c>
      <c r="F518">
        <v>87</v>
      </c>
      <c r="G518">
        <v>80</v>
      </c>
    </row>
    <row r="519" spans="1:7">
      <c r="A519">
        <v>241333</v>
      </c>
      <c r="B519" t="s">
        <v>525</v>
      </c>
      <c r="C519">
        <v>99</v>
      </c>
      <c r="D519">
        <v>103</v>
      </c>
      <c r="E519">
        <v>110</v>
      </c>
      <c r="F519">
        <v>75</v>
      </c>
      <c r="G519">
        <v>79</v>
      </c>
    </row>
    <row r="520" spans="1:7">
      <c r="A520">
        <v>241334</v>
      </c>
      <c r="B520" t="s">
        <v>526</v>
      </c>
      <c r="C520">
        <v>90</v>
      </c>
      <c r="D520">
        <v>97</v>
      </c>
      <c r="E520">
        <v>108</v>
      </c>
      <c r="F520">
        <v>84</v>
      </c>
      <c r="G520">
        <v>70</v>
      </c>
    </row>
    <row r="521" spans="1:7">
      <c r="A521">
        <v>241335</v>
      </c>
      <c r="B521" t="s">
        <v>527</v>
      </c>
      <c r="C521">
        <v>98</v>
      </c>
      <c r="D521">
        <v>103</v>
      </c>
      <c r="E521">
        <v>114</v>
      </c>
      <c r="F521">
        <v>80</v>
      </c>
      <c r="G521">
        <v>80</v>
      </c>
    </row>
    <row r="522" spans="1:7">
      <c r="A522">
        <v>241336</v>
      </c>
      <c r="B522" t="s">
        <v>528</v>
      </c>
      <c r="C522">
        <v>94</v>
      </c>
      <c r="D522">
        <v>87</v>
      </c>
      <c r="E522">
        <v>100.5</v>
      </c>
      <c r="F522">
        <v>80</v>
      </c>
      <c r="G522">
        <v>66</v>
      </c>
    </row>
    <row r="523" spans="1:7">
      <c r="A523">
        <v>241337</v>
      </c>
      <c r="B523" t="s">
        <v>529</v>
      </c>
      <c r="C523">
        <v>98</v>
      </c>
      <c r="D523">
        <v>98</v>
      </c>
      <c r="E523">
        <v>103.5</v>
      </c>
      <c r="F523">
        <v>83</v>
      </c>
      <c r="G523">
        <v>76</v>
      </c>
    </row>
    <row r="524" spans="1:7">
      <c r="A524">
        <v>241338</v>
      </c>
      <c r="B524" t="s">
        <v>530</v>
      </c>
      <c r="C524">
        <v>101</v>
      </c>
      <c r="D524">
        <v>102</v>
      </c>
      <c r="E524">
        <v>117.5</v>
      </c>
      <c r="F524">
        <v>84</v>
      </c>
      <c r="G524">
        <v>78</v>
      </c>
    </row>
    <row r="525" spans="1:7">
      <c r="A525">
        <v>241339</v>
      </c>
      <c r="B525" t="s">
        <v>531</v>
      </c>
      <c r="C525">
        <v>104</v>
      </c>
      <c r="D525">
        <v>101</v>
      </c>
      <c r="E525">
        <v>111</v>
      </c>
      <c r="F525">
        <v>86</v>
      </c>
      <c r="G525">
        <v>77</v>
      </c>
    </row>
    <row r="526" spans="1:7">
      <c r="A526">
        <v>241340</v>
      </c>
      <c r="B526" t="s">
        <v>532</v>
      </c>
      <c r="C526">
        <v>101</v>
      </c>
      <c r="D526">
        <v>90</v>
      </c>
      <c r="E526">
        <v>109</v>
      </c>
      <c r="F526">
        <v>82</v>
      </c>
      <c r="G526">
        <v>68</v>
      </c>
    </row>
    <row r="527" spans="1:7">
      <c r="A527">
        <v>240507</v>
      </c>
      <c r="B527" t="s">
        <v>533</v>
      </c>
      <c r="C527">
        <v>105</v>
      </c>
      <c r="D527">
        <v>102</v>
      </c>
      <c r="E527">
        <v>111</v>
      </c>
      <c r="F527">
        <v>89</v>
      </c>
      <c r="G527">
        <v>81</v>
      </c>
    </row>
    <row r="528" spans="1:7">
      <c r="A528">
        <v>241401</v>
      </c>
      <c r="B528" t="s">
        <v>534</v>
      </c>
      <c r="C528">
        <v>92</v>
      </c>
      <c r="D528">
        <v>75</v>
      </c>
      <c r="E528">
        <v>71.5</v>
      </c>
      <c r="F528">
        <v>87</v>
      </c>
      <c r="G528">
        <v>77</v>
      </c>
    </row>
    <row r="529" spans="1:7">
      <c r="A529">
        <v>241402</v>
      </c>
      <c r="B529" t="s">
        <v>535</v>
      </c>
      <c r="C529">
        <v>84</v>
      </c>
      <c r="D529">
        <v>88</v>
      </c>
      <c r="E529">
        <v>109.5</v>
      </c>
      <c r="F529">
        <v>65</v>
      </c>
      <c r="G529">
        <v>64</v>
      </c>
    </row>
    <row r="530" spans="1:7">
      <c r="A530">
        <v>241403</v>
      </c>
      <c r="B530" t="s">
        <v>536</v>
      </c>
      <c r="C530">
        <v>69</v>
      </c>
      <c r="D530">
        <v>21</v>
      </c>
      <c r="E530">
        <v>49</v>
      </c>
      <c r="F530">
        <v>51</v>
      </c>
      <c r="G530">
        <v>50</v>
      </c>
    </row>
    <row r="531" spans="1:7">
      <c r="A531">
        <v>241405</v>
      </c>
      <c r="B531" t="s">
        <v>537</v>
      </c>
      <c r="C531">
        <v>95</v>
      </c>
      <c r="D531">
        <v>57</v>
      </c>
      <c r="E531">
        <v>69</v>
      </c>
      <c r="F531">
        <v>64</v>
      </c>
      <c r="G531">
        <v>57</v>
      </c>
    </row>
    <row r="532" spans="1:7">
      <c r="A532">
        <v>241406</v>
      </c>
      <c r="B532" t="s">
        <v>538</v>
      </c>
      <c r="C532">
        <v>89</v>
      </c>
      <c r="D532">
        <v>81</v>
      </c>
      <c r="E532">
        <v>71.5</v>
      </c>
      <c r="F532">
        <v>77</v>
      </c>
      <c r="G532">
        <v>69</v>
      </c>
    </row>
    <row r="533" spans="1:7">
      <c r="A533">
        <v>241407</v>
      </c>
      <c r="B533" t="s">
        <v>539</v>
      </c>
      <c r="C533">
        <v>70</v>
      </c>
      <c r="D533">
        <v>51</v>
      </c>
      <c r="E533">
        <v>78.5</v>
      </c>
      <c r="F533">
        <v>56</v>
      </c>
      <c r="G533">
        <v>58</v>
      </c>
    </row>
    <row r="534" spans="1:7">
      <c r="A534">
        <v>241408</v>
      </c>
      <c r="B534" t="s">
        <v>540</v>
      </c>
      <c r="C534">
        <v>96</v>
      </c>
      <c r="D534">
        <v>38</v>
      </c>
      <c r="E534">
        <v>87</v>
      </c>
      <c r="F534">
        <v>68</v>
      </c>
      <c r="G534">
        <v>72</v>
      </c>
    </row>
    <row r="535" spans="1:7">
      <c r="A535">
        <v>241409</v>
      </c>
      <c r="B535" t="s">
        <v>541</v>
      </c>
      <c r="C535">
        <v>88</v>
      </c>
      <c r="D535">
        <v>47</v>
      </c>
      <c r="E535">
        <v>73</v>
      </c>
      <c r="F535">
        <v>66</v>
      </c>
      <c r="G535">
        <v>58</v>
      </c>
    </row>
    <row r="536" spans="1:7">
      <c r="A536">
        <v>241410</v>
      </c>
      <c r="B536" t="s">
        <v>542</v>
      </c>
      <c r="C536">
        <v>89</v>
      </c>
      <c r="D536">
        <v>73</v>
      </c>
      <c r="E536">
        <v>85.5</v>
      </c>
      <c r="F536">
        <v>82</v>
      </c>
      <c r="G536">
        <v>57</v>
      </c>
    </row>
    <row r="537" spans="1:7">
      <c r="A537">
        <v>241412</v>
      </c>
      <c r="B537" t="s">
        <v>543</v>
      </c>
      <c r="C537">
        <v>51</v>
      </c>
      <c r="D537">
        <v>39</v>
      </c>
      <c r="E537">
        <v>48.5</v>
      </c>
      <c r="F537">
        <v>53</v>
      </c>
      <c r="G537">
        <v>39</v>
      </c>
    </row>
    <row r="538" spans="1:7">
      <c r="A538">
        <v>241413</v>
      </c>
      <c r="B538" t="s">
        <v>544</v>
      </c>
      <c r="C538">
        <v>95</v>
      </c>
      <c r="D538">
        <v>56</v>
      </c>
      <c r="E538">
        <v>58</v>
      </c>
      <c r="F538">
        <v>76</v>
      </c>
      <c r="G538">
        <v>67</v>
      </c>
    </row>
    <row r="539" spans="1:7">
      <c r="A539">
        <v>241414</v>
      </c>
      <c r="B539" t="s">
        <v>545</v>
      </c>
      <c r="C539">
        <v>77</v>
      </c>
      <c r="D539">
        <v>42</v>
      </c>
      <c r="E539">
        <v>71</v>
      </c>
      <c r="F539">
        <v>52</v>
      </c>
      <c r="G539">
        <v>47</v>
      </c>
    </row>
    <row r="540" spans="1:7">
      <c r="A540">
        <v>241415</v>
      </c>
      <c r="B540" t="s">
        <v>546</v>
      </c>
      <c r="C540">
        <v>67</v>
      </c>
      <c r="D540">
        <v>53</v>
      </c>
      <c r="E540">
        <v>64</v>
      </c>
      <c r="F540">
        <v>56</v>
      </c>
      <c r="G540">
        <v>48</v>
      </c>
    </row>
    <row r="541" spans="1:7">
      <c r="A541">
        <v>241416</v>
      </c>
      <c r="B541" t="s">
        <v>547</v>
      </c>
      <c r="C541">
        <v>86</v>
      </c>
      <c r="D541">
        <v>37</v>
      </c>
      <c r="E541">
        <v>59.5</v>
      </c>
      <c r="F541">
        <v>64</v>
      </c>
      <c r="G541">
        <v>63</v>
      </c>
    </row>
    <row r="542" spans="1:7">
      <c r="A542">
        <v>241417</v>
      </c>
      <c r="B542" t="s">
        <v>548</v>
      </c>
      <c r="C542">
        <v>80</v>
      </c>
      <c r="D542">
        <v>65</v>
      </c>
      <c r="E542">
        <v>85.5</v>
      </c>
      <c r="F542">
        <v>76</v>
      </c>
      <c r="G542">
        <v>65</v>
      </c>
    </row>
    <row r="543" spans="1:7">
      <c r="A543">
        <v>241418</v>
      </c>
      <c r="B543" t="s">
        <v>549</v>
      </c>
      <c r="C543">
        <v>89</v>
      </c>
      <c r="D543">
        <v>77</v>
      </c>
      <c r="E543">
        <v>72.5</v>
      </c>
      <c r="F543">
        <v>73</v>
      </c>
      <c r="G543">
        <v>59</v>
      </c>
    </row>
    <row r="544" spans="1:7">
      <c r="A544">
        <v>241419</v>
      </c>
      <c r="B544" t="s">
        <v>550</v>
      </c>
      <c r="C544">
        <v>70</v>
      </c>
      <c r="D544">
        <v>30</v>
      </c>
      <c r="E544">
        <v>27</v>
      </c>
      <c r="F544">
        <v>37</v>
      </c>
      <c r="G544">
        <v>30</v>
      </c>
    </row>
    <row r="545" spans="1:7">
      <c r="A545">
        <v>241420</v>
      </c>
      <c r="B545" t="s">
        <v>551</v>
      </c>
      <c r="C545">
        <v>66</v>
      </c>
      <c r="D545">
        <v>27</v>
      </c>
      <c r="E545">
        <v>50</v>
      </c>
      <c r="F545">
        <v>66</v>
      </c>
      <c r="G545">
        <v>46</v>
      </c>
    </row>
    <row r="546" spans="1:7">
      <c r="A546">
        <v>241422</v>
      </c>
      <c r="B546" t="s">
        <v>552</v>
      </c>
      <c r="C546">
        <v>80</v>
      </c>
      <c r="D546">
        <v>65</v>
      </c>
      <c r="E546">
        <v>56</v>
      </c>
      <c r="F546">
        <v>64</v>
      </c>
      <c r="G546">
        <v>68</v>
      </c>
    </row>
    <row r="547" spans="1:7">
      <c r="A547">
        <v>241424</v>
      </c>
      <c r="B547" t="s">
        <v>553</v>
      </c>
      <c r="C547">
        <v>61</v>
      </c>
      <c r="D547">
        <v>42</v>
      </c>
      <c r="E547">
        <v>77</v>
      </c>
      <c r="F547">
        <v>34</v>
      </c>
      <c r="G547">
        <v>45</v>
      </c>
    </row>
    <row r="548" spans="1:7">
      <c r="A548">
        <v>241425</v>
      </c>
      <c r="B548" t="s">
        <v>554</v>
      </c>
      <c r="C548" t="s">
        <v>61</v>
      </c>
      <c r="D548" t="s">
        <v>61</v>
      </c>
      <c r="E548" t="s">
        <v>61</v>
      </c>
      <c r="F548" t="s">
        <v>61</v>
      </c>
      <c r="G548" t="s">
        <v>61</v>
      </c>
    </row>
    <row r="549" spans="1:7">
      <c r="A549">
        <v>241426</v>
      </c>
      <c r="B549" t="s">
        <v>555</v>
      </c>
      <c r="C549">
        <v>102</v>
      </c>
      <c r="D549">
        <v>67</v>
      </c>
      <c r="E549">
        <v>93.5</v>
      </c>
      <c r="F549">
        <v>78</v>
      </c>
      <c r="G549">
        <v>66</v>
      </c>
    </row>
    <row r="550" spans="1:7">
      <c r="A550">
        <v>241427</v>
      </c>
      <c r="B550" t="s">
        <v>556</v>
      </c>
      <c r="C550">
        <v>71</v>
      </c>
      <c r="D550">
        <v>35</v>
      </c>
      <c r="E550">
        <v>48</v>
      </c>
      <c r="F550">
        <v>55</v>
      </c>
      <c r="G550">
        <v>33</v>
      </c>
    </row>
    <row r="551" spans="1:7">
      <c r="A551">
        <v>241428</v>
      </c>
      <c r="B551" t="s">
        <v>557</v>
      </c>
      <c r="C551">
        <v>83</v>
      </c>
      <c r="D551">
        <v>82</v>
      </c>
      <c r="E551">
        <v>99</v>
      </c>
      <c r="F551">
        <v>64</v>
      </c>
      <c r="G551">
        <v>45</v>
      </c>
    </row>
    <row r="552" spans="1:7">
      <c r="A552">
        <v>241429</v>
      </c>
      <c r="B552" t="s">
        <v>558</v>
      </c>
      <c r="C552">
        <v>86</v>
      </c>
      <c r="D552">
        <v>92</v>
      </c>
      <c r="E552">
        <v>84</v>
      </c>
      <c r="F552">
        <v>59</v>
      </c>
      <c r="G552">
        <v>73</v>
      </c>
    </row>
    <row r="553" spans="1:7">
      <c r="A553">
        <v>241430</v>
      </c>
      <c r="B553" t="s">
        <v>559</v>
      </c>
      <c r="C553">
        <v>65</v>
      </c>
      <c r="D553">
        <v>58</v>
      </c>
      <c r="E553">
        <v>45</v>
      </c>
      <c r="F553">
        <v>64</v>
      </c>
      <c r="G553">
        <v>62</v>
      </c>
    </row>
    <row r="554" spans="1:7">
      <c r="A554">
        <v>241433</v>
      </c>
      <c r="B554" t="s">
        <v>560</v>
      </c>
      <c r="C554">
        <v>87</v>
      </c>
      <c r="D554">
        <v>52</v>
      </c>
      <c r="E554">
        <v>51</v>
      </c>
      <c r="F554">
        <v>77</v>
      </c>
      <c r="G554">
        <v>62</v>
      </c>
    </row>
    <row r="555" spans="1:7">
      <c r="A555">
        <v>241434</v>
      </c>
      <c r="B555" t="s">
        <v>561</v>
      </c>
      <c r="C555">
        <v>63</v>
      </c>
      <c r="D555">
        <v>74</v>
      </c>
      <c r="E555">
        <v>106</v>
      </c>
      <c r="F555">
        <v>68</v>
      </c>
      <c r="G555">
        <v>69</v>
      </c>
    </row>
    <row r="556" spans="1:7">
      <c r="A556">
        <v>241435</v>
      </c>
      <c r="B556" t="s">
        <v>562</v>
      </c>
      <c r="C556" t="s">
        <v>61</v>
      </c>
      <c r="D556" t="s">
        <v>61</v>
      </c>
      <c r="E556" t="s">
        <v>61</v>
      </c>
      <c r="F556" t="s">
        <v>61</v>
      </c>
      <c r="G556" t="s">
        <v>61</v>
      </c>
    </row>
    <row r="557" spans="1:7">
      <c r="A557">
        <v>241437</v>
      </c>
      <c r="B557" t="s">
        <v>563</v>
      </c>
      <c r="C557">
        <v>86</v>
      </c>
      <c r="D557">
        <v>50</v>
      </c>
      <c r="E557">
        <v>74</v>
      </c>
      <c r="F557">
        <v>57</v>
      </c>
      <c r="G557">
        <v>61</v>
      </c>
    </row>
    <row r="558" spans="1:7">
      <c r="A558">
        <v>241438</v>
      </c>
      <c r="B558" t="s">
        <v>564</v>
      </c>
      <c r="C558">
        <v>90</v>
      </c>
      <c r="D558">
        <v>52</v>
      </c>
      <c r="E558">
        <v>47</v>
      </c>
      <c r="F558">
        <v>64</v>
      </c>
      <c r="G558">
        <v>41</v>
      </c>
    </row>
    <row r="559" spans="1:7">
      <c r="A559">
        <v>241439</v>
      </c>
      <c r="B559" t="s">
        <v>565</v>
      </c>
      <c r="C559">
        <v>65</v>
      </c>
      <c r="D559">
        <v>48</v>
      </c>
      <c r="E559">
        <v>51.5</v>
      </c>
      <c r="F559">
        <v>65</v>
      </c>
      <c r="G559">
        <v>65</v>
      </c>
    </row>
    <row r="560" spans="1:7">
      <c r="A560">
        <v>241440</v>
      </c>
      <c r="B560" t="s">
        <v>566</v>
      </c>
      <c r="C560">
        <v>87</v>
      </c>
      <c r="D560">
        <v>51</v>
      </c>
      <c r="E560">
        <v>71.5</v>
      </c>
      <c r="F560">
        <v>62</v>
      </c>
      <c r="G560">
        <v>50</v>
      </c>
    </row>
    <row r="561" spans="1:7">
      <c r="A561">
        <v>241441</v>
      </c>
      <c r="B561" t="s">
        <v>567</v>
      </c>
      <c r="C561">
        <v>92</v>
      </c>
      <c r="D561">
        <v>65</v>
      </c>
      <c r="E561">
        <v>63</v>
      </c>
      <c r="F561">
        <v>68</v>
      </c>
      <c r="G561">
        <v>48</v>
      </c>
    </row>
    <row r="562" spans="1:7">
      <c r="A562">
        <v>241442</v>
      </c>
      <c r="B562" t="s">
        <v>568</v>
      </c>
      <c r="C562">
        <v>52</v>
      </c>
      <c r="D562">
        <v>58</v>
      </c>
      <c r="E562">
        <v>58.5</v>
      </c>
      <c r="F562">
        <v>53</v>
      </c>
      <c r="G562">
        <v>47</v>
      </c>
    </row>
    <row r="563" spans="1:7">
      <c r="A563">
        <v>241444</v>
      </c>
      <c r="B563" t="s">
        <v>569</v>
      </c>
      <c r="C563" t="e">
        <v>#N/A</v>
      </c>
      <c r="D563" t="e">
        <v>#N/A</v>
      </c>
      <c r="E563" t="e">
        <v>#N/A</v>
      </c>
      <c r="F563" t="e">
        <v>#N/A</v>
      </c>
      <c r="G563" t="e">
        <v>#N/A</v>
      </c>
    </row>
    <row r="564" spans="1:7">
      <c r="A564">
        <v>241445</v>
      </c>
      <c r="B564" t="s">
        <v>570</v>
      </c>
      <c r="C564" t="e">
        <v>#N/A</v>
      </c>
      <c r="D564" t="e">
        <v>#N/A</v>
      </c>
      <c r="E564" t="e">
        <v>#N/A</v>
      </c>
      <c r="F564" t="e">
        <v>#N/A</v>
      </c>
      <c r="G564" t="e">
        <v>#N/A</v>
      </c>
    </row>
    <row r="565" spans="1:7">
      <c r="A565">
        <v>241447</v>
      </c>
      <c r="B565" t="s">
        <v>571</v>
      </c>
      <c r="C565" t="e">
        <v>#N/A</v>
      </c>
      <c r="D565" t="e">
        <v>#N/A</v>
      </c>
      <c r="E565" t="e">
        <v>#N/A</v>
      </c>
      <c r="F565" t="e">
        <v>#N/A</v>
      </c>
      <c r="G565" t="e">
        <v>#N/A</v>
      </c>
    </row>
    <row r="566" spans="1:7">
      <c r="A566">
        <v>241448</v>
      </c>
      <c r="B566" t="s">
        <v>572</v>
      </c>
      <c r="C566" t="e">
        <v>#N/A</v>
      </c>
      <c r="D566" t="e">
        <v>#N/A</v>
      </c>
      <c r="E566" t="e">
        <v>#N/A</v>
      </c>
      <c r="F566" t="e">
        <v>#N/A</v>
      </c>
      <c r="G566" t="e">
        <v>#N/A</v>
      </c>
    </row>
    <row r="567" spans="1:7">
      <c r="A567">
        <v>241501</v>
      </c>
      <c r="B567" t="s">
        <v>573</v>
      </c>
      <c r="C567">
        <v>76</v>
      </c>
      <c r="D567">
        <v>84</v>
      </c>
      <c r="E567">
        <v>58.5</v>
      </c>
      <c r="F567">
        <v>66</v>
      </c>
      <c r="G567">
        <v>68</v>
      </c>
    </row>
    <row r="568" spans="1:7">
      <c r="A568">
        <v>241502</v>
      </c>
      <c r="B568" t="s">
        <v>574</v>
      </c>
      <c r="C568">
        <v>85</v>
      </c>
      <c r="D568">
        <v>60</v>
      </c>
      <c r="E568">
        <v>80.5</v>
      </c>
      <c r="F568">
        <v>72</v>
      </c>
      <c r="G568">
        <v>52</v>
      </c>
    </row>
    <row r="569" spans="1:7">
      <c r="A569">
        <v>241503</v>
      </c>
      <c r="B569" t="s">
        <v>575</v>
      </c>
      <c r="C569">
        <v>77</v>
      </c>
      <c r="D569">
        <v>84</v>
      </c>
      <c r="E569">
        <v>50.5</v>
      </c>
      <c r="F569">
        <v>71</v>
      </c>
      <c r="G569">
        <v>48</v>
      </c>
    </row>
    <row r="570" spans="1:7">
      <c r="A570">
        <v>241504</v>
      </c>
      <c r="B570" t="s">
        <v>576</v>
      </c>
      <c r="C570">
        <v>90</v>
      </c>
      <c r="D570">
        <v>83</v>
      </c>
      <c r="E570">
        <v>92</v>
      </c>
      <c r="F570">
        <v>77</v>
      </c>
      <c r="G570">
        <v>74</v>
      </c>
    </row>
    <row r="571" spans="1:7">
      <c r="A571">
        <v>241505</v>
      </c>
      <c r="B571" t="s">
        <v>577</v>
      </c>
      <c r="C571">
        <v>71</v>
      </c>
      <c r="D571">
        <v>92</v>
      </c>
      <c r="E571">
        <v>42.5</v>
      </c>
      <c r="F571">
        <v>62</v>
      </c>
      <c r="G571">
        <v>69</v>
      </c>
    </row>
    <row r="572" spans="1:7">
      <c r="A572">
        <v>241506</v>
      </c>
      <c r="B572" t="s">
        <v>578</v>
      </c>
      <c r="C572">
        <v>79</v>
      </c>
      <c r="D572">
        <v>48</v>
      </c>
      <c r="E572">
        <v>65.5</v>
      </c>
      <c r="F572">
        <v>84</v>
      </c>
      <c r="G572">
        <v>57</v>
      </c>
    </row>
    <row r="573" spans="1:7">
      <c r="A573">
        <v>241508</v>
      </c>
      <c r="B573" t="s">
        <v>579</v>
      </c>
      <c r="C573">
        <v>78</v>
      </c>
      <c r="D573">
        <v>88</v>
      </c>
      <c r="E573">
        <v>83.5</v>
      </c>
      <c r="F573">
        <v>72</v>
      </c>
      <c r="G573">
        <v>71</v>
      </c>
    </row>
    <row r="574" spans="1:7">
      <c r="A574">
        <v>241509</v>
      </c>
      <c r="B574" t="s">
        <v>580</v>
      </c>
      <c r="C574">
        <v>92</v>
      </c>
      <c r="D574">
        <v>99</v>
      </c>
      <c r="E574">
        <v>87.5</v>
      </c>
      <c r="F574">
        <v>77</v>
      </c>
      <c r="G574">
        <v>66</v>
      </c>
    </row>
    <row r="575" spans="1:7">
      <c r="A575">
        <v>241510</v>
      </c>
      <c r="B575" t="s">
        <v>581</v>
      </c>
      <c r="C575">
        <v>77</v>
      </c>
      <c r="D575">
        <v>47</v>
      </c>
      <c r="E575">
        <v>79</v>
      </c>
      <c r="F575">
        <v>81</v>
      </c>
      <c r="G575">
        <v>62</v>
      </c>
    </row>
    <row r="576" spans="1:7">
      <c r="A576">
        <v>241511</v>
      </c>
      <c r="B576" t="s">
        <v>582</v>
      </c>
      <c r="C576">
        <v>73</v>
      </c>
      <c r="D576">
        <v>64</v>
      </c>
      <c r="E576">
        <v>77.5</v>
      </c>
      <c r="F576">
        <v>67</v>
      </c>
      <c r="G576">
        <v>70</v>
      </c>
    </row>
    <row r="577" spans="1:7">
      <c r="A577">
        <v>241513</v>
      </c>
      <c r="B577" t="s">
        <v>583</v>
      </c>
      <c r="C577">
        <v>75</v>
      </c>
      <c r="D577">
        <v>70</v>
      </c>
      <c r="E577">
        <v>73.5</v>
      </c>
      <c r="F577">
        <v>66</v>
      </c>
      <c r="G577">
        <v>57</v>
      </c>
    </row>
    <row r="578" spans="1:7">
      <c r="A578">
        <v>241514</v>
      </c>
      <c r="B578" t="s">
        <v>584</v>
      </c>
      <c r="C578">
        <v>75</v>
      </c>
      <c r="D578">
        <v>88</v>
      </c>
      <c r="E578">
        <v>80.5</v>
      </c>
      <c r="F578">
        <v>74</v>
      </c>
      <c r="G578">
        <v>57</v>
      </c>
    </row>
    <row r="579" spans="1:7">
      <c r="A579">
        <v>241515</v>
      </c>
      <c r="B579" t="s">
        <v>585</v>
      </c>
      <c r="C579">
        <v>80</v>
      </c>
      <c r="D579">
        <v>74</v>
      </c>
      <c r="E579">
        <v>80.5</v>
      </c>
      <c r="F579">
        <v>84</v>
      </c>
      <c r="G579">
        <v>58</v>
      </c>
    </row>
    <row r="580" spans="1:7">
      <c r="A580">
        <v>241516</v>
      </c>
      <c r="B580" t="s">
        <v>586</v>
      </c>
      <c r="C580">
        <v>70</v>
      </c>
      <c r="D580">
        <v>66</v>
      </c>
      <c r="E580">
        <v>74</v>
      </c>
      <c r="F580">
        <v>51</v>
      </c>
      <c r="G580">
        <v>56</v>
      </c>
    </row>
    <row r="581" spans="1:7">
      <c r="A581">
        <v>241517</v>
      </c>
      <c r="B581" t="s">
        <v>587</v>
      </c>
      <c r="C581">
        <v>51</v>
      </c>
      <c r="D581">
        <v>5</v>
      </c>
      <c r="E581" t="s">
        <v>61</v>
      </c>
      <c r="F581" t="s">
        <v>61</v>
      </c>
      <c r="G581">
        <v>27</v>
      </c>
    </row>
    <row r="582" spans="1:7">
      <c r="A582">
        <v>241518</v>
      </c>
      <c r="B582" t="s">
        <v>588</v>
      </c>
      <c r="C582">
        <v>86</v>
      </c>
      <c r="D582">
        <v>63</v>
      </c>
      <c r="E582">
        <v>61.5</v>
      </c>
      <c r="F582">
        <v>66</v>
      </c>
      <c r="G582">
        <v>63</v>
      </c>
    </row>
    <row r="583" spans="1:7">
      <c r="A583">
        <v>241519</v>
      </c>
      <c r="B583" t="s">
        <v>589</v>
      </c>
      <c r="C583">
        <v>86</v>
      </c>
      <c r="D583">
        <v>58</v>
      </c>
      <c r="E583">
        <v>92.5</v>
      </c>
      <c r="F583">
        <v>75</v>
      </c>
      <c r="G583">
        <v>79</v>
      </c>
    </row>
    <row r="584" spans="1:7">
      <c r="A584">
        <v>241520</v>
      </c>
      <c r="B584" t="s">
        <v>590</v>
      </c>
      <c r="C584">
        <v>88</v>
      </c>
      <c r="D584">
        <v>68</v>
      </c>
      <c r="E584">
        <v>82</v>
      </c>
      <c r="F584">
        <v>60</v>
      </c>
      <c r="G584">
        <v>46</v>
      </c>
    </row>
    <row r="585" spans="1:7">
      <c r="A585">
        <v>241521</v>
      </c>
      <c r="B585" t="s">
        <v>591</v>
      </c>
      <c r="C585">
        <v>74</v>
      </c>
      <c r="D585">
        <v>29</v>
      </c>
      <c r="E585">
        <v>29.5</v>
      </c>
      <c r="F585">
        <v>57</v>
      </c>
      <c r="G585">
        <v>48</v>
      </c>
    </row>
    <row r="586" spans="1:7">
      <c r="A586">
        <v>241522</v>
      </c>
      <c r="B586" t="s">
        <v>592</v>
      </c>
      <c r="C586">
        <v>69</v>
      </c>
      <c r="D586">
        <v>41</v>
      </c>
      <c r="E586">
        <v>41</v>
      </c>
      <c r="F586">
        <v>79</v>
      </c>
      <c r="G586">
        <v>37</v>
      </c>
    </row>
    <row r="587" spans="1:7">
      <c r="A587">
        <v>241523</v>
      </c>
      <c r="B587" t="s">
        <v>593</v>
      </c>
      <c r="C587">
        <v>92</v>
      </c>
      <c r="D587">
        <v>71</v>
      </c>
      <c r="E587">
        <v>112</v>
      </c>
      <c r="F587">
        <v>78</v>
      </c>
      <c r="G587">
        <v>55</v>
      </c>
    </row>
    <row r="588" spans="1:7">
      <c r="A588">
        <v>241524</v>
      </c>
      <c r="B588" t="s">
        <v>594</v>
      </c>
      <c r="C588">
        <v>83</v>
      </c>
      <c r="D588">
        <v>70</v>
      </c>
      <c r="E588">
        <v>83</v>
      </c>
      <c r="F588">
        <v>69</v>
      </c>
      <c r="G588">
        <v>62</v>
      </c>
    </row>
    <row r="589" spans="1:7">
      <c r="A589">
        <v>241525</v>
      </c>
      <c r="B589" t="s">
        <v>595</v>
      </c>
      <c r="C589">
        <v>92</v>
      </c>
      <c r="D589">
        <v>65</v>
      </c>
      <c r="E589">
        <v>40.5</v>
      </c>
      <c r="F589">
        <v>69</v>
      </c>
      <c r="G589">
        <v>72</v>
      </c>
    </row>
    <row r="590" spans="1:7">
      <c r="A590">
        <v>241526</v>
      </c>
      <c r="B590" t="s">
        <v>596</v>
      </c>
      <c r="C590">
        <v>85</v>
      </c>
      <c r="D590">
        <v>77</v>
      </c>
      <c r="E590">
        <v>91.5</v>
      </c>
      <c r="F590">
        <v>68</v>
      </c>
      <c r="G590">
        <v>59</v>
      </c>
    </row>
    <row r="591" spans="1:7">
      <c r="A591">
        <v>241527</v>
      </c>
      <c r="B591" t="s">
        <v>597</v>
      </c>
      <c r="C591">
        <v>82</v>
      </c>
      <c r="D591">
        <v>45</v>
      </c>
      <c r="E591">
        <v>57</v>
      </c>
      <c r="F591">
        <v>64</v>
      </c>
      <c r="G591">
        <v>31</v>
      </c>
    </row>
    <row r="592" spans="1:7">
      <c r="A592">
        <v>241528</v>
      </c>
      <c r="B592" t="s">
        <v>598</v>
      </c>
      <c r="C592">
        <v>67</v>
      </c>
      <c r="D592">
        <v>55</v>
      </c>
      <c r="E592">
        <v>43.5</v>
      </c>
      <c r="F592">
        <v>44</v>
      </c>
      <c r="G592">
        <v>48</v>
      </c>
    </row>
    <row r="593" spans="1:7">
      <c r="A593">
        <v>241529</v>
      </c>
      <c r="B593" t="s">
        <v>599</v>
      </c>
      <c r="C593">
        <v>84</v>
      </c>
      <c r="D593">
        <v>77</v>
      </c>
      <c r="E593">
        <v>77</v>
      </c>
      <c r="F593">
        <v>58</v>
      </c>
      <c r="G593">
        <v>60</v>
      </c>
    </row>
    <row r="594" spans="1:7">
      <c r="A594">
        <v>241530</v>
      </c>
      <c r="B594" t="s">
        <v>600</v>
      </c>
      <c r="C594">
        <v>94</v>
      </c>
      <c r="D594">
        <v>86</v>
      </c>
      <c r="E594">
        <v>97</v>
      </c>
      <c r="F594">
        <v>82</v>
      </c>
      <c r="G594">
        <v>74</v>
      </c>
    </row>
    <row r="595" spans="1:7">
      <c r="A595">
        <v>241531</v>
      </c>
      <c r="B595" t="s">
        <v>601</v>
      </c>
      <c r="C595">
        <v>81</v>
      </c>
      <c r="D595">
        <v>84</v>
      </c>
      <c r="E595">
        <v>90</v>
      </c>
      <c r="F595">
        <v>77</v>
      </c>
      <c r="G595">
        <v>50</v>
      </c>
    </row>
    <row r="596" spans="1:7">
      <c r="A596">
        <v>241532</v>
      </c>
      <c r="B596" t="s">
        <v>602</v>
      </c>
      <c r="C596">
        <v>88</v>
      </c>
      <c r="D596">
        <v>93</v>
      </c>
      <c r="E596">
        <v>93.5</v>
      </c>
      <c r="F596">
        <v>59</v>
      </c>
      <c r="G596">
        <v>55</v>
      </c>
    </row>
    <row r="597" spans="1:7">
      <c r="A597">
        <v>241533</v>
      </c>
      <c r="B597" t="s">
        <v>603</v>
      </c>
      <c r="C597">
        <v>44</v>
      </c>
      <c r="D597">
        <v>24</v>
      </c>
      <c r="E597">
        <v>37.5</v>
      </c>
      <c r="F597">
        <v>48</v>
      </c>
      <c r="G597">
        <v>39</v>
      </c>
    </row>
    <row r="598" spans="1:7">
      <c r="A598">
        <v>241534</v>
      </c>
      <c r="B598" t="s">
        <v>604</v>
      </c>
      <c r="C598">
        <v>85</v>
      </c>
      <c r="D598">
        <v>72</v>
      </c>
      <c r="E598">
        <v>76</v>
      </c>
      <c r="F598">
        <v>70</v>
      </c>
      <c r="G598">
        <v>50</v>
      </c>
    </row>
    <row r="599" spans="1:7">
      <c r="A599">
        <v>241535</v>
      </c>
      <c r="B599" t="s">
        <v>605</v>
      </c>
      <c r="C599">
        <v>71</v>
      </c>
      <c r="D599">
        <v>68</v>
      </c>
      <c r="E599">
        <v>43.5</v>
      </c>
      <c r="F599">
        <v>59</v>
      </c>
      <c r="G599">
        <v>61</v>
      </c>
    </row>
    <row r="600" spans="1:7">
      <c r="A600">
        <v>241536</v>
      </c>
      <c r="B600" t="s">
        <v>606</v>
      </c>
      <c r="C600">
        <v>78</v>
      </c>
      <c r="D600">
        <v>54</v>
      </c>
      <c r="E600">
        <v>66</v>
      </c>
      <c r="F600">
        <v>58</v>
      </c>
      <c r="G600">
        <v>53</v>
      </c>
    </row>
    <row r="601" spans="1:7">
      <c r="A601">
        <v>241537</v>
      </c>
      <c r="B601" t="s">
        <v>607</v>
      </c>
      <c r="C601">
        <v>94</v>
      </c>
      <c r="D601">
        <v>71</v>
      </c>
      <c r="E601">
        <v>92.5</v>
      </c>
      <c r="F601">
        <v>76</v>
      </c>
      <c r="G601">
        <v>77</v>
      </c>
    </row>
    <row r="602" spans="1:7">
      <c r="A602">
        <v>241538</v>
      </c>
      <c r="B602" t="s">
        <v>608</v>
      </c>
      <c r="C602">
        <v>44</v>
      </c>
      <c r="D602">
        <v>12</v>
      </c>
      <c r="E602">
        <v>44</v>
      </c>
      <c r="F602">
        <v>48</v>
      </c>
      <c r="G602">
        <v>46</v>
      </c>
    </row>
    <row r="603" spans="1:7">
      <c r="A603">
        <v>241539</v>
      </c>
      <c r="B603" t="s">
        <v>609</v>
      </c>
      <c r="C603">
        <v>66</v>
      </c>
      <c r="D603">
        <v>53</v>
      </c>
      <c r="E603">
        <v>55</v>
      </c>
      <c r="F603">
        <v>64</v>
      </c>
      <c r="G603">
        <v>52</v>
      </c>
    </row>
    <row r="604" spans="1:7">
      <c r="A604">
        <v>241540</v>
      </c>
      <c r="B604" t="s">
        <v>610</v>
      </c>
      <c r="C604">
        <v>84</v>
      </c>
      <c r="D604">
        <v>72</v>
      </c>
      <c r="E604">
        <v>84</v>
      </c>
      <c r="F604">
        <v>64</v>
      </c>
      <c r="G604">
        <v>69</v>
      </c>
    </row>
    <row r="605" spans="1:7">
      <c r="A605">
        <v>241541</v>
      </c>
      <c r="B605" t="s">
        <v>611</v>
      </c>
      <c r="C605">
        <v>81</v>
      </c>
      <c r="D605">
        <v>87</v>
      </c>
      <c r="E605">
        <v>74.5</v>
      </c>
      <c r="F605">
        <v>80</v>
      </c>
      <c r="G605">
        <v>65</v>
      </c>
    </row>
    <row r="606" spans="1:7">
      <c r="A606">
        <v>241542</v>
      </c>
      <c r="B606" t="s">
        <v>612</v>
      </c>
      <c r="C606">
        <v>87</v>
      </c>
      <c r="D606">
        <v>47</v>
      </c>
      <c r="E606">
        <v>68</v>
      </c>
      <c r="F606">
        <v>62</v>
      </c>
      <c r="G606">
        <v>58</v>
      </c>
    </row>
    <row r="607" spans="1:7">
      <c r="A607">
        <v>241543</v>
      </c>
      <c r="B607" t="s">
        <v>613</v>
      </c>
      <c r="C607">
        <v>98</v>
      </c>
      <c r="D607">
        <v>80</v>
      </c>
      <c r="E607">
        <v>89.5</v>
      </c>
      <c r="F607">
        <v>77</v>
      </c>
      <c r="G607">
        <v>65</v>
      </c>
    </row>
    <row r="608" spans="1:7">
      <c r="A608">
        <v>241544</v>
      </c>
      <c r="B608" t="s">
        <v>614</v>
      </c>
      <c r="C608">
        <v>76</v>
      </c>
      <c r="D608">
        <v>85</v>
      </c>
      <c r="E608">
        <v>93</v>
      </c>
      <c r="F608">
        <v>55</v>
      </c>
      <c r="G608">
        <v>61</v>
      </c>
    </row>
    <row r="609" spans="1:7">
      <c r="A609">
        <v>241601</v>
      </c>
      <c r="B609" t="s">
        <v>615</v>
      </c>
      <c r="C609">
        <v>78</v>
      </c>
      <c r="D609">
        <v>72</v>
      </c>
      <c r="E609">
        <v>84</v>
      </c>
      <c r="F609">
        <v>64</v>
      </c>
      <c r="G609">
        <v>60</v>
      </c>
    </row>
    <row r="610" spans="1:7">
      <c r="A610">
        <v>241602</v>
      </c>
      <c r="B610" t="s">
        <v>616</v>
      </c>
      <c r="C610">
        <v>82</v>
      </c>
      <c r="D610">
        <v>88</v>
      </c>
      <c r="E610">
        <v>70.5</v>
      </c>
      <c r="F610">
        <v>76</v>
      </c>
      <c r="G610">
        <v>62</v>
      </c>
    </row>
    <row r="611" spans="1:7">
      <c r="A611">
        <v>241603</v>
      </c>
      <c r="B611" t="s">
        <v>617</v>
      </c>
      <c r="C611">
        <v>76</v>
      </c>
      <c r="D611">
        <v>21</v>
      </c>
      <c r="E611">
        <v>34</v>
      </c>
      <c r="F611">
        <v>54</v>
      </c>
      <c r="G611">
        <v>53</v>
      </c>
    </row>
    <row r="612" spans="1:7">
      <c r="A612">
        <v>241604</v>
      </c>
      <c r="B612" t="s">
        <v>618</v>
      </c>
      <c r="C612">
        <v>83</v>
      </c>
      <c r="D612">
        <v>51</v>
      </c>
      <c r="E612">
        <v>100</v>
      </c>
      <c r="F612">
        <v>77</v>
      </c>
      <c r="G612">
        <v>67</v>
      </c>
    </row>
    <row r="613" spans="1:7">
      <c r="A613">
        <v>241605</v>
      </c>
      <c r="B613" t="s">
        <v>619</v>
      </c>
      <c r="C613">
        <v>62</v>
      </c>
      <c r="D613">
        <v>45</v>
      </c>
      <c r="E613">
        <v>45</v>
      </c>
      <c r="F613">
        <v>52</v>
      </c>
      <c r="G613">
        <v>46</v>
      </c>
    </row>
    <row r="614" spans="1:7">
      <c r="A614">
        <v>241606</v>
      </c>
      <c r="B614" t="s">
        <v>620</v>
      </c>
      <c r="C614">
        <v>72</v>
      </c>
      <c r="D614">
        <v>83</v>
      </c>
      <c r="E614">
        <v>57</v>
      </c>
      <c r="F614">
        <v>69</v>
      </c>
      <c r="G614">
        <v>56</v>
      </c>
    </row>
    <row r="615" spans="1:7">
      <c r="A615">
        <v>241607</v>
      </c>
      <c r="B615" t="s">
        <v>621</v>
      </c>
      <c r="C615">
        <v>65</v>
      </c>
      <c r="D615">
        <v>13</v>
      </c>
      <c r="E615">
        <v>44</v>
      </c>
      <c r="F615">
        <v>53</v>
      </c>
      <c r="G615">
        <v>35</v>
      </c>
    </row>
    <row r="616" spans="1:7">
      <c r="A616">
        <v>241608</v>
      </c>
      <c r="B616" t="s">
        <v>622</v>
      </c>
      <c r="C616">
        <v>87</v>
      </c>
      <c r="D616">
        <v>78</v>
      </c>
      <c r="E616">
        <v>87.5</v>
      </c>
      <c r="F616">
        <v>68</v>
      </c>
      <c r="G616">
        <v>79</v>
      </c>
    </row>
    <row r="617" spans="1:7">
      <c r="A617">
        <v>241610</v>
      </c>
      <c r="B617" t="s">
        <v>623</v>
      </c>
      <c r="C617" t="s">
        <v>61</v>
      </c>
      <c r="D617" t="s">
        <v>61</v>
      </c>
      <c r="E617" t="s">
        <v>61</v>
      </c>
      <c r="F617" t="s">
        <v>61</v>
      </c>
      <c r="G617" t="s">
        <v>61</v>
      </c>
    </row>
    <row r="618" spans="1:7">
      <c r="A618">
        <v>241611</v>
      </c>
      <c r="B618" t="s">
        <v>624</v>
      </c>
      <c r="C618">
        <v>74</v>
      </c>
      <c r="D618">
        <v>64</v>
      </c>
      <c r="E618">
        <v>87.5</v>
      </c>
      <c r="F618">
        <v>64</v>
      </c>
      <c r="G618">
        <v>53</v>
      </c>
    </row>
    <row r="619" spans="1:7">
      <c r="A619">
        <v>241612</v>
      </c>
      <c r="B619" t="s">
        <v>625</v>
      </c>
      <c r="C619">
        <v>86</v>
      </c>
      <c r="D619">
        <v>81</v>
      </c>
      <c r="E619">
        <v>84.5</v>
      </c>
      <c r="F619">
        <v>77</v>
      </c>
      <c r="G619">
        <v>57</v>
      </c>
    </row>
    <row r="620" spans="1:7">
      <c r="A620">
        <v>241613</v>
      </c>
      <c r="B620" t="s">
        <v>626</v>
      </c>
      <c r="C620">
        <v>73</v>
      </c>
      <c r="D620">
        <v>71</v>
      </c>
      <c r="E620">
        <v>48.5</v>
      </c>
      <c r="F620">
        <v>62</v>
      </c>
      <c r="G620">
        <v>47</v>
      </c>
    </row>
    <row r="621" spans="1:7">
      <c r="A621">
        <v>241614</v>
      </c>
      <c r="B621" t="s">
        <v>627</v>
      </c>
      <c r="C621">
        <v>71</v>
      </c>
      <c r="D621">
        <v>42</v>
      </c>
      <c r="E621">
        <v>56</v>
      </c>
      <c r="F621">
        <v>54</v>
      </c>
      <c r="G621">
        <v>51</v>
      </c>
    </row>
    <row r="622" spans="1:7">
      <c r="A622">
        <v>241615</v>
      </c>
      <c r="B622" t="s">
        <v>628</v>
      </c>
      <c r="C622">
        <v>66</v>
      </c>
      <c r="D622">
        <v>61</v>
      </c>
      <c r="E622">
        <v>78</v>
      </c>
      <c r="F622">
        <v>63</v>
      </c>
      <c r="G622">
        <v>55</v>
      </c>
    </row>
    <row r="623" spans="1:7">
      <c r="A623">
        <v>241616</v>
      </c>
      <c r="B623" t="s">
        <v>629</v>
      </c>
      <c r="C623">
        <v>74</v>
      </c>
      <c r="D623">
        <v>66</v>
      </c>
      <c r="E623">
        <v>71.5</v>
      </c>
      <c r="F623">
        <v>61</v>
      </c>
      <c r="G623">
        <v>59</v>
      </c>
    </row>
    <row r="624" spans="1:7">
      <c r="A624">
        <v>241619</v>
      </c>
      <c r="B624" t="s">
        <v>630</v>
      </c>
      <c r="C624">
        <v>93</v>
      </c>
      <c r="D624">
        <v>76</v>
      </c>
      <c r="E624">
        <v>94.5</v>
      </c>
      <c r="F624">
        <v>76</v>
      </c>
      <c r="G624">
        <v>67</v>
      </c>
    </row>
    <row r="625" spans="1:7">
      <c r="A625">
        <v>241620</v>
      </c>
      <c r="B625" t="s">
        <v>631</v>
      </c>
      <c r="C625">
        <v>55</v>
      </c>
      <c r="D625">
        <v>34</v>
      </c>
      <c r="E625">
        <v>34.5</v>
      </c>
      <c r="F625">
        <v>57</v>
      </c>
      <c r="G625">
        <v>59</v>
      </c>
    </row>
    <row r="626" spans="1:7">
      <c r="A626">
        <v>241621</v>
      </c>
      <c r="B626" t="s">
        <v>632</v>
      </c>
      <c r="C626">
        <v>87</v>
      </c>
      <c r="D626">
        <v>81</v>
      </c>
      <c r="E626">
        <v>93</v>
      </c>
      <c r="F626">
        <v>73</v>
      </c>
      <c r="G626">
        <v>74</v>
      </c>
    </row>
    <row r="627" spans="1:7">
      <c r="A627">
        <v>241622</v>
      </c>
      <c r="B627" t="s">
        <v>633</v>
      </c>
      <c r="C627">
        <v>91</v>
      </c>
      <c r="D627">
        <v>98</v>
      </c>
      <c r="E627">
        <v>73</v>
      </c>
      <c r="F627">
        <v>77</v>
      </c>
      <c r="G627">
        <v>76</v>
      </c>
    </row>
    <row r="628" spans="1:7">
      <c r="A628">
        <v>241623</v>
      </c>
      <c r="B628" t="s">
        <v>634</v>
      </c>
      <c r="C628">
        <v>77</v>
      </c>
      <c r="D628">
        <v>68</v>
      </c>
      <c r="E628">
        <v>70.5</v>
      </c>
      <c r="F628">
        <v>58</v>
      </c>
      <c r="G628">
        <v>59</v>
      </c>
    </row>
    <row r="629" spans="1:7">
      <c r="A629">
        <v>241624</v>
      </c>
      <c r="B629" t="s">
        <v>635</v>
      </c>
      <c r="C629">
        <v>71</v>
      </c>
      <c r="D629">
        <v>44</v>
      </c>
      <c r="E629">
        <v>57</v>
      </c>
      <c r="F629">
        <v>50</v>
      </c>
      <c r="G629">
        <v>54</v>
      </c>
    </row>
    <row r="630" spans="1:7">
      <c r="A630">
        <v>241625</v>
      </c>
      <c r="B630" t="s">
        <v>636</v>
      </c>
      <c r="C630">
        <v>70</v>
      </c>
      <c r="D630">
        <v>59</v>
      </c>
      <c r="E630">
        <v>65.5</v>
      </c>
      <c r="F630">
        <v>65</v>
      </c>
      <c r="G630">
        <v>69</v>
      </c>
    </row>
    <row r="631" spans="1:7">
      <c r="A631">
        <v>241626</v>
      </c>
      <c r="B631" t="s">
        <v>637</v>
      </c>
      <c r="C631">
        <v>89</v>
      </c>
      <c r="D631">
        <v>99</v>
      </c>
      <c r="E631">
        <v>71.5</v>
      </c>
      <c r="F631">
        <v>68</v>
      </c>
      <c r="G631">
        <v>74</v>
      </c>
    </row>
    <row r="632" spans="1:7">
      <c r="A632">
        <v>241627</v>
      </c>
      <c r="B632" t="s">
        <v>638</v>
      </c>
      <c r="C632">
        <v>64</v>
      </c>
      <c r="D632">
        <v>38</v>
      </c>
      <c r="E632">
        <v>70</v>
      </c>
      <c r="F632">
        <v>49</v>
      </c>
      <c r="G632">
        <v>30</v>
      </c>
    </row>
    <row r="633" spans="1:7">
      <c r="A633">
        <v>241628</v>
      </c>
      <c r="B633" t="s">
        <v>639</v>
      </c>
      <c r="C633">
        <v>56</v>
      </c>
      <c r="D633">
        <v>75</v>
      </c>
      <c r="E633">
        <v>38.5</v>
      </c>
      <c r="F633">
        <v>48</v>
      </c>
      <c r="G633">
        <v>52</v>
      </c>
    </row>
    <row r="634" spans="1:7">
      <c r="A634">
        <v>241629</v>
      </c>
      <c r="B634" t="s">
        <v>640</v>
      </c>
      <c r="C634">
        <v>87</v>
      </c>
      <c r="D634">
        <v>97</v>
      </c>
      <c r="E634">
        <v>104.5</v>
      </c>
      <c r="F634">
        <v>73</v>
      </c>
      <c r="G634">
        <v>60</v>
      </c>
    </row>
    <row r="635" spans="1:7">
      <c r="A635">
        <v>241630</v>
      </c>
      <c r="B635" t="s">
        <v>641</v>
      </c>
      <c r="C635">
        <v>91</v>
      </c>
      <c r="D635">
        <v>53</v>
      </c>
      <c r="E635">
        <v>65.5</v>
      </c>
      <c r="F635">
        <v>69</v>
      </c>
      <c r="G635">
        <v>59</v>
      </c>
    </row>
    <row r="636" spans="1:7">
      <c r="A636">
        <v>241631</v>
      </c>
      <c r="B636" t="s">
        <v>642</v>
      </c>
      <c r="C636">
        <v>62</v>
      </c>
      <c r="D636">
        <v>49</v>
      </c>
      <c r="E636">
        <v>33.5</v>
      </c>
      <c r="F636">
        <v>41</v>
      </c>
      <c r="G636">
        <v>36</v>
      </c>
    </row>
    <row r="637" spans="1:7">
      <c r="A637">
        <v>241632</v>
      </c>
      <c r="B637" t="s">
        <v>643</v>
      </c>
      <c r="C637">
        <v>85</v>
      </c>
      <c r="D637">
        <v>78</v>
      </c>
      <c r="E637">
        <v>107</v>
      </c>
      <c r="F637">
        <v>58</v>
      </c>
      <c r="G637">
        <v>55</v>
      </c>
    </row>
    <row r="638" spans="1:7">
      <c r="A638">
        <v>241633</v>
      </c>
      <c r="B638" t="s">
        <v>644</v>
      </c>
      <c r="C638">
        <v>82</v>
      </c>
      <c r="D638">
        <v>80</v>
      </c>
      <c r="E638">
        <v>99.5</v>
      </c>
      <c r="F638">
        <v>67</v>
      </c>
      <c r="G638">
        <v>54</v>
      </c>
    </row>
    <row r="639" spans="1:7">
      <c r="A639">
        <v>241634</v>
      </c>
      <c r="B639" t="s">
        <v>645</v>
      </c>
      <c r="C639">
        <v>85</v>
      </c>
      <c r="D639">
        <v>93</v>
      </c>
      <c r="E639">
        <v>70</v>
      </c>
      <c r="F639">
        <v>66</v>
      </c>
      <c r="G639">
        <v>62</v>
      </c>
    </row>
    <row r="640" spans="1:7">
      <c r="A640">
        <v>241635</v>
      </c>
      <c r="B640" t="s">
        <v>646</v>
      </c>
      <c r="C640">
        <v>71</v>
      </c>
      <c r="D640">
        <v>73</v>
      </c>
      <c r="E640">
        <v>71.5</v>
      </c>
      <c r="F640">
        <v>62</v>
      </c>
      <c r="G640">
        <v>67</v>
      </c>
    </row>
    <row r="641" spans="1:7">
      <c r="A641">
        <v>241636</v>
      </c>
      <c r="B641" t="s">
        <v>647</v>
      </c>
      <c r="C641">
        <v>79</v>
      </c>
      <c r="D641">
        <v>36</v>
      </c>
      <c r="E641">
        <v>49</v>
      </c>
      <c r="F641">
        <v>55</v>
      </c>
      <c r="G641">
        <v>54</v>
      </c>
    </row>
    <row r="642" spans="1:7">
      <c r="A642">
        <v>241637</v>
      </c>
      <c r="B642" t="s">
        <v>648</v>
      </c>
      <c r="C642">
        <v>32</v>
      </c>
      <c r="D642">
        <v>20</v>
      </c>
      <c r="E642">
        <v>33</v>
      </c>
      <c r="F642">
        <v>32</v>
      </c>
      <c r="G642">
        <v>33</v>
      </c>
    </row>
    <row r="643" spans="1:7">
      <c r="A643">
        <v>241638</v>
      </c>
      <c r="B643" t="s">
        <v>649</v>
      </c>
      <c r="C643">
        <v>83</v>
      </c>
      <c r="D643">
        <v>78</v>
      </c>
      <c r="E643">
        <v>69.5</v>
      </c>
      <c r="F643">
        <v>73</v>
      </c>
      <c r="G643">
        <v>73</v>
      </c>
    </row>
    <row r="644" spans="1:7">
      <c r="A644">
        <v>241639</v>
      </c>
      <c r="B644" t="s">
        <v>650</v>
      </c>
      <c r="C644">
        <v>84</v>
      </c>
      <c r="D644">
        <v>84</v>
      </c>
      <c r="E644">
        <v>94</v>
      </c>
      <c r="F644">
        <v>73</v>
      </c>
      <c r="G644">
        <v>74</v>
      </c>
    </row>
    <row r="645" spans="1:7">
      <c r="A645">
        <v>241640</v>
      </c>
      <c r="B645" t="s">
        <v>651</v>
      </c>
      <c r="C645">
        <v>83</v>
      </c>
      <c r="D645">
        <v>53</v>
      </c>
      <c r="E645">
        <v>81.5</v>
      </c>
      <c r="F645">
        <v>71</v>
      </c>
      <c r="G645">
        <v>55</v>
      </c>
    </row>
    <row r="646" spans="1:7">
      <c r="A646">
        <v>241641</v>
      </c>
      <c r="B646" t="s">
        <v>652</v>
      </c>
      <c r="C646">
        <v>92</v>
      </c>
      <c r="D646">
        <v>75</v>
      </c>
      <c r="E646">
        <v>98</v>
      </c>
      <c r="F646">
        <v>72</v>
      </c>
      <c r="G646">
        <v>73</v>
      </c>
    </row>
    <row r="647" spans="1:7">
      <c r="A647">
        <v>241642</v>
      </c>
      <c r="B647" t="s">
        <v>653</v>
      </c>
      <c r="C647">
        <v>65</v>
      </c>
      <c r="D647">
        <v>49</v>
      </c>
      <c r="E647">
        <v>47</v>
      </c>
      <c r="F647">
        <v>63</v>
      </c>
      <c r="G647">
        <v>58</v>
      </c>
    </row>
    <row r="648" spans="1:7">
      <c r="A648">
        <v>241644</v>
      </c>
      <c r="B648" t="s">
        <v>654</v>
      </c>
      <c r="C648">
        <v>54</v>
      </c>
      <c r="D648">
        <v>46</v>
      </c>
      <c r="E648">
        <v>42.5</v>
      </c>
      <c r="F648">
        <v>55</v>
      </c>
      <c r="G648">
        <v>59</v>
      </c>
    </row>
    <row r="649" spans="1:7">
      <c r="A649">
        <v>241701</v>
      </c>
      <c r="B649" t="s">
        <v>655</v>
      </c>
      <c r="C649">
        <v>84</v>
      </c>
      <c r="D649">
        <v>56</v>
      </c>
      <c r="E649">
        <v>40</v>
      </c>
      <c r="F649">
        <v>57</v>
      </c>
      <c r="G649">
        <v>58</v>
      </c>
    </row>
    <row r="650" spans="1:7">
      <c r="A650">
        <v>241702</v>
      </c>
      <c r="B650" t="s">
        <v>656</v>
      </c>
      <c r="C650">
        <v>90</v>
      </c>
      <c r="D650">
        <v>79</v>
      </c>
      <c r="E650">
        <v>95.5</v>
      </c>
      <c r="F650">
        <v>78</v>
      </c>
      <c r="G650">
        <v>68</v>
      </c>
    </row>
    <row r="651" spans="1:7">
      <c r="A651">
        <v>241703</v>
      </c>
      <c r="B651" t="s">
        <v>657</v>
      </c>
      <c r="C651">
        <v>66</v>
      </c>
      <c r="D651">
        <v>59</v>
      </c>
      <c r="E651">
        <v>23</v>
      </c>
      <c r="F651">
        <v>46</v>
      </c>
      <c r="G651">
        <v>64</v>
      </c>
    </row>
    <row r="652" spans="1:7">
      <c r="A652">
        <v>241704</v>
      </c>
      <c r="B652" t="s">
        <v>658</v>
      </c>
      <c r="C652">
        <v>82</v>
      </c>
      <c r="D652">
        <v>60</v>
      </c>
      <c r="E652">
        <v>56</v>
      </c>
      <c r="F652">
        <v>67</v>
      </c>
      <c r="G652">
        <v>82</v>
      </c>
    </row>
    <row r="653" spans="1:7">
      <c r="A653">
        <v>241705</v>
      </c>
      <c r="B653" t="s">
        <v>659</v>
      </c>
      <c r="C653">
        <v>85</v>
      </c>
      <c r="D653">
        <v>60</v>
      </c>
      <c r="E653">
        <v>76</v>
      </c>
      <c r="F653">
        <v>74</v>
      </c>
      <c r="G653">
        <v>62</v>
      </c>
    </row>
    <row r="654" spans="1:7">
      <c r="A654">
        <v>241706</v>
      </c>
      <c r="B654" t="s">
        <v>660</v>
      </c>
      <c r="C654">
        <v>69</v>
      </c>
      <c r="D654">
        <v>59</v>
      </c>
      <c r="E654">
        <v>31.5</v>
      </c>
      <c r="F654">
        <v>56</v>
      </c>
      <c r="G654">
        <v>58</v>
      </c>
    </row>
    <row r="655" spans="1:7">
      <c r="A655">
        <v>241708</v>
      </c>
      <c r="B655" t="s">
        <v>661</v>
      </c>
      <c r="C655">
        <v>88</v>
      </c>
      <c r="D655">
        <v>50</v>
      </c>
      <c r="E655">
        <v>75.5</v>
      </c>
      <c r="F655">
        <v>61</v>
      </c>
      <c r="G655">
        <v>62</v>
      </c>
    </row>
    <row r="656" spans="1:7">
      <c r="A656">
        <v>241709</v>
      </c>
      <c r="B656" t="s">
        <v>662</v>
      </c>
      <c r="C656">
        <v>92</v>
      </c>
      <c r="D656">
        <v>72</v>
      </c>
      <c r="E656">
        <v>81.5</v>
      </c>
      <c r="F656">
        <v>79</v>
      </c>
      <c r="G656">
        <v>75</v>
      </c>
    </row>
    <row r="657" spans="1:7">
      <c r="A657">
        <v>241710</v>
      </c>
      <c r="B657" t="s">
        <v>663</v>
      </c>
      <c r="C657">
        <v>82</v>
      </c>
      <c r="D657">
        <v>49</v>
      </c>
      <c r="E657">
        <v>101.5</v>
      </c>
      <c r="F657">
        <v>67</v>
      </c>
      <c r="G657">
        <v>68</v>
      </c>
    </row>
    <row r="658" spans="1:7">
      <c r="A658">
        <v>241711</v>
      </c>
      <c r="B658" t="s">
        <v>664</v>
      </c>
      <c r="C658">
        <v>62</v>
      </c>
      <c r="D658">
        <v>55</v>
      </c>
      <c r="E658">
        <v>64</v>
      </c>
      <c r="F658">
        <v>44</v>
      </c>
      <c r="G658">
        <v>48</v>
      </c>
    </row>
    <row r="659" spans="1:7">
      <c r="A659">
        <v>241712</v>
      </c>
      <c r="B659" t="s">
        <v>665</v>
      </c>
      <c r="C659">
        <v>97</v>
      </c>
      <c r="D659">
        <v>88</v>
      </c>
      <c r="E659">
        <v>69.5</v>
      </c>
      <c r="F659">
        <v>77</v>
      </c>
      <c r="G659">
        <v>75</v>
      </c>
    </row>
    <row r="660" spans="1:7">
      <c r="A660">
        <v>241713</v>
      </c>
      <c r="B660" t="s">
        <v>666</v>
      </c>
      <c r="C660">
        <v>95</v>
      </c>
      <c r="D660">
        <v>93</v>
      </c>
      <c r="E660">
        <v>105.5</v>
      </c>
      <c r="F660">
        <v>78</v>
      </c>
      <c r="G660">
        <v>64</v>
      </c>
    </row>
    <row r="661" spans="1:7">
      <c r="A661">
        <v>241714</v>
      </c>
      <c r="B661" t="s">
        <v>667</v>
      </c>
      <c r="C661">
        <v>82</v>
      </c>
      <c r="D661">
        <v>83</v>
      </c>
      <c r="E661">
        <v>82.5</v>
      </c>
      <c r="F661">
        <v>70</v>
      </c>
      <c r="G661">
        <v>72</v>
      </c>
    </row>
    <row r="662" spans="1:7">
      <c r="A662">
        <v>241715</v>
      </c>
      <c r="B662" t="s">
        <v>668</v>
      </c>
      <c r="C662">
        <v>83</v>
      </c>
      <c r="D662">
        <v>32</v>
      </c>
      <c r="E662">
        <v>64.5</v>
      </c>
      <c r="F662">
        <v>55</v>
      </c>
      <c r="G662">
        <v>67</v>
      </c>
    </row>
    <row r="663" spans="1:7">
      <c r="A663">
        <v>241716</v>
      </c>
      <c r="B663" t="s">
        <v>669</v>
      </c>
      <c r="C663">
        <v>83</v>
      </c>
      <c r="D663">
        <v>48</v>
      </c>
      <c r="E663">
        <v>56</v>
      </c>
      <c r="F663">
        <v>68</v>
      </c>
      <c r="G663">
        <v>58</v>
      </c>
    </row>
    <row r="664" spans="1:7">
      <c r="A664">
        <v>241717</v>
      </c>
      <c r="B664" t="s">
        <v>670</v>
      </c>
      <c r="C664">
        <v>88</v>
      </c>
      <c r="D664">
        <v>56</v>
      </c>
      <c r="E664">
        <v>59</v>
      </c>
      <c r="F664">
        <v>60</v>
      </c>
      <c r="G664">
        <v>53</v>
      </c>
    </row>
    <row r="665" spans="1:7">
      <c r="A665">
        <v>241718</v>
      </c>
      <c r="B665" t="s">
        <v>671</v>
      </c>
      <c r="C665">
        <v>87</v>
      </c>
      <c r="D665">
        <v>43</v>
      </c>
      <c r="E665">
        <v>92.5</v>
      </c>
      <c r="F665">
        <v>49</v>
      </c>
      <c r="G665">
        <v>71</v>
      </c>
    </row>
    <row r="666" spans="1:7">
      <c r="A666">
        <v>241719</v>
      </c>
      <c r="B666" t="s">
        <v>672</v>
      </c>
      <c r="C666">
        <v>97</v>
      </c>
      <c r="D666">
        <v>71</v>
      </c>
      <c r="E666">
        <v>85.5</v>
      </c>
      <c r="F666">
        <v>84</v>
      </c>
      <c r="G666">
        <v>61</v>
      </c>
    </row>
    <row r="667" spans="1:7">
      <c r="A667">
        <v>241720</v>
      </c>
      <c r="B667" t="s">
        <v>673</v>
      </c>
      <c r="C667">
        <v>96</v>
      </c>
      <c r="D667">
        <v>76</v>
      </c>
      <c r="E667">
        <v>91.5</v>
      </c>
      <c r="F667">
        <v>88</v>
      </c>
      <c r="G667">
        <v>74</v>
      </c>
    </row>
    <row r="668" spans="1:7">
      <c r="A668">
        <v>241721</v>
      </c>
      <c r="B668" t="s">
        <v>674</v>
      </c>
      <c r="C668">
        <v>90</v>
      </c>
      <c r="D668">
        <v>69</v>
      </c>
      <c r="E668">
        <v>75</v>
      </c>
      <c r="F668">
        <v>86</v>
      </c>
      <c r="G668">
        <v>63</v>
      </c>
    </row>
    <row r="669" spans="1:7">
      <c r="A669">
        <v>241722</v>
      </c>
      <c r="B669" t="s">
        <v>675</v>
      </c>
      <c r="C669">
        <v>88</v>
      </c>
      <c r="D669">
        <v>96</v>
      </c>
      <c r="E669">
        <v>62</v>
      </c>
      <c r="F669">
        <v>59</v>
      </c>
      <c r="G669">
        <v>68</v>
      </c>
    </row>
    <row r="670" spans="1:7">
      <c r="A670">
        <v>241723</v>
      </c>
      <c r="B670" t="s">
        <v>676</v>
      </c>
      <c r="C670">
        <v>81</v>
      </c>
      <c r="D670">
        <v>88</v>
      </c>
      <c r="E670">
        <v>78.5</v>
      </c>
      <c r="F670">
        <v>62</v>
      </c>
      <c r="G670">
        <v>62</v>
      </c>
    </row>
    <row r="671" spans="1:7">
      <c r="A671">
        <v>241724</v>
      </c>
      <c r="B671" t="s">
        <v>677</v>
      </c>
      <c r="C671">
        <v>83</v>
      </c>
      <c r="D671">
        <v>53</v>
      </c>
      <c r="E671">
        <v>91</v>
      </c>
      <c r="F671">
        <v>68</v>
      </c>
      <c r="G671">
        <v>65</v>
      </c>
    </row>
    <row r="672" spans="1:7">
      <c r="A672">
        <v>241725</v>
      </c>
      <c r="B672" t="s">
        <v>678</v>
      </c>
      <c r="C672">
        <v>68</v>
      </c>
      <c r="D672">
        <v>51</v>
      </c>
      <c r="E672">
        <v>16</v>
      </c>
      <c r="F672">
        <v>48</v>
      </c>
      <c r="G672">
        <v>61</v>
      </c>
    </row>
    <row r="673" spans="1:7">
      <c r="A673">
        <v>241726</v>
      </c>
      <c r="B673" t="s">
        <v>679</v>
      </c>
      <c r="C673">
        <v>50</v>
      </c>
      <c r="D673">
        <v>40</v>
      </c>
      <c r="E673">
        <v>63</v>
      </c>
      <c r="F673">
        <v>48</v>
      </c>
      <c r="G673">
        <v>36</v>
      </c>
    </row>
    <row r="674" spans="1:7">
      <c r="A674">
        <v>241727</v>
      </c>
      <c r="B674" t="s">
        <v>680</v>
      </c>
      <c r="C674">
        <v>96</v>
      </c>
      <c r="D674">
        <v>84</v>
      </c>
      <c r="E674">
        <v>90.5</v>
      </c>
      <c r="F674">
        <v>72</v>
      </c>
      <c r="G674">
        <v>52</v>
      </c>
    </row>
    <row r="675" spans="1:7">
      <c r="A675">
        <v>241728</v>
      </c>
      <c r="B675" t="s">
        <v>681</v>
      </c>
      <c r="C675">
        <v>86</v>
      </c>
      <c r="D675">
        <v>73</v>
      </c>
      <c r="E675">
        <v>65.5</v>
      </c>
      <c r="F675">
        <v>81</v>
      </c>
      <c r="G675">
        <v>65</v>
      </c>
    </row>
    <row r="676" spans="1:7">
      <c r="A676">
        <v>241729</v>
      </c>
      <c r="B676" t="s">
        <v>682</v>
      </c>
      <c r="C676">
        <v>77</v>
      </c>
      <c r="D676">
        <v>65</v>
      </c>
      <c r="E676">
        <v>77.5</v>
      </c>
      <c r="F676">
        <v>81</v>
      </c>
      <c r="G676">
        <v>59</v>
      </c>
    </row>
    <row r="677" spans="1:7">
      <c r="A677">
        <v>241730</v>
      </c>
      <c r="B677" t="s">
        <v>683</v>
      </c>
      <c r="C677">
        <v>54</v>
      </c>
      <c r="D677">
        <v>29</v>
      </c>
      <c r="E677">
        <v>19</v>
      </c>
      <c r="F677">
        <v>56</v>
      </c>
      <c r="G677">
        <v>55</v>
      </c>
    </row>
    <row r="678" spans="1:7">
      <c r="A678">
        <v>241732</v>
      </c>
      <c r="B678" t="s">
        <v>684</v>
      </c>
      <c r="C678">
        <v>75</v>
      </c>
      <c r="D678">
        <v>31</v>
      </c>
      <c r="E678">
        <v>64.5</v>
      </c>
      <c r="F678">
        <v>62</v>
      </c>
      <c r="G678">
        <v>57</v>
      </c>
    </row>
    <row r="679" spans="1:7">
      <c r="A679">
        <v>241733</v>
      </c>
      <c r="B679" t="s">
        <v>685</v>
      </c>
      <c r="C679">
        <v>57</v>
      </c>
      <c r="D679">
        <v>29</v>
      </c>
      <c r="E679">
        <v>27</v>
      </c>
      <c r="F679">
        <v>49</v>
      </c>
      <c r="G679">
        <v>34</v>
      </c>
    </row>
    <row r="680" spans="1:7">
      <c r="A680">
        <v>241734</v>
      </c>
      <c r="B680" t="s">
        <v>686</v>
      </c>
      <c r="C680">
        <v>81</v>
      </c>
      <c r="D680">
        <v>64</v>
      </c>
      <c r="E680">
        <v>82.5</v>
      </c>
      <c r="F680">
        <v>61</v>
      </c>
      <c r="G680">
        <v>71</v>
      </c>
    </row>
    <row r="681" spans="1:7">
      <c r="A681">
        <v>241735</v>
      </c>
      <c r="B681" t="s">
        <v>687</v>
      </c>
      <c r="C681">
        <v>67</v>
      </c>
      <c r="D681">
        <v>63</v>
      </c>
      <c r="E681">
        <v>70.5</v>
      </c>
      <c r="F681">
        <v>63</v>
      </c>
      <c r="G681">
        <v>57</v>
      </c>
    </row>
    <row r="682" spans="1:7">
      <c r="A682">
        <v>241736</v>
      </c>
      <c r="B682" t="s">
        <v>688</v>
      </c>
      <c r="C682">
        <v>78</v>
      </c>
      <c r="D682">
        <v>21</v>
      </c>
      <c r="E682">
        <v>42.5</v>
      </c>
      <c r="F682">
        <v>66</v>
      </c>
      <c r="G682">
        <v>61</v>
      </c>
    </row>
    <row r="683" spans="1:7">
      <c r="A683">
        <v>241737</v>
      </c>
      <c r="B683" t="s">
        <v>689</v>
      </c>
      <c r="C683">
        <v>94</v>
      </c>
      <c r="D683">
        <v>84</v>
      </c>
      <c r="E683">
        <v>90.5</v>
      </c>
      <c r="F683">
        <v>82</v>
      </c>
      <c r="G683">
        <v>76</v>
      </c>
    </row>
    <row r="684" spans="1:7">
      <c r="A684">
        <v>241738</v>
      </c>
      <c r="B684" t="s">
        <v>690</v>
      </c>
      <c r="C684">
        <v>101</v>
      </c>
      <c r="D684">
        <v>75</v>
      </c>
      <c r="E684">
        <v>74</v>
      </c>
      <c r="F684">
        <v>67</v>
      </c>
      <c r="G684">
        <v>65</v>
      </c>
    </row>
    <row r="685" spans="1:7">
      <c r="A685">
        <v>241739</v>
      </c>
      <c r="B685" t="s">
        <v>691</v>
      </c>
      <c r="C685">
        <v>71</v>
      </c>
      <c r="D685">
        <v>54</v>
      </c>
      <c r="E685">
        <v>88.5</v>
      </c>
      <c r="F685">
        <v>65</v>
      </c>
      <c r="G685">
        <v>59</v>
      </c>
    </row>
    <row r="686" spans="1:7">
      <c r="A686">
        <v>241741</v>
      </c>
      <c r="B686" t="s">
        <v>692</v>
      </c>
      <c r="C686">
        <v>86</v>
      </c>
      <c r="D686">
        <v>71</v>
      </c>
      <c r="E686">
        <v>73</v>
      </c>
      <c r="F686">
        <v>73</v>
      </c>
      <c r="G686">
        <v>69</v>
      </c>
    </row>
    <row r="687" spans="1:7">
      <c r="A687">
        <v>241742</v>
      </c>
      <c r="B687" t="s">
        <v>693</v>
      </c>
      <c r="C687">
        <v>84</v>
      </c>
      <c r="D687">
        <v>75</v>
      </c>
      <c r="E687">
        <v>63</v>
      </c>
      <c r="F687">
        <v>53</v>
      </c>
      <c r="G687">
        <v>71</v>
      </c>
    </row>
    <row r="688" spans="1:7">
      <c r="A688">
        <v>230545</v>
      </c>
      <c r="B688" t="s">
        <v>694</v>
      </c>
      <c r="C688">
        <v>56</v>
      </c>
      <c r="D688">
        <v>30</v>
      </c>
      <c r="E688" t="s">
        <v>61</v>
      </c>
      <c r="F688" t="s">
        <v>61</v>
      </c>
      <c r="G688">
        <v>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8"/>
  <sheetViews>
    <sheetView topLeftCell="A628" workbookViewId="0">
      <selection activeCell="A1" sqref="A1:G688"/>
    </sheetView>
  </sheetViews>
  <sheetFormatPr defaultColWidth="9.23076923076923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240101</v>
      </c>
      <c r="B2" t="s">
        <v>7</v>
      </c>
      <c r="C2">
        <f>VLOOKUP($B2,Sheet3!$B:$G,2,0)</f>
        <v>93</v>
      </c>
      <c r="D2">
        <f>VLOOKUP($B2,Sheet3!$B:$G,3,0)</f>
        <v>90</v>
      </c>
      <c r="E2">
        <f>VLOOKUP($B2,Sheet3!$B:$G,4,0)</f>
        <v>101.5</v>
      </c>
      <c r="F2">
        <f>VLOOKUP($B2,Sheet3!$B:$G,6,0)</f>
        <v>82</v>
      </c>
      <c r="G2">
        <f>VLOOKUP($B2,Sheet3!$B:$G,5,0)</f>
        <v>64</v>
      </c>
    </row>
    <row r="3" spans="1:7">
      <c r="A3">
        <v>240102</v>
      </c>
      <c r="B3" t="s">
        <v>8</v>
      </c>
      <c r="C3">
        <f>VLOOKUP($B3,Sheet3!$B:$G,2,0)</f>
        <v>61</v>
      </c>
      <c r="D3">
        <f>VLOOKUP($B3,Sheet3!$B:$G,3,0)</f>
        <v>67</v>
      </c>
      <c r="E3">
        <f>VLOOKUP($B3,Sheet3!$B:$G,4,0)</f>
        <v>67</v>
      </c>
      <c r="F3">
        <f>VLOOKUP($B3,Sheet3!$B:$G,6,0)</f>
        <v>46</v>
      </c>
      <c r="G3">
        <f>VLOOKUP($B3,Sheet3!$B:$G,5,0)</f>
        <v>45</v>
      </c>
    </row>
    <row r="4" spans="1:7">
      <c r="A4">
        <v>240103</v>
      </c>
      <c r="B4" t="s">
        <v>9</v>
      </c>
      <c r="C4">
        <f>VLOOKUP($B4,Sheet3!$B:$G,2,0)</f>
        <v>78</v>
      </c>
      <c r="D4">
        <f>VLOOKUP($B4,Sheet3!$B:$G,3,0)</f>
        <v>75</v>
      </c>
      <c r="E4">
        <f>VLOOKUP($B4,Sheet3!$B:$G,4,0)</f>
        <v>89</v>
      </c>
      <c r="F4">
        <f>VLOOKUP($B4,Sheet3!$B:$G,6,0)</f>
        <v>79</v>
      </c>
      <c r="G4">
        <f>VLOOKUP($B4,Sheet3!$B:$G,5,0)</f>
        <v>65</v>
      </c>
    </row>
    <row r="5" spans="1:7">
      <c r="A5">
        <v>240104</v>
      </c>
      <c r="B5" t="s">
        <v>10</v>
      </c>
      <c r="C5">
        <f>VLOOKUP($B5,Sheet3!$B:$G,2,0)</f>
        <v>88</v>
      </c>
      <c r="D5">
        <f>VLOOKUP($B5,Sheet3!$B:$G,3,0)</f>
        <v>94</v>
      </c>
      <c r="E5">
        <f>VLOOKUP($B5,Sheet3!$B:$G,4,0)</f>
        <v>90</v>
      </c>
      <c r="F5">
        <f>VLOOKUP($B5,Sheet3!$B:$G,6,0)</f>
        <v>63</v>
      </c>
      <c r="G5">
        <f>VLOOKUP($B5,Sheet3!$B:$G,5,0)</f>
        <v>57</v>
      </c>
    </row>
    <row r="6" spans="1:7">
      <c r="A6">
        <v>240105</v>
      </c>
      <c r="B6" t="s">
        <v>11</v>
      </c>
      <c r="C6">
        <f>VLOOKUP($B6,Sheet3!$B:$G,2,0)</f>
        <v>82</v>
      </c>
      <c r="D6">
        <f>VLOOKUP($B6,Sheet3!$B:$G,3,0)</f>
        <v>72</v>
      </c>
      <c r="E6">
        <f>VLOOKUP($B6,Sheet3!$B:$G,4,0)</f>
        <v>83</v>
      </c>
      <c r="F6">
        <f>VLOOKUP($B6,Sheet3!$B:$G,6,0)</f>
        <v>65</v>
      </c>
      <c r="G6">
        <f>VLOOKUP($B6,Sheet3!$B:$G,5,0)</f>
        <v>47</v>
      </c>
    </row>
    <row r="7" spans="1:7">
      <c r="A7">
        <v>240106</v>
      </c>
      <c r="B7" t="s">
        <v>12</v>
      </c>
      <c r="C7">
        <f>VLOOKUP($B7,Sheet3!$B:$G,2,0)</f>
        <v>103</v>
      </c>
      <c r="D7">
        <f>VLOOKUP($B7,Sheet3!$B:$G,3,0)</f>
        <v>83</v>
      </c>
      <c r="E7">
        <f>VLOOKUP($B7,Sheet3!$B:$G,4,0)</f>
        <v>113.5</v>
      </c>
      <c r="F7">
        <f>VLOOKUP($B7,Sheet3!$B:$G,6,0)</f>
        <v>83</v>
      </c>
      <c r="G7">
        <f>VLOOKUP($B7,Sheet3!$B:$G,5,0)</f>
        <v>54</v>
      </c>
    </row>
    <row r="8" spans="1:7">
      <c r="A8">
        <v>240107</v>
      </c>
      <c r="B8" t="s">
        <v>13</v>
      </c>
      <c r="C8">
        <f>VLOOKUP($B8,Sheet3!$B:$G,2,0)</f>
        <v>93</v>
      </c>
      <c r="D8">
        <f>VLOOKUP($B8,Sheet3!$B:$G,3,0)</f>
        <v>83</v>
      </c>
      <c r="E8">
        <f>VLOOKUP($B8,Sheet3!$B:$G,4,0)</f>
        <v>91.5</v>
      </c>
      <c r="F8">
        <f>VLOOKUP($B8,Sheet3!$B:$G,6,0)</f>
        <v>84</v>
      </c>
      <c r="G8">
        <f>VLOOKUP($B8,Sheet3!$B:$G,5,0)</f>
        <v>63</v>
      </c>
    </row>
    <row r="9" spans="1:7">
      <c r="A9">
        <v>240108</v>
      </c>
      <c r="B9" t="s">
        <v>14</v>
      </c>
      <c r="C9">
        <f>VLOOKUP($B9,Sheet3!$B:$G,2,0)</f>
        <v>75</v>
      </c>
      <c r="D9">
        <f>VLOOKUP($B9,Sheet3!$B:$G,3,0)</f>
        <v>63</v>
      </c>
      <c r="E9">
        <f>VLOOKUP($B9,Sheet3!$B:$G,4,0)</f>
        <v>81</v>
      </c>
      <c r="F9">
        <f>VLOOKUP($B9,Sheet3!$B:$G,6,0)</f>
        <v>80</v>
      </c>
      <c r="G9">
        <f>VLOOKUP($B9,Sheet3!$B:$G,5,0)</f>
        <v>64</v>
      </c>
    </row>
    <row r="10" spans="1:7">
      <c r="A10">
        <v>240109</v>
      </c>
      <c r="B10" t="s">
        <v>15</v>
      </c>
      <c r="C10">
        <f>VLOOKUP($B10,Sheet3!$B:$G,2,0)</f>
        <v>84</v>
      </c>
      <c r="D10">
        <f>VLOOKUP($B10,Sheet3!$B:$G,3,0)</f>
        <v>89</v>
      </c>
      <c r="E10">
        <f>VLOOKUP($B10,Sheet3!$B:$G,4,0)</f>
        <v>80</v>
      </c>
      <c r="F10">
        <f>VLOOKUP($B10,Sheet3!$B:$G,6,0)</f>
        <v>75</v>
      </c>
      <c r="G10">
        <f>VLOOKUP($B10,Sheet3!$B:$G,5,0)</f>
        <v>63</v>
      </c>
    </row>
    <row r="11" spans="1:7">
      <c r="A11">
        <v>240110</v>
      </c>
      <c r="B11" t="s">
        <v>16</v>
      </c>
      <c r="C11">
        <f>VLOOKUP($B11,Sheet3!$B:$G,2,0)</f>
        <v>97</v>
      </c>
      <c r="D11">
        <f>VLOOKUP($B11,Sheet3!$B:$G,3,0)</f>
        <v>100</v>
      </c>
      <c r="E11">
        <f>VLOOKUP($B11,Sheet3!$B:$G,4,0)</f>
        <v>90</v>
      </c>
      <c r="F11">
        <f>VLOOKUP($B11,Sheet3!$B:$G,6,0)</f>
        <v>69</v>
      </c>
      <c r="G11">
        <f>VLOOKUP($B11,Sheet3!$B:$G,5,0)</f>
        <v>68</v>
      </c>
    </row>
    <row r="12" spans="1:7">
      <c r="A12">
        <v>240111</v>
      </c>
      <c r="B12" t="s">
        <v>17</v>
      </c>
      <c r="C12">
        <f>VLOOKUP($B12,Sheet3!$B:$G,2,0)</f>
        <v>92</v>
      </c>
      <c r="D12">
        <f>VLOOKUP($B12,Sheet3!$B:$G,3,0)</f>
        <v>74</v>
      </c>
      <c r="E12">
        <f>VLOOKUP($B12,Sheet3!$B:$G,4,0)</f>
        <v>83.5</v>
      </c>
      <c r="F12">
        <f>VLOOKUP($B12,Sheet3!$B:$G,6,0)</f>
        <v>82</v>
      </c>
      <c r="G12">
        <f>VLOOKUP($B12,Sheet3!$B:$G,5,0)</f>
        <v>70</v>
      </c>
    </row>
    <row r="13" spans="1:7">
      <c r="A13">
        <v>240112</v>
      </c>
      <c r="B13" t="s">
        <v>18</v>
      </c>
      <c r="C13">
        <f>VLOOKUP($B13,Sheet3!$B:$G,2,0)</f>
        <v>94</v>
      </c>
      <c r="D13">
        <f>VLOOKUP($B13,Sheet3!$B:$G,3,0)</f>
        <v>35</v>
      </c>
      <c r="E13">
        <f>VLOOKUP($B13,Sheet3!$B:$G,4,0)</f>
        <v>87</v>
      </c>
      <c r="F13">
        <f>VLOOKUP($B13,Sheet3!$B:$G,6,0)</f>
        <v>78</v>
      </c>
      <c r="G13">
        <f>VLOOKUP($B13,Sheet3!$B:$G,5,0)</f>
        <v>60</v>
      </c>
    </row>
    <row r="14" spans="1:7">
      <c r="A14">
        <v>240113</v>
      </c>
      <c r="B14" t="s">
        <v>19</v>
      </c>
      <c r="C14">
        <f>VLOOKUP($B14,Sheet3!$B:$G,2,0)</f>
        <v>101</v>
      </c>
      <c r="D14">
        <f>VLOOKUP($B14,Sheet3!$B:$G,3,0)</f>
        <v>88</v>
      </c>
      <c r="E14">
        <f>VLOOKUP($B14,Sheet3!$B:$G,4,0)</f>
        <v>96.5</v>
      </c>
      <c r="F14">
        <f>VLOOKUP($B14,Sheet3!$B:$G,6,0)</f>
        <v>79</v>
      </c>
      <c r="G14">
        <f>VLOOKUP($B14,Sheet3!$B:$G,5,0)</f>
        <v>74</v>
      </c>
    </row>
    <row r="15" spans="1:7">
      <c r="A15">
        <v>240114</v>
      </c>
      <c r="B15" t="s">
        <v>20</v>
      </c>
      <c r="C15">
        <f>VLOOKUP($B15,Sheet3!$B:$G,2,0)</f>
        <v>76</v>
      </c>
      <c r="D15">
        <f>VLOOKUP($B15,Sheet3!$B:$G,3,0)</f>
        <v>67</v>
      </c>
      <c r="E15">
        <f>VLOOKUP($B15,Sheet3!$B:$G,4,0)</f>
        <v>75</v>
      </c>
      <c r="F15">
        <f>VLOOKUP($B15,Sheet3!$B:$G,6,0)</f>
        <v>54</v>
      </c>
      <c r="G15">
        <f>VLOOKUP($B15,Sheet3!$B:$G,5,0)</f>
        <v>68</v>
      </c>
    </row>
    <row r="16" spans="1:7">
      <c r="A16">
        <v>240115</v>
      </c>
      <c r="B16" t="s">
        <v>21</v>
      </c>
      <c r="C16">
        <f>VLOOKUP($B16,Sheet3!$B:$G,2,0)</f>
        <v>86</v>
      </c>
      <c r="D16">
        <f>VLOOKUP($B16,Sheet3!$B:$G,3,0)</f>
        <v>89</v>
      </c>
      <c r="E16">
        <f>VLOOKUP($B16,Sheet3!$B:$G,4,0)</f>
        <v>91.5</v>
      </c>
      <c r="F16">
        <f>VLOOKUP($B16,Sheet3!$B:$G,6,0)</f>
        <v>67</v>
      </c>
      <c r="G16">
        <f>VLOOKUP($B16,Sheet3!$B:$G,5,0)</f>
        <v>65</v>
      </c>
    </row>
    <row r="17" spans="1:7">
      <c r="A17">
        <v>240116</v>
      </c>
      <c r="B17" t="s">
        <v>22</v>
      </c>
      <c r="C17">
        <f>VLOOKUP($B17,Sheet3!$B:$G,2,0)</f>
        <v>91</v>
      </c>
      <c r="D17">
        <f>VLOOKUP($B17,Sheet3!$B:$G,3,0)</f>
        <v>91</v>
      </c>
      <c r="E17">
        <f>VLOOKUP($B17,Sheet3!$B:$G,4,0)</f>
        <v>104.5</v>
      </c>
      <c r="F17">
        <f>VLOOKUP($B17,Sheet3!$B:$G,6,0)</f>
        <v>76</v>
      </c>
      <c r="G17">
        <f>VLOOKUP($B17,Sheet3!$B:$G,5,0)</f>
        <v>68</v>
      </c>
    </row>
    <row r="18" spans="1:7">
      <c r="A18">
        <v>240117</v>
      </c>
      <c r="B18" t="s">
        <v>23</v>
      </c>
      <c r="C18">
        <f>VLOOKUP($B18,Sheet3!$B:$G,2,0)</f>
        <v>73</v>
      </c>
      <c r="D18">
        <f>VLOOKUP($B18,Sheet3!$B:$G,3,0)</f>
        <v>56</v>
      </c>
      <c r="E18">
        <f>VLOOKUP($B18,Sheet3!$B:$G,4,0)</f>
        <v>19</v>
      </c>
      <c r="F18">
        <f>VLOOKUP($B18,Sheet3!$B:$G,6,0)</f>
        <v>69</v>
      </c>
      <c r="G18">
        <f>VLOOKUP($B18,Sheet3!$B:$G,5,0)</f>
        <v>71</v>
      </c>
    </row>
    <row r="19" spans="1:7">
      <c r="A19">
        <v>240118</v>
      </c>
      <c r="B19" t="s">
        <v>24</v>
      </c>
      <c r="C19">
        <f>VLOOKUP($B19,Sheet3!$B:$G,2,0)</f>
        <v>102</v>
      </c>
      <c r="D19">
        <f>VLOOKUP($B19,Sheet3!$B:$G,3,0)</f>
        <v>84</v>
      </c>
      <c r="E19">
        <f>VLOOKUP($B19,Sheet3!$B:$G,4,0)</f>
        <v>111</v>
      </c>
      <c r="F19">
        <f>VLOOKUP($B19,Sheet3!$B:$G,6,0)</f>
        <v>86</v>
      </c>
      <c r="G19">
        <f>VLOOKUP($B19,Sheet3!$B:$G,5,0)</f>
        <v>76</v>
      </c>
    </row>
    <row r="20" spans="1:7">
      <c r="A20">
        <v>240119</v>
      </c>
      <c r="B20" t="s">
        <v>25</v>
      </c>
      <c r="C20">
        <f>VLOOKUP($B20,Sheet3!$B:$G,2,0)</f>
        <v>95</v>
      </c>
      <c r="D20">
        <f>VLOOKUP($B20,Sheet3!$B:$G,3,0)</f>
        <v>88</v>
      </c>
      <c r="E20">
        <f>VLOOKUP($B20,Sheet3!$B:$G,4,0)</f>
        <v>92</v>
      </c>
      <c r="F20">
        <f>VLOOKUP($B20,Sheet3!$B:$G,6,0)</f>
        <v>78</v>
      </c>
      <c r="G20">
        <f>VLOOKUP($B20,Sheet3!$B:$G,5,0)</f>
        <v>69</v>
      </c>
    </row>
    <row r="21" spans="1:7">
      <c r="A21">
        <v>240120</v>
      </c>
      <c r="B21" t="s">
        <v>26</v>
      </c>
      <c r="C21">
        <f>VLOOKUP($B21,Sheet3!$B:$G,2,0)</f>
        <v>92</v>
      </c>
      <c r="D21">
        <f>VLOOKUP($B21,Sheet3!$B:$G,3,0)</f>
        <v>91</v>
      </c>
      <c r="E21">
        <f>VLOOKUP($B21,Sheet3!$B:$G,4,0)</f>
        <v>101.5</v>
      </c>
      <c r="F21">
        <f>VLOOKUP($B21,Sheet3!$B:$G,6,0)</f>
        <v>78</v>
      </c>
      <c r="G21">
        <f>VLOOKUP($B21,Sheet3!$B:$G,5,0)</f>
        <v>75</v>
      </c>
    </row>
    <row r="22" spans="1:7">
      <c r="A22">
        <v>240121</v>
      </c>
      <c r="B22" t="s">
        <v>27</v>
      </c>
      <c r="C22">
        <f>VLOOKUP($B22,Sheet3!$B:$G,2,0)</f>
        <v>88</v>
      </c>
      <c r="D22">
        <f>VLOOKUP($B22,Sheet3!$B:$G,3,0)</f>
        <v>82</v>
      </c>
      <c r="E22">
        <f>VLOOKUP($B22,Sheet3!$B:$G,4,0)</f>
        <v>107.5</v>
      </c>
      <c r="F22">
        <f>VLOOKUP($B22,Sheet3!$B:$G,6,0)</f>
        <v>85</v>
      </c>
      <c r="G22">
        <f>VLOOKUP($B22,Sheet3!$B:$G,5,0)</f>
        <v>78</v>
      </c>
    </row>
    <row r="23" spans="1:7">
      <c r="A23">
        <v>240122</v>
      </c>
      <c r="B23" t="s">
        <v>28</v>
      </c>
      <c r="C23">
        <f>VLOOKUP($B23,Sheet3!$B:$G,2,0)</f>
        <v>92</v>
      </c>
      <c r="D23">
        <f>VLOOKUP($B23,Sheet3!$B:$G,3,0)</f>
        <v>65</v>
      </c>
      <c r="E23">
        <f>VLOOKUP($B23,Sheet3!$B:$G,4,0)</f>
        <v>102</v>
      </c>
      <c r="F23">
        <f>VLOOKUP($B23,Sheet3!$B:$G,6,0)</f>
        <v>75</v>
      </c>
      <c r="G23">
        <f>VLOOKUP($B23,Sheet3!$B:$G,5,0)</f>
        <v>65</v>
      </c>
    </row>
    <row r="24" spans="1:7">
      <c r="A24">
        <v>240123</v>
      </c>
      <c r="B24" t="s">
        <v>29</v>
      </c>
      <c r="C24">
        <f>VLOOKUP($B24,Sheet3!$B:$G,2,0)</f>
        <v>91</v>
      </c>
      <c r="D24">
        <f>VLOOKUP($B24,Sheet3!$B:$G,3,0)</f>
        <v>73</v>
      </c>
      <c r="E24">
        <f>VLOOKUP($B24,Sheet3!$B:$G,4,0)</f>
        <v>98.5</v>
      </c>
      <c r="F24">
        <f>VLOOKUP($B24,Sheet3!$B:$G,6,0)</f>
        <v>72</v>
      </c>
      <c r="G24">
        <f>VLOOKUP($B24,Sheet3!$B:$G,5,0)</f>
        <v>62</v>
      </c>
    </row>
    <row r="25" spans="1:7">
      <c r="A25">
        <v>240124</v>
      </c>
      <c r="B25" t="s">
        <v>30</v>
      </c>
      <c r="C25">
        <f>VLOOKUP($B25,Sheet3!$B:$G,2,0)</f>
        <v>80</v>
      </c>
      <c r="D25">
        <f>VLOOKUP($B25,Sheet3!$B:$G,3,0)</f>
        <v>62</v>
      </c>
      <c r="E25">
        <f>VLOOKUP($B25,Sheet3!$B:$G,4,0)</f>
        <v>76</v>
      </c>
      <c r="F25">
        <f>VLOOKUP($B25,Sheet3!$B:$G,6,0)</f>
        <v>58</v>
      </c>
      <c r="G25">
        <f>VLOOKUP($B25,Sheet3!$B:$G,5,0)</f>
        <v>59</v>
      </c>
    </row>
    <row r="26" spans="1:7">
      <c r="A26">
        <v>240125</v>
      </c>
      <c r="B26" t="s">
        <v>31</v>
      </c>
      <c r="C26">
        <f>VLOOKUP($B26,Sheet3!$B:$G,2,0)</f>
        <v>90</v>
      </c>
      <c r="D26">
        <f>VLOOKUP($B26,Sheet3!$B:$G,3,0)</f>
        <v>76</v>
      </c>
      <c r="E26">
        <f>VLOOKUP($B26,Sheet3!$B:$G,4,0)</f>
        <v>95.5</v>
      </c>
      <c r="F26">
        <f>VLOOKUP($B26,Sheet3!$B:$G,6,0)</f>
        <v>81</v>
      </c>
      <c r="G26">
        <f>VLOOKUP($B26,Sheet3!$B:$G,5,0)</f>
        <v>54</v>
      </c>
    </row>
    <row r="27" spans="1:7">
      <c r="A27">
        <v>240126</v>
      </c>
      <c r="B27" t="s">
        <v>32</v>
      </c>
      <c r="C27">
        <f>VLOOKUP($B27,Sheet3!$B:$G,2,0)</f>
        <v>101</v>
      </c>
      <c r="D27">
        <f>VLOOKUP($B27,Sheet3!$B:$G,3,0)</f>
        <v>80</v>
      </c>
      <c r="E27">
        <f>VLOOKUP($B27,Sheet3!$B:$G,4,0)</f>
        <v>100</v>
      </c>
      <c r="F27">
        <f>VLOOKUP($B27,Sheet3!$B:$G,6,0)</f>
        <v>66</v>
      </c>
      <c r="G27">
        <f>VLOOKUP($B27,Sheet3!$B:$G,5,0)</f>
        <v>72</v>
      </c>
    </row>
    <row r="28" spans="1:7">
      <c r="A28">
        <v>240127</v>
      </c>
      <c r="B28" t="s">
        <v>33</v>
      </c>
      <c r="C28">
        <f>VLOOKUP($B28,Sheet3!$B:$G,2,0)</f>
        <v>91</v>
      </c>
      <c r="D28">
        <f>VLOOKUP($B28,Sheet3!$B:$G,3,0)</f>
        <v>85</v>
      </c>
      <c r="E28">
        <f>VLOOKUP($B28,Sheet3!$B:$G,4,0)</f>
        <v>103</v>
      </c>
      <c r="F28">
        <f>VLOOKUP($B28,Sheet3!$B:$G,6,0)</f>
        <v>72</v>
      </c>
      <c r="G28">
        <f>VLOOKUP($B28,Sheet3!$B:$G,5,0)</f>
        <v>76</v>
      </c>
    </row>
    <row r="29" spans="1:7">
      <c r="A29">
        <v>240128</v>
      </c>
      <c r="B29" t="s">
        <v>34</v>
      </c>
      <c r="C29">
        <f>VLOOKUP($B29,Sheet3!$B:$G,2,0)</f>
        <v>94</v>
      </c>
      <c r="D29">
        <f>VLOOKUP($B29,Sheet3!$B:$G,3,0)</f>
        <v>88</v>
      </c>
      <c r="E29">
        <f>VLOOKUP($B29,Sheet3!$B:$G,4,0)</f>
        <v>92</v>
      </c>
      <c r="F29">
        <f>VLOOKUP($B29,Sheet3!$B:$G,6,0)</f>
        <v>78</v>
      </c>
      <c r="G29">
        <f>VLOOKUP($B29,Sheet3!$B:$G,5,0)</f>
        <v>77</v>
      </c>
    </row>
    <row r="30" spans="1:7">
      <c r="A30">
        <v>240129</v>
      </c>
      <c r="B30" t="s">
        <v>35</v>
      </c>
      <c r="C30">
        <f>VLOOKUP($B30,Sheet3!$B:$G,2,0)</f>
        <v>56</v>
      </c>
      <c r="D30">
        <f>VLOOKUP($B30,Sheet3!$B:$G,3,0)</f>
        <v>46</v>
      </c>
      <c r="E30">
        <f>VLOOKUP($B30,Sheet3!$B:$G,4,0)</f>
        <v>68</v>
      </c>
      <c r="F30">
        <f>VLOOKUP($B30,Sheet3!$B:$G,6,0)</f>
        <v>65</v>
      </c>
      <c r="G30">
        <f>VLOOKUP($B30,Sheet3!$B:$G,5,0)</f>
        <v>48</v>
      </c>
    </row>
    <row r="31" spans="1:7">
      <c r="A31">
        <v>240130</v>
      </c>
      <c r="B31" t="s">
        <v>36</v>
      </c>
      <c r="C31">
        <f>VLOOKUP($B31,Sheet3!$B:$G,2,0)</f>
        <v>80</v>
      </c>
      <c r="D31">
        <f>VLOOKUP($B31,Sheet3!$B:$G,3,0)</f>
        <v>86</v>
      </c>
      <c r="E31">
        <f>VLOOKUP($B31,Sheet3!$B:$G,4,0)</f>
        <v>74.5</v>
      </c>
      <c r="F31">
        <f>VLOOKUP($B31,Sheet3!$B:$G,6,0)</f>
        <v>80</v>
      </c>
      <c r="G31">
        <f>VLOOKUP($B31,Sheet3!$B:$G,5,0)</f>
        <v>54</v>
      </c>
    </row>
    <row r="32" spans="1:7">
      <c r="A32">
        <v>240131</v>
      </c>
      <c r="B32" t="s">
        <v>37</v>
      </c>
      <c r="C32">
        <f>VLOOKUP($B32,Sheet3!$B:$G,2,0)</f>
        <v>74</v>
      </c>
      <c r="D32">
        <f>VLOOKUP($B32,Sheet3!$B:$G,3,0)</f>
        <v>73</v>
      </c>
      <c r="E32">
        <f>VLOOKUP($B32,Sheet3!$B:$G,4,0)</f>
        <v>74</v>
      </c>
      <c r="F32">
        <f>VLOOKUP($B32,Sheet3!$B:$G,6,0)</f>
        <v>47</v>
      </c>
      <c r="G32">
        <f>VLOOKUP($B32,Sheet3!$B:$G,5,0)</f>
        <v>65</v>
      </c>
    </row>
    <row r="33" spans="1:7">
      <c r="A33">
        <v>240132</v>
      </c>
      <c r="B33" t="s">
        <v>38</v>
      </c>
      <c r="C33">
        <f>VLOOKUP($B33,Sheet3!$B:$G,2,0)</f>
        <v>97</v>
      </c>
      <c r="D33">
        <f>VLOOKUP($B33,Sheet3!$B:$G,3,0)</f>
        <v>83</v>
      </c>
      <c r="E33">
        <f>VLOOKUP($B33,Sheet3!$B:$G,4,0)</f>
        <v>107.5</v>
      </c>
      <c r="F33">
        <f>VLOOKUP($B33,Sheet3!$B:$G,6,0)</f>
        <v>86</v>
      </c>
      <c r="G33">
        <f>VLOOKUP($B33,Sheet3!$B:$G,5,0)</f>
        <v>63</v>
      </c>
    </row>
    <row r="34" spans="1:7">
      <c r="A34">
        <v>240133</v>
      </c>
      <c r="B34" t="s">
        <v>39</v>
      </c>
      <c r="C34">
        <f>VLOOKUP($B34,Sheet3!$B:$G,2,0)</f>
        <v>97</v>
      </c>
      <c r="D34">
        <f>VLOOKUP($B34,Sheet3!$B:$G,3,0)</f>
        <v>58</v>
      </c>
      <c r="E34">
        <f>VLOOKUP($B34,Sheet3!$B:$G,4,0)</f>
        <v>103</v>
      </c>
      <c r="F34">
        <f>VLOOKUP($B34,Sheet3!$B:$G,6,0)</f>
        <v>72</v>
      </c>
      <c r="G34">
        <f>VLOOKUP($B34,Sheet3!$B:$G,5,0)</f>
        <v>70</v>
      </c>
    </row>
    <row r="35" spans="1:7">
      <c r="A35">
        <v>240134</v>
      </c>
      <c r="B35" t="s">
        <v>40</v>
      </c>
      <c r="C35">
        <f>VLOOKUP($B35,Sheet3!$B:$G,2,0)</f>
        <v>94</v>
      </c>
      <c r="D35">
        <f>VLOOKUP($B35,Sheet3!$B:$G,3,0)</f>
        <v>91</v>
      </c>
      <c r="E35">
        <f>VLOOKUP($B35,Sheet3!$B:$G,4,0)</f>
        <v>90.5</v>
      </c>
      <c r="F35">
        <f>VLOOKUP($B35,Sheet3!$B:$G,6,0)</f>
        <v>84</v>
      </c>
      <c r="G35">
        <f>VLOOKUP($B35,Sheet3!$B:$G,5,0)</f>
        <v>68</v>
      </c>
    </row>
    <row r="36" spans="1:7">
      <c r="A36">
        <v>240135</v>
      </c>
      <c r="B36" t="s">
        <v>41</v>
      </c>
      <c r="C36">
        <f>VLOOKUP($B36,Sheet3!$B:$G,2,0)</f>
        <v>89</v>
      </c>
      <c r="D36">
        <f>VLOOKUP($B36,Sheet3!$B:$G,3,0)</f>
        <v>70</v>
      </c>
      <c r="E36">
        <f>VLOOKUP($B36,Sheet3!$B:$G,4,0)</f>
        <v>86</v>
      </c>
      <c r="F36">
        <f>VLOOKUP($B36,Sheet3!$B:$G,6,0)</f>
        <v>70</v>
      </c>
      <c r="G36">
        <f>VLOOKUP($B36,Sheet3!$B:$G,5,0)</f>
        <v>67</v>
      </c>
    </row>
    <row r="37" spans="1:7">
      <c r="A37">
        <v>240136</v>
      </c>
      <c r="B37" t="s">
        <v>42</v>
      </c>
      <c r="C37">
        <f>VLOOKUP($B37,Sheet3!$B:$G,2,0)</f>
        <v>85</v>
      </c>
      <c r="D37">
        <f>VLOOKUP($B37,Sheet3!$B:$G,3,0)</f>
        <v>71</v>
      </c>
      <c r="E37">
        <f>VLOOKUP($B37,Sheet3!$B:$G,4,0)</f>
        <v>66.5</v>
      </c>
      <c r="F37">
        <f>VLOOKUP($B37,Sheet3!$B:$G,6,0)</f>
        <v>69</v>
      </c>
      <c r="G37">
        <f>VLOOKUP($B37,Sheet3!$B:$G,5,0)</f>
        <v>54</v>
      </c>
    </row>
    <row r="38" spans="1:7">
      <c r="A38">
        <v>240137</v>
      </c>
      <c r="B38" t="s">
        <v>43</v>
      </c>
      <c r="C38">
        <f>VLOOKUP($B38,Sheet3!$B:$G,2,0)</f>
        <v>104</v>
      </c>
      <c r="D38">
        <f>VLOOKUP($B38,Sheet3!$B:$G,3,0)</f>
        <v>101</v>
      </c>
      <c r="E38">
        <f>VLOOKUP($B38,Sheet3!$B:$G,4,0)</f>
        <v>107</v>
      </c>
      <c r="F38">
        <f>VLOOKUP($B38,Sheet3!$B:$G,6,0)</f>
        <v>81</v>
      </c>
      <c r="G38">
        <f>VLOOKUP($B38,Sheet3!$B:$G,5,0)</f>
        <v>77</v>
      </c>
    </row>
    <row r="39" spans="1:7">
      <c r="A39">
        <v>240138</v>
      </c>
      <c r="B39" t="s">
        <v>44</v>
      </c>
      <c r="C39">
        <f>VLOOKUP($B39,Sheet3!$B:$G,2,0)</f>
        <v>80</v>
      </c>
      <c r="D39">
        <f>VLOOKUP($B39,Sheet3!$B:$G,3,0)</f>
        <v>47</v>
      </c>
      <c r="E39">
        <f>VLOOKUP($B39,Sheet3!$B:$G,4,0)</f>
        <v>50</v>
      </c>
      <c r="F39">
        <f>VLOOKUP($B39,Sheet3!$B:$G,6,0)</f>
        <v>60</v>
      </c>
      <c r="G39">
        <f>VLOOKUP($B39,Sheet3!$B:$G,5,0)</f>
        <v>44</v>
      </c>
    </row>
    <row r="40" spans="1:7">
      <c r="A40">
        <v>240139</v>
      </c>
      <c r="B40" t="s">
        <v>45</v>
      </c>
      <c r="C40">
        <f>VLOOKUP($B40,Sheet3!$B:$G,2,0)</f>
        <v>94</v>
      </c>
      <c r="D40">
        <f>VLOOKUP($B40,Sheet3!$B:$G,3,0)</f>
        <v>99</v>
      </c>
      <c r="E40">
        <f>VLOOKUP($B40,Sheet3!$B:$G,4,0)</f>
        <v>108.5</v>
      </c>
      <c r="F40">
        <f>VLOOKUP($B40,Sheet3!$B:$G,6,0)</f>
        <v>83</v>
      </c>
      <c r="G40">
        <f>VLOOKUP($B40,Sheet3!$B:$G,5,0)</f>
        <v>85</v>
      </c>
    </row>
    <row r="41" spans="1:7">
      <c r="A41">
        <v>240140</v>
      </c>
      <c r="B41" t="s">
        <v>46</v>
      </c>
      <c r="C41">
        <f>VLOOKUP($B41,Sheet3!$B:$G,2,0)</f>
        <v>97</v>
      </c>
      <c r="D41">
        <f>VLOOKUP($B41,Sheet3!$B:$G,3,0)</f>
        <v>100</v>
      </c>
      <c r="E41">
        <f>VLOOKUP($B41,Sheet3!$B:$G,4,0)</f>
        <v>91.5</v>
      </c>
      <c r="F41">
        <f>VLOOKUP($B41,Sheet3!$B:$G,6,0)</f>
        <v>82</v>
      </c>
      <c r="G41">
        <f>VLOOKUP($B41,Sheet3!$B:$G,5,0)</f>
        <v>79</v>
      </c>
    </row>
    <row r="42" spans="1:7">
      <c r="A42">
        <v>240141</v>
      </c>
      <c r="B42" t="s">
        <v>47</v>
      </c>
      <c r="C42">
        <f>VLOOKUP($B42,Sheet3!$B:$G,2,0)</f>
        <v>105</v>
      </c>
      <c r="D42">
        <f>VLOOKUP($B42,Sheet3!$B:$G,3,0)</f>
        <v>102</v>
      </c>
      <c r="E42">
        <f>VLOOKUP($B42,Sheet3!$B:$G,4,0)</f>
        <v>107.5</v>
      </c>
      <c r="F42">
        <f>VLOOKUP($B42,Sheet3!$B:$G,6,0)</f>
        <v>81</v>
      </c>
      <c r="G42">
        <f>VLOOKUP($B42,Sheet3!$B:$G,5,0)</f>
        <v>80</v>
      </c>
    </row>
    <row r="43" spans="1:7">
      <c r="A43">
        <v>240201</v>
      </c>
      <c r="B43" t="s">
        <v>48</v>
      </c>
      <c r="C43">
        <f>VLOOKUP($B43,Sheet3!$B:$G,2,0)</f>
        <v>89</v>
      </c>
      <c r="D43">
        <f>VLOOKUP($B43,Sheet3!$B:$G,3,0)</f>
        <v>89</v>
      </c>
      <c r="E43">
        <f>VLOOKUP($B43,Sheet3!$B:$G,4,0)</f>
        <v>99.5</v>
      </c>
      <c r="F43">
        <f>VLOOKUP($B43,Sheet3!$B:$G,6,0)</f>
        <v>69</v>
      </c>
      <c r="G43">
        <f>VLOOKUP($B43,Sheet3!$B:$G,5,0)</f>
        <v>79</v>
      </c>
    </row>
    <row r="44" spans="1:7">
      <c r="A44">
        <v>240202</v>
      </c>
      <c r="B44" t="s">
        <v>49</v>
      </c>
      <c r="C44">
        <f>VLOOKUP($B44,Sheet3!$B:$G,2,0)</f>
        <v>79</v>
      </c>
      <c r="D44">
        <f>VLOOKUP($B44,Sheet3!$B:$G,3,0)</f>
        <v>85</v>
      </c>
      <c r="E44">
        <f>VLOOKUP($B44,Sheet3!$B:$G,4,0)</f>
        <v>93</v>
      </c>
      <c r="F44">
        <f>VLOOKUP($B44,Sheet3!$B:$G,6,0)</f>
        <v>58</v>
      </c>
      <c r="G44">
        <f>VLOOKUP($B44,Sheet3!$B:$G,5,0)</f>
        <v>50</v>
      </c>
    </row>
    <row r="45" spans="1:7">
      <c r="A45">
        <v>240203</v>
      </c>
      <c r="B45" t="s">
        <v>50</v>
      </c>
      <c r="C45">
        <f>VLOOKUP($B45,Sheet3!$B:$G,2,0)</f>
        <v>94</v>
      </c>
      <c r="D45">
        <f>VLOOKUP($B45,Sheet3!$B:$G,3,0)</f>
        <v>63</v>
      </c>
      <c r="E45">
        <f>VLOOKUP($B45,Sheet3!$B:$G,4,0)</f>
        <v>72.5</v>
      </c>
      <c r="F45">
        <f>VLOOKUP($B45,Sheet3!$B:$G,6,0)</f>
        <v>56</v>
      </c>
      <c r="G45">
        <f>VLOOKUP($B45,Sheet3!$B:$G,5,0)</f>
        <v>74</v>
      </c>
    </row>
    <row r="46" spans="1:7">
      <c r="A46">
        <v>240204</v>
      </c>
      <c r="B46" t="s">
        <v>51</v>
      </c>
      <c r="C46">
        <f>VLOOKUP($B46,Sheet3!$B:$G,2,0)</f>
        <v>75</v>
      </c>
      <c r="D46">
        <f>VLOOKUP($B46,Sheet3!$B:$G,3,0)</f>
        <v>47</v>
      </c>
      <c r="E46">
        <f>VLOOKUP($B46,Sheet3!$B:$G,4,0)</f>
        <v>48</v>
      </c>
      <c r="F46">
        <f>VLOOKUP($B46,Sheet3!$B:$G,6,0)</f>
        <v>80</v>
      </c>
      <c r="G46">
        <f>VLOOKUP($B46,Sheet3!$B:$G,5,0)</f>
        <v>60</v>
      </c>
    </row>
    <row r="47" spans="1:7">
      <c r="A47">
        <v>240205</v>
      </c>
      <c r="B47" t="s">
        <v>52</v>
      </c>
      <c r="C47">
        <f>VLOOKUP($B47,Sheet3!$B:$G,2,0)</f>
        <v>87</v>
      </c>
      <c r="D47">
        <f>VLOOKUP($B47,Sheet3!$B:$G,3,0)</f>
        <v>91</v>
      </c>
      <c r="E47">
        <f>VLOOKUP($B47,Sheet3!$B:$G,4,0)</f>
        <v>102.5</v>
      </c>
      <c r="F47">
        <f>VLOOKUP($B47,Sheet3!$B:$G,6,0)</f>
        <v>63</v>
      </c>
      <c r="G47">
        <f>VLOOKUP($B47,Sheet3!$B:$G,5,0)</f>
        <v>60</v>
      </c>
    </row>
    <row r="48" spans="1:7">
      <c r="A48">
        <v>240206</v>
      </c>
      <c r="B48" t="s">
        <v>53</v>
      </c>
      <c r="C48">
        <f>VLOOKUP($B48,Sheet3!$B:$G,2,0)</f>
        <v>87</v>
      </c>
      <c r="D48">
        <f>VLOOKUP($B48,Sheet3!$B:$G,3,0)</f>
        <v>92</v>
      </c>
      <c r="E48">
        <f>VLOOKUP($B48,Sheet3!$B:$G,4,0)</f>
        <v>115</v>
      </c>
      <c r="F48">
        <f>VLOOKUP($B48,Sheet3!$B:$G,6,0)</f>
        <v>76</v>
      </c>
      <c r="G48">
        <f>VLOOKUP($B48,Sheet3!$B:$G,5,0)</f>
        <v>84</v>
      </c>
    </row>
    <row r="49" spans="1:7">
      <c r="A49">
        <v>240207</v>
      </c>
      <c r="B49" t="s">
        <v>54</v>
      </c>
      <c r="C49">
        <f>VLOOKUP($B49,Sheet3!$B:$G,2,0)</f>
        <v>82</v>
      </c>
      <c r="D49">
        <f>VLOOKUP($B49,Sheet3!$B:$G,3,0)</f>
        <v>72</v>
      </c>
      <c r="E49">
        <f>VLOOKUP($B49,Sheet3!$B:$G,4,0)</f>
        <v>103</v>
      </c>
      <c r="F49">
        <f>VLOOKUP($B49,Sheet3!$B:$G,6,0)</f>
        <v>64</v>
      </c>
      <c r="G49">
        <f>VLOOKUP($B49,Sheet3!$B:$G,5,0)</f>
        <v>73</v>
      </c>
    </row>
    <row r="50" spans="1:7">
      <c r="A50">
        <v>240208</v>
      </c>
      <c r="B50" t="s">
        <v>55</v>
      </c>
      <c r="C50">
        <f>VLOOKUP($B50,Sheet3!$B:$G,2,0)</f>
        <v>80</v>
      </c>
      <c r="D50">
        <f>VLOOKUP($B50,Sheet3!$B:$G,3,0)</f>
        <v>78</v>
      </c>
      <c r="E50">
        <f>VLOOKUP($B50,Sheet3!$B:$G,4,0)</f>
        <v>89</v>
      </c>
      <c r="F50">
        <f>VLOOKUP($B50,Sheet3!$B:$G,6,0)</f>
        <v>57</v>
      </c>
      <c r="G50">
        <f>VLOOKUP($B50,Sheet3!$B:$G,5,0)</f>
        <v>51</v>
      </c>
    </row>
    <row r="51" spans="1:7">
      <c r="A51">
        <v>240209</v>
      </c>
      <c r="B51" t="s">
        <v>56</v>
      </c>
      <c r="C51">
        <f>VLOOKUP($B51,Sheet3!$B:$G,2,0)</f>
        <v>103</v>
      </c>
      <c r="D51">
        <f>VLOOKUP($B51,Sheet3!$B:$G,3,0)</f>
        <v>85</v>
      </c>
      <c r="E51">
        <f>VLOOKUP($B51,Sheet3!$B:$G,4,0)</f>
        <v>109.5</v>
      </c>
      <c r="F51">
        <f>VLOOKUP($B51,Sheet3!$B:$G,6,0)</f>
        <v>85</v>
      </c>
      <c r="G51">
        <f>VLOOKUP($B51,Sheet3!$B:$G,5,0)</f>
        <v>82</v>
      </c>
    </row>
    <row r="52" spans="1:7">
      <c r="A52">
        <v>240210</v>
      </c>
      <c r="B52" t="s">
        <v>57</v>
      </c>
      <c r="C52">
        <f>VLOOKUP($B52,Sheet3!$B:$G,2,0)</f>
        <v>91</v>
      </c>
      <c r="D52">
        <f>VLOOKUP($B52,Sheet3!$B:$G,3,0)</f>
        <v>94</v>
      </c>
      <c r="E52">
        <f>VLOOKUP($B52,Sheet3!$B:$G,4,0)</f>
        <v>97.5</v>
      </c>
      <c r="F52">
        <f>VLOOKUP($B52,Sheet3!$B:$G,6,0)</f>
        <v>72</v>
      </c>
      <c r="G52">
        <f>VLOOKUP($B52,Sheet3!$B:$G,5,0)</f>
        <v>69</v>
      </c>
    </row>
    <row r="53" spans="1:7">
      <c r="A53">
        <v>240211</v>
      </c>
      <c r="B53" t="s">
        <v>58</v>
      </c>
      <c r="C53">
        <f>VLOOKUP($B53,Sheet3!$B:$G,2,0)</f>
        <v>88</v>
      </c>
      <c r="D53">
        <f>VLOOKUP($B53,Sheet3!$B:$G,3,0)</f>
        <v>88</v>
      </c>
      <c r="E53">
        <f>VLOOKUP($B53,Sheet3!$B:$G,4,0)</f>
        <v>101.5</v>
      </c>
      <c r="F53">
        <f>VLOOKUP($B53,Sheet3!$B:$G,6,0)</f>
        <v>81</v>
      </c>
      <c r="G53">
        <f>VLOOKUP($B53,Sheet3!$B:$G,5,0)</f>
        <v>80</v>
      </c>
    </row>
    <row r="54" spans="1:7">
      <c r="A54">
        <v>240212</v>
      </c>
      <c r="B54" t="s">
        <v>59</v>
      </c>
      <c r="C54">
        <f>VLOOKUP($B54,Sheet3!$B:$G,2,0)</f>
        <v>74</v>
      </c>
      <c r="D54">
        <f>VLOOKUP($B54,Sheet3!$B:$G,3,0)</f>
        <v>68</v>
      </c>
      <c r="E54">
        <f>VLOOKUP($B54,Sheet3!$B:$G,4,0)</f>
        <v>64.5</v>
      </c>
      <c r="F54">
        <f>VLOOKUP($B54,Sheet3!$B:$G,6,0)</f>
        <v>65</v>
      </c>
      <c r="G54">
        <f>VLOOKUP($B54,Sheet3!$B:$G,5,0)</f>
        <v>57</v>
      </c>
    </row>
    <row r="55" spans="1:7">
      <c r="A55">
        <v>240213</v>
      </c>
      <c r="B55" t="s">
        <v>60</v>
      </c>
      <c r="C55" t="str">
        <f>VLOOKUP($B55,Sheet3!$B:$G,2,0)</f>
        <v>未扫，不计排名</v>
      </c>
      <c r="D55" t="str">
        <f>VLOOKUP($B55,Sheet3!$B:$G,3,0)</f>
        <v>未扫，不计排名</v>
      </c>
      <c r="E55" t="str">
        <f>VLOOKUP($B55,Sheet3!$B:$G,4,0)</f>
        <v>未扫，不计排名</v>
      </c>
      <c r="F55" t="str">
        <f>VLOOKUP($B55,Sheet3!$B:$G,6,0)</f>
        <v>未扫，不计排名</v>
      </c>
      <c r="G55" t="str">
        <f>VLOOKUP($B55,Sheet3!$B:$G,5,0)</f>
        <v>未扫，不计排名</v>
      </c>
    </row>
    <row r="56" spans="1:7">
      <c r="A56">
        <v>240214</v>
      </c>
      <c r="B56" t="s">
        <v>62</v>
      </c>
      <c r="C56">
        <f>VLOOKUP($B56,Sheet3!$B:$G,2,0)</f>
        <v>99</v>
      </c>
      <c r="D56">
        <f>VLOOKUP($B56,Sheet3!$B:$G,3,0)</f>
        <v>88</v>
      </c>
      <c r="E56">
        <f>VLOOKUP($B56,Sheet3!$B:$G,4,0)</f>
        <v>110</v>
      </c>
      <c r="F56">
        <f>VLOOKUP($B56,Sheet3!$B:$G,6,0)</f>
        <v>77</v>
      </c>
      <c r="G56">
        <f>VLOOKUP($B56,Sheet3!$B:$G,5,0)</f>
        <v>78</v>
      </c>
    </row>
    <row r="57" spans="1:7">
      <c r="A57">
        <v>240215</v>
      </c>
      <c r="B57" t="s">
        <v>63</v>
      </c>
      <c r="C57">
        <f>VLOOKUP($B57,Sheet3!$B:$G,2,0)</f>
        <v>87</v>
      </c>
      <c r="D57">
        <f>VLOOKUP($B57,Sheet3!$B:$G,3,0)</f>
        <v>70</v>
      </c>
      <c r="E57">
        <f>VLOOKUP($B57,Sheet3!$B:$G,4,0)</f>
        <v>91</v>
      </c>
      <c r="F57">
        <f>VLOOKUP($B57,Sheet3!$B:$G,6,0)</f>
        <v>72</v>
      </c>
      <c r="G57">
        <f>VLOOKUP($B57,Sheet3!$B:$G,5,0)</f>
        <v>53</v>
      </c>
    </row>
    <row r="58" spans="1:7">
      <c r="A58">
        <v>240216</v>
      </c>
      <c r="B58" t="s">
        <v>64</v>
      </c>
      <c r="C58">
        <f>VLOOKUP($B58,Sheet3!$B:$G,2,0)</f>
        <v>89</v>
      </c>
      <c r="D58">
        <f>VLOOKUP($B58,Sheet3!$B:$G,3,0)</f>
        <v>89</v>
      </c>
      <c r="E58">
        <f>VLOOKUP($B58,Sheet3!$B:$G,4,0)</f>
        <v>101</v>
      </c>
      <c r="F58">
        <f>VLOOKUP($B58,Sheet3!$B:$G,6,0)</f>
        <v>71</v>
      </c>
      <c r="G58">
        <f>VLOOKUP($B58,Sheet3!$B:$G,5,0)</f>
        <v>48</v>
      </c>
    </row>
    <row r="59" spans="1:7">
      <c r="A59">
        <v>240217</v>
      </c>
      <c r="B59" t="s">
        <v>65</v>
      </c>
      <c r="C59">
        <f>VLOOKUP($B59,Sheet3!$B:$G,2,0)</f>
        <v>85</v>
      </c>
      <c r="D59">
        <f>VLOOKUP($B59,Sheet3!$B:$G,3,0)</f>
        <v>93</v>
      </c>
      <c r="E59">
        <f>VLOOKUP($B59,Sheet3!$B:$G,4,0)</f>
        <v>110</v>
      </c>
      <c r="F59">
        <f>VLOOKUP($B59,Sheet3!$B:$G,6,0)</f>
        <v>68</v>
      </c>
      <c r="G59">
        <f>VLOOKUP($B59,Sheet3!$B:$G,5,0)</f>
        <v>62</v>
      </c>
    </row>
    <row r="60" spans="1:7">
      <c r="A60">
        <v>240218</v>
      </c>
      <c r="B60" t="s">
        <v>66</v>
      </c>
      <c r="C60">
        <f>VLOOKUP($B60,Sheet3!$B:$G,2,0)</f>
        <v>103</v>
      </c>
      <c r="D60">
        <f>VLOOKUP($B60,Sheet3!$B:$G,3,0)</f>
        <v>100</v>
      </c>
      <c r="E60">
        <f>VLOOKUP($B60,Sheet3!$B:$G,4,0)</f>
        <v>105</v>
      </c>
      <c r="F60">
        <f>VLOOKUP($B60,Sheet3!$B:$G,6,0)</f>
        <v>73</v>
      </c>
      <c r="G60">
        <f>VLOOKUP($B60,Sheet3!$B:$G,5,0)</f>
        <v>80</v>
      </c>
    </row>
    <row r="61" spans="1:7">
      <c r="A61">
        <v>240219</v>
      </c>
      <c r="B61" t="s">
        <v>67</v>
      </c>
      <c r="C61">
        <f>VLOOKUP($B61,Sheet3!$B:$G,2,0)</f>
        <v>96</v>
      </c>
      <c r="D61">
        <f>VLOOKUP($B61,Sheet3!$B:$G,3,0)</f>
        <v>83</v>
      </c>
      <c r="E61">
        <f>VLOOKUP($B61,Sheet3!$B:$G,4,0)</f>
        <v>90</v>
      </c>
      <c r="F61">
        <f>VLOOKUP($B61,Sheet3!$B:$G,6,0)</f>
        <v>75</v>
      </c>
      <c r="G61">
        <f>VLOOKUP($B61,Sheet3!$B:$G,5,0)</f>
        <v>58</v>
      </c>
    </row>
    <row r="62" spans="1:7">
      <c r="A62">
        <v>240220</v>
      </c>
      <c r="B62" t="s">
        <v>68</v>
      </c>
      <c r="C62">
        <f>VLOOKUP($B62,Sheet3!$B:$G,2,0)</f>
        <v>89</v>
      </c>
      <c r="D62">
        <f>VLOOKUP($B62,Sheet3!$B:$G,3,0)</f>
        <v>50</v>
      </c>
      <c r="E62">
        <f>VLOOKUP($B62,Sheet3!$B:$G,4,0)</f>
        <v>78.5</v>
      </c>
      <c r="F62">
        <f>VLOOKUP($B62,Sheet3!$B:$G,6,0)</f>
        <v>74</v>
      </c>
      <c r="G62">
        <f>VLOOKUP($B62,Sheet3!$B:$G,5,0)</f>
        <v>59</v>
      </c>
    </row>
    <row r="63" spans="1:7">
      <c r="A63">
        <v>240221</v>
      </c>
      <c r="B63" t="s">
        <v>69</v>
      </c>
      <c r="C63">
        <f>VLOOKUP($B63,Sheet3!$B:$G,2,0)</f>
        <v>83</v>
      </c>
      <c r="D63">
        <f>VLOOKUP($B63,Sheet3!$B:$G,3,0)</f>
        <v>75</v>
      </c>
      <c r="E63">
        <f>VLOOKUP($B63,Sheet3!$B:$G,4,0)</f>
        <v>100</v>
      </c>
      <c r="F63">
        <f>VLOOKUP($B63,Sheet3!$B:$G,6,0)</f>
        <v>56</v>
      </c>
      <c r="G63">
        <f>VLOOKUP($B63,Sheet3!$B:$G,5,0)</f>
        <v>64</v>
      </c>
    </row>
    <row r="64" spans="1:7">
      <c r="A64">
        <v>240222</v>
      </c>
      <c r="B64" t="s">
        <v>70</v>
      </c>
      <c r="C64">
        <f>VLOOKUP($B64,Sheet3!$B:$G,2,0)</f>
        <v>91</v>
      </c>
      <c r="D64">
        <f>VLOOKUP($B64,Sheet3!$B:$G,3,0)</f>
        <v>76</v>
      </c>
      <c r="E64">
        <f>VLOOKUP($B64,Sheet3!$B:$G,4,0)</f>
        <v>102.5</v>
      </c>
      <c r="F64">
        <f>VLOOKUP($B64,Sheet3!$B:$G,6,0)</f>
        <v>79</v>
      </c>
      <c r="G64">
        <f>VLOOKUP($B64,Sheet3!$B:$G,5,0)</f>
        <v>64</v>
      </c>
    </row>
    <row r="65" spans="1:7">
      <c r="A65">
        <v>240223</v>
      </c>
      <c r="B65" t="s">
        <v>71</v>
      </c>
      <c r="C65">
        <f>VLOOKUP($B65,Sheet3!$B:$G,2,0)</f>
        <v>91</v>
      </c>
      <c r="D65">
        <f>VLOOKUP($B65,Sheet3!$B:$G,3,0)</f>
        <v>94</v>
      </c>
      <c r="E65">
        <f>VLOOKUP($B65,Sheet3!$B:$G,4,0)</f>
        <v>101.5</v>
      </c>
      <c r="F65">
        <f>VLOOKUP($B65,Sheet3!$B:$G,6,0)</f>
        <v>76</v>
      </c>
      <c r="G65">
        <f>VLOOKUP($B65,Sheet3!$B:$G,5,0)</f>
        <v>76</v>
      </c>
    </row>
    <row r="66" spans="1:7">
      <c r="A66">
        <v>240224</v>
      </c>
      <c r="B66" t="s">
        <v>72</v>
      </c>
      <c r="C66">
        <f>VLOOKUP($B66,Sheet3!$B:$G,2,0)</f>
        <v>96</v>
      </c>
      <c r="D66">
        <f>VLOOKUP($B66,Sheet3!$B:$G,3,0)</f>
        <v>97</v>
      </c>
      <c r="E66">
        <f>VLOOKUP($B66,Sheet3!$B:$G,4,0)</f>
        <v>101</v>
      </c>
      <c r="F66">
        <f>VLOOKUP($B66,Sheet3!$B:$G,6,0)</f>
        <v>86</v>
      </c>
      <c r="G66">
        <f>VLOOKUP($B66,Sheet3!$B:$G,5,0)</f>
        <v>73</v>
      </c>
    </row>
    <row r="67" spans="1:7">
      <c r="A67">
        <v>240225</v>
      </c>
      <c r="B67" t="s">
        <v>73</v>
      </c>
      <c r="C67">
        <f>VLOOKUP($B67,Sheet3!$B:$G,2,0)</f>
        <v>83</v>
      </c>
      <c r="D67">
        <f>VLOOKUP($B67,Sheet3!$B:$G,3,0)</f>
        <v>50</v>
      </c>
      <c r="E67">
        <f>VLOOKUP($B67,Sheet3!$B:$G,4,0)</f>
        <v>73</v>
      </c>
      <c r="F67">
        <f>VLOOKUP($B67,Sheet3!$B:$G,6,0)</f>
        <v>49</v>
      </c>
      <c r="G67">
        <f>VLOOKUP($B67,Sheet3!$B:$G,5,0)</f>
        <v>54</v>
      </c>
    </row>
    <row r="68" spans="1:7">
      <c r="A68">
        <v>240226</v>
      </c>
      <c r="B68" t="s">
        <v>74</v>
      </c>
      <c r="C68">
        <f>VLOOKUP($B68,Sheet3!$B:$G,2,0)</f>
        <v>96</v>
      </c>
      <c r="D68">
        <f>VLOOKUP($B68,Sheet3!$B:$G,3,0)</f>
        <v>83</v>
      </c>
      <c r="E68">
        <f>VLOOKUP($B68,Sheet3!$B:$G,4,0)</f>
        <v>105</v>
      </c>
      <c r="F68">
        <f>VLOOKUP($B68,Sheet3!$B:$G,6,0)</f>
        <v>75</v>
      </c>
      <c r="G68">
        <f>VLOOKUP($B68,Sheet3!$B:$G,5,0)</f>
        <v>71</v>
      </c>
    </row>
    <row r="69" spans="1:7">
      <c r="A69">
        <v>240227</v>
      </c>
      <c r="B69" t="s">
        <v>75</v>
      </c>
      <c r="C69">
        <f>VLOOKUP($B69,Sheet3!$B:$G,2,0)</f>
        <v>82</v>
      </c>
      <c r="D69">
        <f>VLOOKUP($B69,Sheet3!$B:$G,3,0)</f>
        <v>46</v>
      </c>
      <c r="E69">
        <f>VLOOKUP($B69,Sheet3!$B:$G,4,0)</f>
        <v>71.5</v>
      </c>
      <c r="F69">
        <f>VLOOKUP($B69,Sheet3!$B:$G,6,0)</f>
        <v>66</v>
      </c>
      <c r="G69">
        <f>VLOOKUP($B69,Sheet3!$B:$G,5,0)</f>
        <v>47</v>
      </c>
    </row>
    <row r="70" spans="1:7">
      <c r="A70">
        <v>240228</v>
      </c>
      <c r="B70" t="s">
        <v>76</v>
      </c>
      <c r="C70">
        <f>VLOOKUP($B70,Sheet3!$B:$G,2,0)</f>
        <v>88</v>
      </c>
      <c r="D70">
        <f>VLOOKUP($B70,Sheet3!$B:$G,3,0)</f>
        <v>78</v>
      </c>
      <c r="E70">
        <f>VLOOKUP($B70,Sheet3!$B:$G,4,0)</f>
        <v>88</v>
      </c>
      <c r="F70">
        <f>VLOOKUP($B70,Sheet3!$B:$G,6,0)</f>
        <v>81</v>
      </c>
      <c r="G70">
        <f>VLOOKUP($B70,Sheet3!$B:$G,5,0)</f>
        <v>75</v>
      </c>
    </row>
    <row r="71" spans="1:7">
      <c r="A71">
        <v>240229</v>
      </c>
      <c r="B71" t="s">
        <v>77</v>
      </c>
      <c r="C71">
        <f>VLOOKUP($B71,Sheet3!$B:$G,2,0)</f>
        <v>66</v>
      </c>
      <c r="D71">
        <f>VLOOKUP($B71,Sheet3!$B:$G,3,0)</f>
        <v>74</v>
      </c>
      <c r="E71">
        <f>VLOOKUP($B71,Sheet3!$B:$G,4,0)</f>
        <v>43.5</v>
      </c>
      <c r="F71">
        <f>VLOOKUP($B71,Sheet3!$B:$G,6,0)</f>
        <v>48</v>
      </c>
      <c r="G71">
        <f>VLOOKUP($B71,Sheet3!$B:$G,5,0)</f>
        <v>25</v>
      </c>
    </row>
    <row r="72" spans="1:7">
      <c r="A72">
        <v>240230</v>
      </c>
      <c r="B72" t="s">
        <v>78</v>
      </c>
      <c r="C72">
        <f>VLOOKUP($B72,Sheet3!$B:$G,2,0)</f>
        <v>100</v>
      </c>
      <c r="D72">
        <f>VLOOKUP($B72,Sheet3!$B:$G,3,0)</f>
        <v>98</v>
      </c>
      <c r="E72">
        <f>VLOOKUP($B72,Sheet3!$B:$G,4,0)</f>
        <v>102</v>
      </c>
      <c r="F72">
        <f>VLOOKUP($B72,Sheet3!$B:$G,6,0)</f>
        <v>78</v>
      </c>
      <c r="G72">
        <f>VLOOKUP($B72,Sheet3!$B:$G,5,0)</f>
        <v>71</v>
      </c>
    </row>
    <row r="73" spans="1:7">
      <c r="A73">
        <v>240231</v>
      </c>
      <c r="B73" t="s">
        <v>79</v>
      </c>
      <c r="C73">
        <f>VLOOKUP($B73,Sheet3!$B:$G,2,0)</f>
        <v>90</v>
      </c>
      <c r="D73">
        <f>VLOOKUP($B73,Sheet3!$B:$G,3,0)</f>
        <v>93</v>
      </c>
      <c r="E73">
        <f>VLOOKUP($B73,Sheet3!$B:$G,4,0)</f>
        <v>98.5</v>
      </c>
      <c r="F73">
        <f>VLOOKUP($B73,Sheet3!$B:$G,6,0)</f>
        <v>75</v>
      </c>
      <c r="G73">
        <f>VLOOKUP($B73,Sheet3!$B:$G,5,0)</f>
        <v>80</v>
      </c>
    </row>
    <row r="74" spans="1:7">
      <c r="A74">
        <v>240232</v>
      </c>
      <c r="B74" t="s">
        <v>80</v>
      </c>
      <c r="C74">
        <f>VLOOKUP($B74,Sheet3!$B:$G,2,0)</f>
        <v>98</v>
      </c>
      <c r="D74">
        <f>VLOOKUP($B74,Sheet3!$B:$G,3,0)</f>
        <v>86</v>
      </c>
      <c r="E74">
        <f>VLOOKUP($B74,Sheet3!$B:$G,4,0)</f>
        <v>97</v>
      </c>
      <c r="F74">
        <f>VLOOKUP($B74,Sheet3!$B:$G,6,0)</f>
        <v>78</v>
      </c>
      <c r="G74">
        <f>VLOOKUP($B74,Sheet3!$B:$G,5,0)</f>
        <v>73</v>
      </c>
    </row>
    <row r="75" spans="1:7">
      <c r="A75">
        <v>240233</v>
      </c>
      <c r="B75" t="s">
        <v>81</v>
      </c>
      <c r="C75">
        <f>VLOOKUP($B75,Sheet3!$B:$G,2,0)</f>
        <v>78</v>
      </c>
      <c r="D75">
        <f>VLOOKUP($B75,Sheet3!$B:$G,3,0)</f>
        <v>55</v>
      </c>
      <c r="E75">
        <f>VLOOKUP($B75,Sheet3!$B:$G,4,0)</f>
        <v>82</v>
      </c>
      <c r="F75">
        <f>VLOOKUP($B75,Sheet3!$B:$G,6,0)</f>
        <v>74</v>
      </c>
      <c r="G75">
        <f>VLOOKUP($B75,Sheet3!$B:$G,5,0)</f>
        <v>52</v>
      </c>
    </row>
    <row r="76" spans="1:7">
      <c r="A76">
        <v>240234</v>
      </c>
      <c r="B76" t="s">
        <v>82</v>
      </c>
      <c r="C76">
        <f>VLOOKUP($B76,Sheet3!$B:$G,2,0)</f>
        <v>81</v>
      </c>
      <c r="D76">
        <f>VLOOKUP($B76,Sheet3!$B:$G,3,0)</f>
        <v>77</v>
      </c>
      <c r="E76">
        <f>VLOOKUP($B76,Sheet3!$B:$G,4,0)</f>
        <v>91.5</v>
      </c>
      <c r="F76">
        <f>VLOOKUP($B76,Sheet3!$B:$G,6,0)</f>
        <v>54</v>
      </c>
      <c r="G76">
        <f>VLOOKUP($B76,Sheet3!$B:$G,5,0)</f>
        <v>69</v>
      </c>
    </row>
    <row r="77" spans="1:7">
      <c r="A77">
        <v>240235</v>
      </c>
      <c r="B77" t="s">
        <v>83</v>
      </c>
      <c r="C77">
        <f>VLOOKUP($B77,Sheet3!$B:$G,2,0)</f>
        <v>101</v>
      </c>
      <c r="D77">
        <f>VLOOKUP($B77,Sheet3!$B:$G,3,0)</f>
        <v>90</v>
      </c>
      <c r="E77">
        <f>VLOOKUP($B77,Sheet3!$B:$G,4,0)</f>
        <v>108.5</v>
      </c>
      <c r="F77">
        <f>VLOOKUP($B77,Sheet3!$B:$G,6,0)</f>
        <v>80</v>
      </c>
      <c r="G77">
        <f>VLOOKUP($B77,Sheet3!$B:$G,5,0)</f>
        <v>84</v>
      </c>
    </row>
    <row r="78" spans="1:7">
      <c r="A78">
        <v>240236</v>
      </c>
      <c r="B78" t="s">
        <v>84</v>
      </c>
      <c r="C78">
        <f>VLOOKUP($B78,Sheet3!$B:$G,2,0)</f>
        <v>81</v>
      </c>
      <c r="D78">
        <f>VLOOKUP($B78,Sheet3!$B:$G,3,0)</f>
        <v>98</v>
      </c>
      <c r="E78">
        <f>VLOOKUP($B78,Sheet3!$B:$G,4,0)</f>
        <v>101</v>
      </c>
      <c r="F78">
        <f>VLOOKUP($B78,Sheet3!$B:$G,6,0)</f>
        <v>76</v>
      </c>
      <c r="G78">
        <f>VLOOKUP($B78,Sheet3!$B:$G,5,0)</f>
        <v>59</v>
      </c>
    </row>
    <row r="79" spans="1:7">
      <c r="A79">
        <v>240237</v>
      </c>
      <c r="B79" t="s">
        <v>85</v>
      </c>
      <c r="C79">
        <f>VLOOKUP($B79,Sheet3!$B:$G,2,0)</f>
        <v>93</v>
      </c>
      <c r="D79">
        <f>VLOOKUP($B79,Sheet3!$B:$G,3,0)</f>
        <v>101</v>
      </c>
      <c r="E79">
        <f>VLOOKUP($B79,Sheet3!$B:$G,4,0)</f>
        <v>114</v>
      </c>
      <c r="F79">
        <f>VLOOKUP($B79,Sheet3!$B:$G,6,0)</f>
        <v>84</v>
      </c>
      <c r="G79">
        <f>VLOOKUP($B79,Sheet3!$B:$G,5,0)</f>
        <v>79</v>
      </c>
    </row>
    <row r="80" spans="1:7">
      <c r="A80">
        <v>240238</v>
      </c>
      <c r="B80" t="s">
        <v>86</v>
      </c>
      <c r="C80">
        <f>VLOOKUP($B80,Sheet3!$B:$G,2,0)</f>
        <v>99</v>
      </c>
      <c r="D80">
        <f>VLOOKUP($B80,Sheet3!$B:$G,3,0)</f>
        <v>68</v>
      </c>
      <c r="E80">
        <f>VLOOKUP($B80,Sheet3!$B:$G,4,0)</f>
        <v>80</v>
      </c>
      <c r="F80">
        <f>VLOOKUP($B80,Sheet3!$B:$G,6,0)</f>
        <v>74</v>
      </c>
      <c r="G80">
        <f>VLOOKUP($B80,Sheet3!$B:$G,5,0)</f>
        <v>48</v>
      </c>
    </row>
    <row r="81" spans="1:7">
      <c r="A81">
        <v>240239</v>
      </c>
      <c r="B81" t="s">
        <v>87</v>
      </c>
      <c r="C81">
        <f>VLOOKUP($B81,Sheet3!$B:$G,2,0)</f>
        <v>101</v>
      </c>
      <c r="D81">
        <f>VLOOKUP($B81,Sheet3!$B:$G,3,0)</f>
        <v>89</v>
      </c>
      <c r="E81">
        <f>VLOOKUP($B81,Sheet3!$B:$G,4,0)</f>
        <v>113</v>
      </c>
      <c r="F81">
        <f>VLOOKUP($B81,Sheet3!$B:$G,6,0)</f>
        <v>84</v>
      </c>
      <c r="G81">
        <f>VLOOKUP($B81,Sheet3!$B:$G,5,0)</f>
        <v>77</v>
      </c>
    </row>
    <row r="82" spans="1:7">
      <c r="A82">
        <v>240240</v>
      </c>
      <c r="B82" t="s">
        <v>88</v>
      </c>
      <c r="C82">
        <f>VLOOKUP($B82,Sheet3!$B:$G,2,0)</f>
        <v>83</v>
      </c>
      <c r="D82">
        <f>VLOOKUP($B82,Sheet3!$B:$G,3,0)</f>
        <v>86</v>
      </c>
      <c r="E82">
        <f>VLOOKUP($B82,Sheet3!$B:$G,4,0)</f>
        <v>100.5</v>
      </c>
      <c r="F82">
        <f>VLOOKUP($B82,Sheet3!$B:$G,6,0)</f>
        <v>75</v>
      </c>
      <c r="G82">
        <f>VLOOKUP($B82,Sheet3!$B:$G,5,0)</f>
        <v>79</v>
      </c>
    </row>
    <row r="83" spans="1:7">
      <c r="A83">
        <v>240241</v>
      </c>
      <c r="B83" t="s">
        <v>89</v>
      </c>
      <c r="C83">
        <f>VLOOKUP($B83,Sheet3!$B:$G,2,0)</f>
        <v>83</v>
      </c>
      <c r="D83">
        <f>VLOOKUP($B83,Sheet3!$B:$G,3,0)</f>
        <v>72</v>
      </c>
      <c r="E83">
        <f>VLOOKUP($B83,Sheet3!$B:$G,4,0)</f>
        <v>101.5</v>
      </c>
      <c r="F83">
        <f>VLOOKUP($B83,Sheet3!$B:$G,6,0)</f>
        <v>74</v>
      </c>
      <c r="G83">
        <f>VLOOKUP($B83,Sheet3!$B:$G,5,0)</f>
        <v>71</v>
      </c>
    </row>
    <row r="84" spans="1:7">
      <c r="A84">
        <v>240242</v>
      </c>
      <c r="B84" t="s">
        <v>90</v>
      </c>
      <c r="C84">
        <f>VLOOKUP($B84,Sheet3!$B:$G,2,0)</f>
        <v>92</v>
      </c>
      <c r="D84">
        <f>VLOOKUP($B84,Sheet3!$B:$G,3,0)</f>
        <v>96</v>
      </c>
      <c r="E84">
        <f>VLOOKUP($B84,Sheet3!$B:$G,4,0)</f>
        <v>103</v>
      </c>
      <c r="F84">
        <f>VLOOKUP($B84,Sheet3!$B:$G,6,0)</f>
        <v>80</v>
      </c>
      <c r="G84">
        <f>VLOOKUP($B84,Sheet3!$B:$G,5,0)</f>
        <v>80</v>
      </c>
    </row>
    <row r="85" spans="1:7">
      <c r="A85">
        <v>241317</v>
      </c>
      <c r="B85" t="s">
        <v>91</v>
      </c>
      <c r="C85">
        <f>VLOOKUP($B85,Sheet3!$B:$G,2,0)</f>
        <v>68</v>
      </c>
      <c r="D85">
        <f>VLOOKUP($B85,Sheet3!$B:$G,3,0)</f>
        <v>68</v>
      </c>
      <c r="E85">
        <f>VLOOKUP($B85,Sheet3!$B:$G,4,0)</f>
        <v>80.5</v>
      </c>
      <c r="F85">
        <f>VLOOKUP($B85,Sheet3!$B:$G,6,0)</f>
        <v>55</v>
      </c>
      <c r="G85">
        <f>VLOOKUP($B85,Sheet3!$B:$G,5,0)</f>
        <v>61</v>
      </c>
    </row>
    <row r="86" spans="1:7">
      <c r="A86">
        <v>240301</v>
      </c>
      <c r="B86" t="s">
        <v>92</v>
      </c>
      <c r="C86">
        <f>VLOOKUP($B86,Sheet3!$B:$G,2,0)</f>
        <v>93</v>
      </c>
      <c r="D86">
        <f>VLOOKUP($B86,Sheet3!$B:$G,3,0)</f>
        <v>51</v>
      </c>
      <c r="E86">
        <f>VLOOKUP($B86,Sheet3!$B:$G,4,0)</f>
        <v>99</v>
      </c>
      <c r="F86">
        <f>VLOOKUP($B86,Sheet3!$B:$G,6,0)</f>
        <v>87</v>
      </c>
      <c r="G86">
        <f>VLOOKUP($B86,Sheet3!$B:$G,5,0)</f>
        <v>58</v>
      </c>
    </row>
    <row r="87" spans="1:7">
      <c r="A87">
        <v>240302</v>
      </c>
      <c r="B87" t="s">
        <v>93</v>
      </c>
      <c r="C87">
        <f>VLOOKUP($B87,Sheet3!$B:$G,2,0)</f>
        <v>93</v>
      </c>
      <c r="D87">
        <f>VLOOKUP($B87,Sheet3!$B:$G,3,0)</f>
        <v>91</v>
      </c>
      <c r="E87">
        <f>VLOOKUP($B87,Sheet3!$B:$G,4,0)</f>
        <v>108</v>
      </c>
      <c r="F87">
        <f>VLOOKUP($B87,Sheet3!$B:$G,6,0)</f>
        <v>81</v>
      </c>
      <c r="G87">
        <f>VLOOKUP($B87,Sheet3!$B:$G,5,0)</f>
        <v>76</v>
      </c>
    </row>
    <row r="88" spans="1:7">
      <c r="A88">
        <v>240303</v>
      </c>
      <c r="B88" t="s">
        <v>94</v>
      </c>
      <c r="C88">
        <f>VLOOKUP($B88,Sheet3!$B:$G,2,0)</f>
        <v>109</v>
      </c>
      <c r="D88">
        <f>VLOOKUP($B88,Sheet3!$B:$G,3,0)</f>
        <v>95</v>
      </c>
      <c r="E88">
        <f>VLOOKUP($B88,Sheet3!$B:$G,4,0)</f>
        <v>105.5</v>
      </c>
      <c r="F88">
        <f>VLOOKUP($B88,Sheet3!$B:$G,6,0)</f>
        <v>81</v>
      </c>
      <c r="G88">
        <f>VLOOKUP($B88,Sheet3!$B:$G,5,0)</f>
        <v>79</v>
      </c>
    </row>
    <row r="89" spans="1:7">
      <c r="A89">
        <v>240304</v>
      </c>
      <c r="B89" t="s">
        <v>95</v>
      </c>
      <c r="C89">
        <f>VLOOKUP($B89,Sheet3!$B:$G,2,0)</f>
        <v>89</v>
      </c>
      <c r="D89">
        <f>VLOOKUP($B89,Sheet3!$B:$G,3,0)</f>
        <v>65</v>
      </c>
      <c r="E89">
        <f>VLOOKUP($B89,Sheet3!$B:$G,4,0)</f>
        <v>69.5</v>
      </c>
      <c r="F89">
        <f>VLOOKUP($B89,Sheet3!$B:$G,6,0)</f>
        <v>61</v>
      </c>
      <c r="G89">
        <f>VLOOKUP($B89,Sheet3!$B:$G,5,0)</f>
        <v>66</v>
      </c>
    </row>
    <row r="90" spans="1:7">
      <c r="A90">
        <v>240305</v>
      </c>
      <c r="B90" t="s">
        <v>96</v>
      </c>
      <c r="C90">
        <f>VLOOKUP($B90,Sheet3!$B:$G,2,0)</f>
        <v>96</v>
      </c>
      <c r="D90">
        <f>VLOOKUP($B90,Sheet3!$B:$G,3,0)</f>
        <v>89</v>
      </c>
      <c r="E90">
        <f>VLOOKUP($B90,Sheet3!$B:$G,4,0)</f>
        <v>102.5</v>
      </c>
      <c r="F90">
        <f>VLOOKUP($B90,Sheet3!$B:$G,6,0)</f>
        <v>76</v>
      </c>
      <c r="G90">
        <f>VLOOKUP($B90,Sheet3!$B:$G,5,0)</f>
        <v>78</v>
      </c>
    </row>
    <row r="91" spans="1:7">
      <c r="A91">
        <v>240306</v>
      </c>
      <c r="B91" t="s">
        <v>97</v>
      </c>
      <c r="C91">
        <f>VLOOKUP($B91,Sheet3!$B:$G,2,0)</f>
        <v>89</v>
      </c>
      <c r="D91">
        <f>VLOOKUP($B91,Sheet3!$B:$G,3,0)</f>
        <v>51</v>
      </c>
      <c r="E91">
        <f>VLOOKUP($B91,Sheet3!$B:$G,4,0)</f>
        <v>97.5</v>
      </c>
      <c r="F91">
        <f>VLOOKUP($B91,Sheet3!$B:$G,6,0)</f>
        <v>60</v>
      </c>
      <c r="G91">
        <f>VLOOKUP($B91,Sheet3!$B:$G,5,0)</f>
        <v>77</v>
      </c>
    </row>
    <row r="92" spans="1:7">
      <c r="A92">
        <v>240307</v>
      </c>
      <c r="B92" t="s">
        <v>98</v>
      </c>
      <c r="C92">
        <f>VLOOKUP($B92,Sheet3!$B:$G,2,0)</f>
        <v>81</v>
      </c>
      <c r="D92">
        <f>VLOOKUP($B92,Sheet3!$B:$G,3,0)</f>
        <v>77</v>
      </c>
      <c r="E92">
        <f>VLOOKUP($B92,Sheet3!$B:$G,4,0)</f>
        <v>74</v>
      </c>
      <c r="F92">
        <f>VLOOKUP($B92,Sheet3!$B:$G,6,0)</f>
        <v>77</v>
      </c>
      <c r="G92">
        <f>VLOOKUP($B92,Sheet3!$B:$G,5,0)</f>
        <v>77</v>
      </c>
    </row>
    <row r="93" spans="1:7">
      <c r="A93">
        <v>240308</v>
      </c>
      <c r="B93" t="s">
        <v>99</v>
      </c>
      <c r="C93">
        <f>VLOOKUP($B93,Sheet3!$B:$G,2,0)</f>
        <v>94</v>
      </c>
      <c r="D93">
        <f>VLOOKUP($B93,Sheet3!$B:$G,3,0)</f>
        <v>75</v>
      </c>
      <c r="E93">
        <f>VLOOKUP($B93,Sheet3!$B:$G,4,0)</f>
        <v>85</v>
      </c>
      <c r="F93">
        <f>VLOOKUP($B93,Sheet3!$B:$G,6,0)</f>
        <v>66</v>
      </c>
      <c r="G93">
        <f>VLOOKUP($B93,Sheet3!$B:$G,5,0)</f>
        <v>64</v>
      </c>
    </row>
    <row r="94" spans="1:7">
      <c r="A94">
        <v>240309</v>
      </c>
      <c r="B94" t="s">
        <v>100</v>
      </c>
      <c r="C94">
        <f>VLOOKUP($B94,Sheet3!$B:$G,2,0)</f>
        <v>96</v>
      </c>
      <c r="D94">
        <f>VLOOKUP($B94,Sheet3!$B:$G,3,0)</f>
        <v>101</v>
      </c>
      <c r="E94">
        <f>VLOOKUP($B94,Sheet3!$B:$G,4,0)</f>
        <v>111</v>
      </c>
      <c r="F94">
        <f>VLOOKUP($B94,Sheet3!$B:$G,6,0)</f>
        <v>78</v>
      </c>
      <c r="G94">
        <f>VLOOKUP($B94,Sheet3!$B:$G,5,0)</f>
        <v>79</v>
      </c>
    </row>
    <row r="95" spans="1:7">
      <c r="A95">
        <v>240311</v>
      </c>
      <c r="B95" t="s">
        <v>101</v>
      </c>
      <c r="C95">
        <f>VLOOKUP($B95,Sheet3!$B:$G,2,0)</f>
        <v>65</v>
      </c>
      <c r="D95">
        <f>VLOOKUP($B95,Sheet3!$B:$G,3,0)</f>
        <v>45</v>
      </c>
      <c r="E95">
        <f>VLOOKUP($B95,Sheet3!$B:$G,4,0)</f>
        <v>75.5</v>
      </c>
      <c r="F95">
        <f>VLOOKUP($B95,Sheet3!$B:$G,6,0)</f>
        <v>59</v>
      </c>
      <c r="G95">
        <f>VLOOKUP($B95,Sheet3!$B:$G,5,0)</f>
        <v>48</v>
      </c>
    </row>
    <row r="96" spans="1:7">
      <c r="A96">
        <v>240312</v>
      </c>
      <c r="B96" t="s">
        <v>102</v>
      </c>
      <c r="C96" t="str">
        <f>VLOOKUP($B96,Sheet3!$B:$G,2,0)</f>
        <v>未扫，不计排名</v>
      </c>
      <c r="D96" t="str">
        <f>VLOOKUP($B96,Sheet3!$B:$G,3,0)</f>
        <v>未扫，不计排名</v>
      </c>
      <c r="E96" t="str">
        <f>VLOOKUP($B96,Sheet3!$B:$G,4,0)</f>
        <v>未扫，不计排名</v>
      </c>
      <c r="F96" t="str">
        <f>VLOOKUP($B96,Sheet3!$B:$G,6,0)</f>
        <v>未扫，不计排名</v>
      </c>
      <c r="G96" t="str">
        <f>VLOOKUP($B96,Sheet3!$B:$G,5,0)</f>
        <v>未扫，不计排名</v>
      </c>
    </row>
    <row r="97" spans="1:7">
      <c r="A97">
        <v>240313</v>
      </c>
      <c r="B97" t="s">
        <v>103</v>
      </c>
      <c r="C97">
        <f>VLOOKUP($B97,Sheet3!$B:$G,2,0)</f>
        <v>72</v>
      </c>
      <c r="D97">
        <f>VLOOKUP($B97,Sheet3!$B:$G,3,0)</f>
        <v>93</v>
      </c>
      <c r="E97">
        <f>VLOOKUP($B97,Sheet3!$B:$G,4,0)</f>
        <v>78.5</v>
      </c>
      <c r="F97">
        <f>VLOOKUP($B97,Sheet3!$B:$G,6,0)</f>
        <v>55</v>
      </c>
      <c r="G97">
        <f>VLOOKUP($B97,Sheet3!$B:$G,5,0)</f>
        <v>65</v>
      </c>
    </row>
    <row r="98" spans="1:7">
      <c r="A98">
        <v>240314</v>
      </c>
      <c r="B98" t="s">
        <v>104</v>
      </c>
      <c r="C98">
        <f>VLOOKUP($B98,Sheet3!$B:$G,2,0)</f>
        <v>100</v>
      </c>
      <c r="D98">
        <f>VLOOKUP($B98,Sheet3!$B:$G,3,0)</f>
        <v>66</v>
      </c>
      <c r="E98">
        <f>VLOOKUP($B98,Sheet3!$B:$G,4,0)</f>
        <v>102</v>
      </c>
      <c r="F98">
        <f>VLOOKUP($B98,Sheet3!$B:$G,6,0)</f>
        <v>85</v>
      </c>
      <c r="G98">
        <f>VLOOKUP($B98,Sheet3!$B:$G,5,0)</f>
        <v>62</v>
      </c>
    </row>
    <row r="99" spans="1:7">
      <c r="A99">
        <v>240315</v>
      </c>
      <c r="B99" t="s">
        <v>105</v>
      </c>
      <c r="C99">
        <f>VLOOKUP($B99,Sheet3!$B:$G,2,0)</f>
        <v>99</v>
      </c>
      <c r="D99">
        <f>VLOOKUP($B99,Sheet3!$B:$G,3,0)</f>
        <v>87</v>
      </c>
      <c r="E99">
        <f>VLOOKUP($B99,Sheet3!$B:$G,4,0)</f>
        <v>104</v>
      </c>
      <c r="F99">
        <f>VLOOKUP($B99,Sheet3!$B:$G,6,0)</f>
        <v>89</v>
      </c>
      <c r="G99">
        <f>VLOOKUP($B99,Sheet3!$B:$G,5,0)</f>
        <v>86</v>
      </c>
    </row>
    <row r="100" spans="1:7">
      <c r="A100">
        <v>240316</v>
      </c>
      <c r="B100" t="s">
        <v>106</v>
      </c>
      <c r="C100">
        <f>VLOOKUP($B100,Sheet3!$B:$G,2,0)</f>
        <v>94</v>
      </c>
      <c r="D100">
        <f>VLOOKUP($B100,Sheet3!$B:$G,3,0)</f>
        <v>84</v>
      </c>
      <c r="E100">
        <f>VLOOKUP($B100,Sheet3!$B:$G,4,0)</f>
        <v>101</v>
      </c>
      <c r="F100">
        <f>VLOOKUP($B100,Sheet3!$B:$G,6,0)</f>
        <v>68</v>
      </c>
      <c r="G100">
        <f>VLOOKUP($B100,Sheet3!$B:$G,5,0)</f>
        <v>66</v>
      </c>
    </row>
    <row r="101" spans="1:7">
      <c r="A101">
        <v>240317</v>
      </c>
      <c r="B101" t="s">
        <v>107</v>
      </c>
      <c r="C101">
        <f>VLOOKUP($B101,Sheet3!$B:$G,2,0)</f>
        <v>85</v>
      </c>
      <c r="D101">
        <f>VLOOKUP($B101,Sheet3!$B:$G,3,0)</f>
        <v>95</v>
      </c>
      <c r="E101">
        <f>VLOOKUP($B101,Sheet3!$B:$G,4,0)</f>
        <v>101.5</v>
      </c>
      <c r="F101">
        <f>VLOOKUP($B101,Sheet3!$B:$G,6,0)</f>
        <v>83</v>
      </c>
      <c r="G101">
        <f>VLOOKUP($B101,Sheet3!$B:$G,5,0)</f>
        <v>74</v>
      </c>
    </row>
    <row r="102" spans="1:7">
      <c r="A102">
        <v>240318</v>
      </c>
      <c r="B102" t="s">
        <v>108</v>
      </c>
      <c r="C102">
        <f>VLOOKUP($B102,Sheet3!$B:$G,2,0)</f>
        <v>84</v>
      </c>
      <c r="D102">
        <f>VLOOKUP($B102,Sheet3!$B:$G,3,0)</f>
        <v>87</v>
      </c>
      <c r="E102">
        <f>VLOOKUP($B102,Sheet3!$B:$G,4,0)</f>
        <v>77</v>
      </c>
      <c r="F102">
        <f>VLOOKUP($B102,Sheet3!$B:$G,6,0)</f>
        <v>72</v>
      </c>
      <c r="G102">
        <f>VLOOKUP($B102,Sheet3!$B:$G,5,0)</f>
        <v>58</v>
      </c>
    </row>
    <row r="103" spans="1:7">
      <c r="A103">
        <v>240319</v>
      </c>
      <c r="B103" t="s">
        <v>109</v>
      </c>
      <c r="C103">
        <f>VLOOKUP($B103,Sheet3!$B:$G,2,0)</f>
        <v>99</v>
      </c>
      <c r="D103">
        <f>VLOOKUP($B103,Sheet3!$B:$G,3,0)</f>
        <v>65</v>
      </c>
      <c r="E103">
        <f>VLOOKUP($B103,Sheet3!$B:$G,4,0)</f>
        <v>101.5</v>
      </c>
      <c r="F103">
        <f>VLOOKUP($B103,Sheet3!$B:$G,6,0)</f>
        <v>83</v>
      </c>
      <c r="G103">
        <f>VLOOKUP($B103,Sheet3!$B:$G,5,0)</f>
        <v>68</v>
      </c>
    </row>
    <row r="104" spans="1:7">
      <c r="A104">
        <v>240320</v>
      </c>
      <c r="B104" t="s">
        <v>110</v>
      </c>
      <c r="C104">
        <f>VLOOKUP($B104,Sheet3!$B:$G,2,0)</f>
        <v>86</v>
      </c>
      <c r="D104">
        <f>VLOOKUP($B104,Sheet3!$B:$G,3,0)</f>
        <v>77</v>
      </c>
      <c r="E104">
        <f>VLOOKUP($B104,Sheet3!$B:$G,4,0)</f>
        <v>101</v>
      </c>
      <c r="F104">
        <f>VLOOKUP($B104,Sheet3!$B:$G,6,0)</f>
        <v>67</v>
      </c>
      <c r="G104">
        <f>VLOOKUP($B104,Sheet3!$B:$G,5,0)</f>
        <v>66</v>
      </c>
    </row>
    <row r="105" spans="1:7">
      <c r="A105">
        <v>240321</v>
      </c>
      <c r="B105" t="s">
        <v>111</v>
      </c>
      <c r="C105">
        <f>VLOOKUP($B105,Sheet3!$B:$G,2,0)</f>
        <v>91</v>
      </c>
      <c r="D105">
        <f>VLOOKUP($B105,Sheet3!$B:$G,3,0)</f>
        <v>75</v>
      </c>
      <c r="E105">
        <f>VLOOKUP($B105,Sheet3!$B:$G,4,0)</f>
        <v>70</v>
      </c>
      <c r="F105">
        <f>VLOOKUP($B105,Sheet3!$B:$G,6,0)</f>
        <v>68</v>
      </c>
      <c r="G105">
        <f>VLOOKUP($B105,Sheet3!$B:$G,5,0)</f>
        <v>64</v>
      </c>
    </row>
    <row r="106" spans="1:7">
      <c r="A106">
        <v>240322</v>
      </c>
      <c r="B106" t="s">
        <v>112</v>
      </c>
      <c r="C106">
        <f>VLOOKUP($B106,Sheet3!$B:$G,2,0)</f>
        <v>105</v>
      </c>
      <c r="D106">
        <f>VLOOKUP($B106,Sheet3!$B:$G,3,0)</f>
        <v>74</v>
      </c>
      <c r="E106">
        <f>VLOOKUP($B106,Sheet3!$B:$G,4,0)</f>
        <v>108</v>
      </c>
      <c r="F106">
        <f>VLOOKUP($B106,Sheet3!$B:$G,6,0)</f>
        <v>86</v>
      </c>
      <c r="G106">
        <f>VLOOKUP($B106,Sheet3!$B:$G,5,0)</f>
        <v>70</v>
      </c>
    </row>
    <row r="107" spans="1:7">
      <c r="A107">
        <v>240323</v>
      </c>
      <c r="B107" t="s">
        <v>113</v>
      </c>
      <c r="C107">
        <f>VLOOKUP($B107,Sheet3!$B:$G,2,0)</f>
        <v>105</v>
      </c>
      <c r="D107">
        <f>VLOOKUP($B107,Sheet3!$B:$G,3,0)</f>
        <v>104</v>
      </c>
      <c r="E107">
        <f>VLOOKUP($B107,Sheet3!$B:$G,4,0)</f>
        <v>111.5</v>
      </c>
      <c r="F107">
        <f>VLOOKUP($B107,Sheet3!$B:$G,6,0)</f>
        <v>88</v>
      </c>
      <c r="G107">
        <f>VLOOKUP($B107,Sheet3!$B:$G,5,0)</f>
        <v>83</v>
      </c>
    </row>
    <row r="108" spans="1:7">
      <c r="A108">
        <v>240324</v>
      </c>
      <c r="B108" t="s">
        <v>114</v>
      </c>
      <c r="C108">
        <f>VLOOKUP($B108,Sheet3!$B:$G,2,0)</f>
        <v>97</v>
      </c>
      <c r="D108">
        <f>VLOOKUP($B108,Sheet3!$B:$G,3,0)</f>
        <v>98</v>
      </c>
      <c r="E108">
        <f>VLOOKUP($B108,Sheet3!$B:$G,4,0)</f>
        <v>99.5</v>
      </c>
      <c r="F108">
        <f>VLOOKUP($B108,Sheet3!$B:$G,6,0)</f>
        <v>73</v>
      </c>
      <c r="G108">
        <f>VLOOKUP($B108,Sheet3!$B:$G,5,0)</f>
        <v>73</v>
      </c>
    </row>
    <row r="109" spans="1:7">
      <c r="A109">
        <v>240325</v>
      </c>
      <c r="B109" t="s">
        <v>115</v>
      </c>
      <c r="C109">
        <f>VLOOKUP($B109,Sheet3!$B:$G,2,0)</f>
        <v>85</v>
      </c>
      <c r="D109">
        <f>VLOOKUP($B109,Sheet3!$B:$G,3,0)</f>
        <v>52</v>
      </c>
      <c r="E109">
        <f>VLOOKUP($B109,Sheet3!$B:$G,4,0)</f>
        <v>76</v>
      </c>
      <c r="F109">
        <f>VLOOKUP($B109,Sheet3!$B:$G,6,0)</f>
        <v>68</v>
      </c>
      <c r="G109">
        <f>VLOOKUP($B109,Sheet3!$B:$G,5,0)</f>
        <v>81</v>
      </c>
    </row>
    <row r="110" spans="1:7">
      <c r="A110">
        <v>240326</v>
      </c>
      <c r="B110" t="s">
        <v>116</v>
      </c>
      <c r="C110">
        <f>VLOOKUP($B110,Sheet3!$B:$G,2,0)</f>
        <v>93</v>
      </c>
      <c r="D110">
        <f>VLOOKUP($B110,Sheet3!$B:$G,3,0)</f>
        <v>68</v>
      </c>
      <c r="E110">
        <f>VLOOKUP($B110,Sheet3!$B:$G,4,0)</f>
        <v>111</v>
      </c>
      <c r="F110">
        <f>VLOOKUP($B110,Sheet3!$B:$G,6,0)</f>
        <v>86</v>
      </c>
      <c r="G110">
        <f>VLOOKUP($B110,Sheet3!$B:$G,5,0)</f>
        <v>63</v>
      </c>
    </row>
    <row r="111" spans="1:7">
      <c r="A111">
        <v>240327</v>
      </c>
      <c r="B111" t="s">
        <v>117</v>
      </c>
      <c r="C111">
        <f>VLOOKUP($B111,Sheet3!$B:$G,2,0)</f>
        <v>104</v>
      </c>
      <c r="D111">
        <f>VLOOKUP($B111,Sheet3!$B:$G,3,0)</f>
        <v>91</v>
      </c>
      <c r="E111">
        <f>VLOOKUP($B111,Sheet3!$B:$G,4,0)</f>
        <v>102.5</v>
      </c>
      <c r="F111">
        <f>VLOOKUP($B111,Sheet3!$B:$G,6,0)</f>
        <v>67</v>
      </c>
      <c r="G111">
        <f>VLOOKUP($B111,Sheet3!$B:$G,5,0)</f>
        <v>57</v>
      </c>
    </row>
    <row r="112" spans="1:7">
      <c r="A112">
        <v>240328</v>
      </c>
      <c r="B112" t="s">
        <v>118</v>
      </c>
      <c r="C112">
        <f>VLOOKUP($B112,Sheet3!$B:$G,2,0)</f>
        <v>101</v>
      </c>
      <c r="D112">
        <f>VLOOKUP($B112,Sheet3!$B:$G,3,0)</f>
        <v>98</v>
      </c>
      <c r="E112">
        <f>VLOOKUP($B112,Sheet3!$B:$G,4,0)</f>
        <v>105</v>
      </c>
      <c r="F112">
        <f>VLOOKUP($B112,Sheet3!$B:$G,6,0)</f>
        <v>89</v>
      </c>
      <c r="G112">
        <f>VLOOKUP($B112,Sheet3!$B:$G,5,0)</f>
        <v>70</v>
      </c>
    </row>
    <row r="113" spans="1:7">
      <c r="A113">
        <v>240329</v>
      </c>
      <c r="B113" t="s">
        <v>119</v>
      </c>
      <c r="C113">
        <f>VLOOKUP($B113,Sheet3!$B:$G,2,0)</f>
        <v>94</v>
      </c>
      <c r="D113">
        <f>VLOOKUP($B113,Sheet3!$B:$G,3,0)</f>
        <v>88</v>
      </c>
      <c r="E113">
        <f>VLOOKUP($B113,Sheet3!$B:$G,4,0)</f>
        <v>80</v>
      </c>
      <c r="F113">
        <f>VLOOKUP($B113,Sheet3!$B:$G,6,0)</f>
        <v>71</v>
      </c>
      <c r="G113">
        <f>VLOOKUP($B113,Sheet3!$B:$G,5,0)</f>
        <v>77</v>
      </c>
    </row>
    <row r="114" spans="1:7">
      <c r="A114">
        <v>240330</v>
      </c>
      <c r="B114" t="s">
        <v>120</v>
      </c>
      <c r="C114">
        <f>VLOOKUP($B114,Sheet3!$B:$G,2,0)</f>
        <v>102</v>
      </c>
      <c r="D114">
        <f>VLOOKUP($B114,Sheet3!$B:$G,3,0)</f>
        <v>80</v>
      </c>
      <c r="E114">
        <f>VLOOKUP($B114,Sheet3!$B:$G,4,0)</f>
        <v>96.5</v>
      </c>
      <c r="F114">
        <f>VLOOKUP($B114,Sheet3!$B:$G,6,0)</f>
        <v>71</v>
      </c>
      <c r="G114">
        <f>VLOOKUP($B114,Sheet3!$B:$G,5,0)</f>
        <v>72</v>
      </c>
    </row>
    <row r="115" spans="1:7">
      <c r="A115">
        <v>240331</v>
      </c>
      <c r="B115" t="s">
        <v>121</v>
      </c>
      <c r="C115">
        <f>VLOOKUP($B115,Sheet3!$B:$G,2,0)</f>
        <v>79</v>
      </c>
      <c r="D115">
        <f>VLOOKUP($B115,Sheet3!$B:$G,3,0)</f>
        <v>82</v>
      </c>
      <c r="E115">
        <f>VLOOKUP($B115,Sheet3!$B:$G,4,0)</f>
        <v>97.5</v>
      </c>
      <c r="F115">
        <f>VLOOKUP($B115,Sheet3!$B:$G,6,0)</f>
        <v>50</v>
      </c>
      <c r="G115">
        <f>VLOOKUP($B115,Sheet3!$B:$G,5,0)</f>
        <v>39</v>
      </c>
    </row>
    <row r="116" spans="1:7">
      <c r="A116">
        <v>240332</v>
      </c>
      <c r="B116" t="s">
        <v>122</v>
      </c>
      <c r="C116">
        <f>VLOOKUP($B116,Sheet3!$B:$G,2,0)</f>
        <v>98</v>
      </c>
      <c r="D116">
        <f>VLOOKUP($B116,Sheet3!$B:$G,3,0)</f>
        <v>99</v>
      </c>
      <c r="E116">
        <f>VLOOKUP($B116,Sheet3!$B:$G,4,0)</f>
        <v>105.5</v>
      </c>
      <c r="F116">
        <f>VLOOKUP($B116,Sheet3!$B:$G,6,0)</f>
        <v>89</v>
      </c>
      <c r="G116">
        <f>VLOOKUP($B116,Sheet3!$B:$G,5,0)</f>
        <v>75</v>
      </c>
    </row>
    <row r="117" spans="1:7">
      <c r="A117">
        <v>240333</v>
      </c>
      <c r="B117" t="s">
        <v>123</v>
      </c>
      <c r="C117">
        <f>VLOOKUP($B117,Sheet3!$B:$G,2,0)</f>
        <v>92</v>
      </c>
      <c r="D117">
        <f>VLOOKUP($B117,Sheet3!$B:$G,3,0)</f>
        <v>95</v>
      </c>
      <c r="E117">
        <f>VLOOKUP($B117,Sheet3!$B:$G,4,0)</f>
        <v>104.5</v>
      </c>
      <c r="F117">
        <f>VLOOKUP($B117,Sheet3!$B:$G,6,0)</f>
        <v>68</v>
      </c>
      <c r="G117">
        <f>VLOOKUP($B117,Sheet3!$B:$G,5,0)</f>
        <v>59</v>
      </c>
    </row>
    <row r="118" spans="1:7">
      <c r="A118">
        <v>240334</v>
      </c>
      <c r="B118" t="s">
        <v>124</v>
      </c>
      <c r="C118">
        <f>VLOOKUP($B118,Sheet3!$B:$G,2,0)</f>
        <v>92</v>
      </c>
      <c r="D118">
        <f>VLOOKUP($B118,Sheet3!$B:$G,3,0)</f>
        <v>61</v>
      </c>
      <c r="E118">
        <f>VLOOKUP($B118,Sheet3!$B:$G,4,0)</f>
        <v>94</v>
      </c>
      <c r="F118">
        <f>VLOOKUP($B118,Sheet3!$B:$G,6,0)</f>
        <v>69</v>
      </c>
      <c r="G118">
        <f>VLOOKUP($B118,Sheet3!$B:$G,5,0)</f>
        <v>56</v>
      </c>
    </row>
    <row r="119" spans="1:7">
      <c r="A119">
        <v>240335</v>
      </c>
      <c r="B119" t="s">
        <v>125</v>
      </c>
      <c r="C119">
        <f>VLOOKUP($B119,Sheet3!$B:$G,2,0)</f>
        <v>82</v>
      </c>
      <c r="D119">
        <f>VLOOKUP($B119,Sheet3!$B:$G,3,0)</f>
        <v>85</v>
      </c>
      <c r="E119">
        <f>VLOOKUP($B119,Sheet3!$B:$G,4,0)</f>
        <v>73</v>
      </c>
      <c r="F119">
        <f>VLOOKUP($B119,Sheet3!$B:$G,6,0)</f>
        <v>60</v>
      </c>
      <c r="G119">
        <f>VLOOKUP($B119,Sheet3!$B:$G,5,0)</f>
        <v>72</v>
      </c>
    </row>
    <row r="120" spans="1:7">
      <c r="A120">
        <v>240336</v>
      </c>
      <c r="B120" t="s">
        <v>126</v>
      </c>
      <c r="C120">
        <f>VLOOKUP($B120,Sheet3!$B:$G,2,0)</f>
        <v>99</v>
      </c>
      <c r="D120">
        <f>VLOOKUP($B120,Sheet3!$B:$G,3,0)</f>
        <v>96</v>
      </c>
      <c r="E120">
        <f>VLOOKUP($B120,Sheet3!$B:$G,4,0)</f>
        <v>102.5</v>
      </c>
      <c r="F120">
        <f>VLOOKUP($B120,Sheet3!$B:$G,6,0)</f>
        <v>88</v>
      </c>
      <c r="G120">
        <f>VLOOKUP($B120,Sheet3!$B:$G,5,0)</f>
        <v>76</v>
      </c>
    </row>
    <row r="121" spans="1:7">
      <c r="A121">
        <v>240337</v>
      </c>
      <c r="B121" t="s">
        <v>127</v>
      </c>
      <c r="C121">
        <f>VLOOKUP($B121,Sheet3!$B:$G,2,0)</f>
        <v>106</v>
      </c>
      <c r="D121">
        <f>VLOOKUP($B121,Sheet3!$B:$G,3,0)</f>
        <v>79</v>
      </c>
      <c r="E121">
        <f>VLOOKUP($B121,Sheet3!$B:$G,4,0)</f>
        <v>103.5</v>
      </c>
      <c r="F121">
        <f>VLOOKUP($B121,Sheet3!$B:$G,6,0)</f>
        <v>88</v>
      </c>
      <c r="G121">
        <f>VLOOKUP($B121,Sheet3!$B:$G,5,0)</f>
        <v>69</v>
      </c>
    </row>
    <row r="122" spans="1:7">
      <c r="A122">
        <v>240338</v>
      </c>
      <c r="B122" t="s">
        <v>128</v>
      </c>
      <c r="C122">
        <f>VLOOKUP($B122,Sheet3!$B:$G,2,0)</f>
        <v>88</v>
      </c>
      <c r="D122">
        <f>VLOOKUP($B122,Sheet3!$B:$G,3,0)</f>
        <v>50</v>
      </c>
      <c r="E122">
        <f>VLOOKUP($B122,Sheet3!$B:$G,4,0)</f>
        <v>96.5</v>
      </c>
      <c r="F122">
        <f>VLOOKUP($B122,Sheet3!$B:$G,6,0)</f>
        <v>85</v>
      </c>
      <c r="G122">
        <f>VLOOKUP($B122,Sheet3!$B:$G,5,0)</f>
        <v>62</v>
      </c>
    </row>
    <row r="123" spans="1:7">
      <c r="A123">
        <v>240339</v>
      </c>
      <c r="B123" t="s">
        <v>129</v>
      </c>
      <c r="C123">
        <f>VLOOKUP($B123,Sheet3!$B:$G,2,0)</f>
        <v>84</v>
      </c>
      <c r="D123">
        <f>VLOOKUP($B123,Sheet3!$B:$G,3,0)</f>
        <v>47</v>
      </c>
      <c r="E123">
        <f>VLOOKUP($B123,Sheet3!$B:$G,4,0)</f>
        <v>80</v>
      </c>
      <c r="F123">
        <f>VLOOKUP($B123,Sheet3!$B:$G,6,0)</f>
        <v>71</v>
      </c>
      <c r="G123">
        <f>VLOOKUP($B123,Sheet3!$B:$G,5,0)</f>
        <v>70</v>
      </c>
    </row>
    <row r="124" spans="1:7">
      <c r="A124">
        <v>240340</v>
      </c>
      <c r="B124" t="s">
        <v>130</v>
      </c>
      <c r="C124">
        <f>VLOOKUP($B124,Sheet3!$B:$G,2,0)</f>
        <v>86</v>
      </c>
      <c r="D124">
        <f>VLOOKUP($B124,Sheet3!$B:$G,3,0)</f>
        <v>65</v>
      </c>
      <c r="E124">
        <f>VLOOKUP($B124,Sheet3!$B:$G,4,0)</f>
        <v>63</v>
      </c>
      <c r="F124">
        <f>VLOOKUP($B124,Sheet3!$B:$G,6,0)</f>
        <v>59</v>
      </c>
      <c r="G124">
        <f>VLOOKUP($B124,Sheet3!$B:$G,5,0)</f>
        <v>53</v>
      </c>
    </row>
    <row r="125" spans="1:7">
      <c r="A125">
        <v>240341</v>
      </c>
      <c r="B125" t="s">
        <v>131</v>
      </c>
      <c r="C125">
        <f>VLOOKUP($B125,Sheet3!$B:$G,2,0)</f>
        <v>93</v>
      </c>
      <c r="D125">
        <f>VLOOKUP($B125,Sheet3!$B:$G,3,0)</f>
        <v>81</v>
      </c>
      <c r="E125">
        <f>VLOOKUP($B125,Sheet3!$B:$G,4,0)</f>
        <v>100</v>
      </c>
      <c r="F125">
        <f>VLOOKUP($B125,Sheet3!$B:$G,6,0)</f>
        <v>75</v>
      </c>
      <c r="G125">
        <f>VLOOKUP($B125,Sheet3!$B:$G,5,0)</f>
        <v>55</v>
      </c>
    </row>
    <row r="126" spans="1:7">
      <c r="A126">
        <v>241423</v>
      </c>
      <c r="B126" t="s">
        <v>132</v>
      </c>
      <c r="C126">
        <f>VLOOKUP($B126,Sheet3!$B:$G,2,0)</f>
        <v>84</v>
      </c>
      <c r="D126">
        <f>VLOOKUP($B126,Sheet3!$B:$G,3,0)</f>
        <v>91</v>
      </c>
      <c r="E126">
        <f>VLOOKUP($B126,Sheet3!$B:$G,4,0)</f>
        <v>101.5</v>
      </c>
      <c r="F126">
        <f>VLOOKUP($B126,Sheet3!$B:$G,6,0)</f>
        <v>79</v>
      </c>
      <c r="G126">
        <f>VLOOKUP($B126,Sheet3!$B:$G,5,0)</f>
        <v>73</v>
      </c>
    </row>
    <row r="127" spans="1:7">
      <c r="A127">
        <v>240401</v>
      </c>
      <c r="B127" t="s">
        <v>133</v>
      </c>
      <c r="C127">
        <f>VLOOKUP($B127,Sheet3!$B:$G,2,0)</f>
        <v>80</v>
      </c>
      <c r="D127">
        <f>VLOOKUP($B127,Sheet3!$B:$G,3,0)</f>
        <v>46</v>
      </c>
      <c r="E127">
        <f>VLOOKUP($B127,Sheet3!$B:$G,4,0)</f>
        <v>75.5</v>
      </c>
      <c r="F127">
        <f>VLOOKUP($B127,Sheet3!$B:$G,6,0)</f>
        <v>65</v>
      </c>
      <c r="G127">
        <f>VLOOKUP($B127,Sheet3!$B:$G,5,0)</f>
        <v>42</v>
      </c>
    </row>
    <row r="128" spans="1:7">
      <c r="A128">
        <v>240402</v>
      </c>
      <c r="B128" t="s">
        <v>134</v>
      </c>
      <c r="C128">
        <f>VLOOKUP($B128,Sheet3!$B:$G,2,0)</f>
        <v>78</v>
      </c>
      <c r="D128">
        <f>VLOOKUP($B128,Sheet3!$B:$G,3,0)</f>
        <v>75</v>
      </c>
      <c r="E128">
        <f>VLOOKUP($B128,Sheet3!$B:$G,4,0)</f>
        <v>86</v>
      </c>
      <c r="F128">
        <f>VLOOKUP($B128,Sheet3!$B:$G,6,0)</f>
        <v>65</v>
      </c>
      <c r="G128">
        <f>VLOOKUP($B128,Sheet3!$B:$G,5,0)</f>
        <v>51</v>
      </c>
    </row>
    <row r="129" spans="1:7">
      <c r="A129">
        <v>240403</v>
      </c>
      <c r="B129" t="s">
        <v>135</v>
      </c>
      <c r="C129">
        <f>VLOOKUP($B129,Sheet3!$B:$G,2,0)</f>
        <v>82</v>
      </c>
      <c r="D129">
        <f>VLOOKUP($B129,Sheet3!$B:$G,3,0)</f>
        <v>61</v>
      </c>
      <c r="E129">
        <f>VLOOKUP($B129,Sheet3!$B:$G,4,0)</f>
        <v>80.5</v>
      </c>
      <c r="F129">
        <f>VLOOKUP($B129,Sheet3!$B:$G,6,0)</f>
        <v>78</v>
      </c>
      <c r="G129">
        <f>VLOOKUP($B129,Sheet3!$B:$G,5,0)</f>
        <v>59</v>
      </c>
    </row>
    <row r="130" spans="1:7">
      <c r="A130">
        <v>240404</v>
      </c>
      <c r="B130" t="s">
        <v>136</v>
      </c>
      <c r="C130">
        <f>VLOOKUP($B130,Sheet3!$B:$G,2,0)</f>
        <v>81</v>
      </c>
      <c r="D130">
        <f>VLOOKUP($B130,Sheet3!$B:$G,3,0)</f>
        <v>67</v>
      </c>
      <c r="E130">
        <f>VLOOKUP($B130,Sheet3!$B:$G,4,0)</f>
        <v>97.5</v>
      </c>
      <c r="F130">
        <f>VLOOKUP($B130,Sheet3!$B:$G,6,0)</f>
        <v>48</v>
      </c>
      <c r="G130">
        <f>VLOOKUP($B130,Sheet3!$B:$G,5,0)</f>
        <v>40</v>
      </c>
    </row>
    <row r="131" spans="1:7">
      <c r="A131">
        <v>240405</v>
      </c>
      <c r="B131" t="s">
        <v>137</v>
      </c>
      <c r="C131">
        <f>VLOOKUP($B131,Sheet3!$B:$G,2,0)</f>
        <v>105</v>
      </c>
      <c r="D131">
        <f>VLOOKUP($B131,Sheet3!$B:$G,3,0)</f>
        <v>83</v>
      </c>
      <c r="E131">
        <f>VLOOKUP($B131,Sheet3!$B:$G,4,0)</f>
        <v>110.5</v>
      </c>
      <c r="F131">
        <f>VLOOKUP($B131,Sheet3!$B:$G,6,0)</f>
        <v>75</v>
      </c>
      <c r="G131">
        <f>VLOOKUP($B131,Sheet3!$B:$G,5,0)</f>
        <v>74</v>
      </c>
    </row>
    <row r="132" spans="1:7">
      <c r="A132">
        <v>240406</v>
      </c>
      <c r="B132" t="s">
        <v>138</v>
      </c>
      <c r="C132">
        <f>VLOOKUP($B132,Sheet3!$B:$G,2,0)</f>
        <v>98</v>
      </c>
      <c r="D132">
        <f>VLOOKUP($B132,Sheet3!$B:$G,3,0)</f>
        <v>76</v>
      </c>
      <c r="E132">
        <f>VLOOKUP($B132,Sheet3!$B:$G,4,0)</f>
        <v>99.5</v>
      </c>
      <c r="F132">
        <f>VLOOKUP($B132,Sheet3!$B:$G,6,0)</f>
        <v>74</v>
      </c>
      <c r="G132">
        <f>VLOOKUP($B132,Sheet3!$B:$G,5,0)</f>
        <v>83</v>
      </c>
    </row>
    <row r="133" spans="1:7">
      <c r="A133">
        <v>240407</v>
      </c>
      <c r="B133" t="s">
        <v>139</v>
      </c>
      <c r="C133">
        <f>VLOOKUP($B133,Sheet3!$B:$G,2,0)</f>
        <v>79</v>
      </c>
      <c r="D133">
        <f>VLOOKUP($B133,Sheet3!$B:$G,3,0)</f>
        <v>21</v>
      </c>
      <c r="E133">
        <f>VLOOKUP($B133,Sheet3!$B:$G,4,0)</f>
        <v>59</v>
      </c>
      <c r="F133">
        <f>VLOOKUP($B133,Sheet3!$B:$G,6,0)</f>
        <v>61</v>
      </c>
      <c r="G133">
        <f>VLOOKUP($B133,Sheet3!$B:$G,5,0)</f>
        <v>34</v>
      </c>
    </row>
    <row r="134" spans="1:7">
      <c r="A134">
        <v>240408</v>
      </c>
      <c r="B134" t="s">
        <v>140</v>
      </c>
      <c r="C134">
        <f>VLOOKUP($B134,Sheet3!$B:$G,2,0)</f>
        <v>62</v>
      </c>
      <c r="D134">
        <f>VLOOKUP($B134,Sheet3!$B:$G,3,0)</f>
        <v>53</v>
      </c>
      <c r="E134">
        <f>VLOOKUP($B134,Sheet3!$B:$G,4,0)</f>
        <v>78.5</v>
      </c>
      <c r="F134">
        <f>VLOOKUP($B134,Sheet3!$B:$G,6,0)</f>
        <v>67</v>
      </c>
      <c r="G134">
        <f>VLOOKUP($B134,Sheet3!$B:$G,5,0)</f>
        <v>67</v>
      </c>
    </row>
    <row r="135" spans="1:7">
      <c r="A135">
        <v>240409</v>
      </c>
      <c r="B135" t="s">
        <v>141</v>
      </c>
      <c r="C135">
        <f>VLOOKUP($B135,Sheet3!$B:$G,2,0)</f>
        <v>88</v>
      </c>
      <c r="D135">
        <f>VLOOKUP($B135,Sheet3!$B:$G,3,0)</f>
        <v>88</v>
      </c>
      <c r="E135">
        <f>VLOOKUP($B135,Sheet3!$B:$G,4,0)</f>
        <v>100.5</v>
      </c>
      <c r="F135">
        <f>VLOOKUP($B135,Sheet3!$B:$G,6,0)</f>
        <v>61</v>
      </c>
      <c r="G135">
        <f>VLOOKUP($B135,Sheet3!$B:$G,5,0)</f>
        <v>68</v>
      </c>
    </row>
    <row r="136" spans="1:7">
      <c r="A136">
        <v>240410</v>
      </c>
      <c r="B136" t="s">
        <v>142</v>
      </c>
      <c r="C136">
        <f>VLOOKUP($B136,Sheet3!$B:$G,2,0)</f>
        <v>88</v>
      </c>
      <c r="D136">
        <f>VLOOKUP($B136,Sheet3!$B:$G,3,0)</f>
        <v>67</v>
      </c>
      <c r="E136">
        <f>VLOOKUP($B136,Sheet3!$B:$G,4,0)</f>
        <v>85.5</v>
      </c>
      <c r="F136">
        <f>VLOOKUP($B136,Sheet3!$B:$G,6,0)</f>
        <v>69</v>
      </c>
      <c r="G136">
        <f>VLOOKUP($B136,Sheet3!$B:$G,5,0)</f>
        <v>44</v>
      </c>
    </row>
    <row r="137" spans="1:7">
      <c r="A137">
        <v>240411</v>
      </c>
      <c r="B137" t="s">
        <v>143</v>
      </c>
      <c r="C137">
        <f>VLOOKUP($B137,Sheet3!$B:$G,2,0)</f>
        <v>96</v>
      </c>
      <c r="D137">
        <f>VLOOKUP($B137,Sheet3!$B:$G,3,0)</f>
        <v>106</v>
      </c>
      <c r="E137">
        <f>VLOOKUP($B137,Sheet3!$B:$G,4,0)</f>
        <v>109</v>
      </c>
      <c r="F137">
        <f>VLOOKUP($B137,Sheet3!$B:$G,6,0)</f>
        <v>83</v>
      </c>
      <c r="G137">
        <f>VLOOKUP($B137,Sheet3!$B:$G,5,0)</f>
        <v>62</v>
      </c>
    </row>
    <row r="138" spans="1:7">
      <c r="A138">
        <v>240412</v>
      </c>
      <c r="B138" t="s">
        <v>144</v>
      </c>
      <c r="C138">
        <f>VLOOKUP($B138,Sheet3!$B:$G,2,0)</f>
        <v>91</v>
      </c>
      <c r="D138">
        <f>VLOOKUP($B138,Sheet3!$B:$G,3,0)</f>
        <v>97</v>
      </c>
      <c r="E138">
        <f>VLOOKUP($B138,Sheet3!$B:$G,4,0)</f>
        <v>112.5</v>
      </c>
      <c r="F138">
        <f>VLOOKUP($B138,Sheet3!$B:$G,6,0)</f>
        <v>80</v>
      </c>
      <c r="G138">
        <f>VLOOKUP($B138,Sheet3!$B:$G,5,0)</f>
        <v>78</v>
      </c>
    </row>
    <row r="139" spans="1:7">
      <c r="A139">
        <v>240413</v>
      </c>
      <c r="B139" t="s">
        <v>145</v>
      </c>
      <c r="C139">
        <f>VLOOKUP($B139,Sheet3!$B:$G,2,0)</f>
        <v>85</v>
      </c>
      <c r="D139">
        <f>VLOOKUP($B139,Sheet3!$B:$G,3,0)</f>
        <v>104</v>
      </c>
      <c r="E139">
        <f>VLOOKUP($B139,Sheet3!$B:$G,4,0)</f>
        <v>89</v>
      </c>
      <c r="F139">
        <f>VLOOKUP($B139,Sheet3!$B:$G,6,0)</f>
        <v>76</v>
      </c>
      <c r="G139">
        <f>VLOOKUP($B139,Sheet3!$B:$G,5,0)</f>
        <v>72</v>
      </c>
    </row>
    <row r="140" spans="1:7">
      <c r="A140">
        <v>240414</v>
      </c>
      <c r="B140" t="s">
        <v>146</v>
      </c>
      <c r="C140">
        <f>VLOOKUP($B140,Sheet3!$B:$G,2,0)</f>
        <v>86</v>
      </c>
      <c r="D140">
        <f>VLOOKUP($B140,Sheet3!$B:$G,3,0)</f>
        <v>88</v>
      </c>
      <c r="E140">
        <f>VLOOKUP($B140,Sheet3!$B:$G,4,0)</f>
        <v>86</v>
      </c>
      <c r="F140">
        <f>VLOOKUP($B140,Sheet3!$B:$G,6,0)</f>
        <v>60</v>
      </c>
      <c r="G140">
        <f>VLOOKUP($B140,Sheet3!$B:$G,5,0)</f>
        <v>66</v>
      </c>
    </row>
    <row r="141" spans="1:7">
      <c r="A141">
        <v>240415</v>
      </c>
      <c r="B141" t="s">
        <v>147</v>
      </c>
      <c r="C141">
        <f>VLOOKUP($B141,Sheet3!$B:$G,2,0)</f>
        <v>89</v>
      </c>
      <c r="D141">
        <f>VLOOKUP($B141,Sheet3!$B:$G,3,0)</f>
        <v>57</v>
      </c>
      <c r="E141">
        <f>VLOOKUP($B141,Sheet3!$B:$G,4,0)</f>
        <v>58.5</v>
      </c>
      <c r="F141">
        <f>VLOOKUP($B141,Sheet3!$B:$G,6,0)</f>
        <v>62</v>
      </c>
      <c r="G141">
        <f>VLOOKUP($B141,Sheet3!$B:$G,5,0)</f>
        <v>71</v>
      </c>
    </row>
    <row r="142" spans="1:7">
      <c r="A142">
        <v>240416</v>
      </c>
      <c r="B142" t="s">
        <v>148</v>
      </c>
      <c r="C142">
        <f>VLOOKUP($B142,Sheet3!$B:$G,2,0)</f>
        <v>85</v>
      </c>
      <c r="D142">
        <f>VLOOKUP($B142,Sheet3!$B:$G,3,0)</f>
        <v>98</v>
      </c>
      <c r="E142">
        <f>VLOOKUP($B142,Sheet3!$B:$G,4,0)</f>
        <v>79.5</v>
      </c>
      <c r="F142">
        <f>VLOOKUP($B142,Sheet3!$B:$G,6,0)</f>
        <v>78</v>
      </c>
      <c r="G142">
        <f>VLOOKUP($B142,Sheet3!$B:$G,5,0)</f>
        <v>77</v>
      </c>
    </row>
    <row r="143" spans="1:7">
      <c r="A143">
        <v>240417</v>
      </c>
      <c r="B143" t="s">
        <v>149</v>
      </c>
      <c r="C143">
        <f>VLOOKUP($B143,Sheet3!$B:$G,2,0)</f>
        <v>71</v>
      </c>
      <c r="D143">
        <f>VLOOKUP($B143,Sheet3!$B:$G,3,0)</f>
        <v>74</v>
      </c>
      <c r="E143">
        <f>VLOOKUP($B143,Sheet3!$B:$G,4,0)</f>
        <v>53</v>
      </c>
      <c r="F143">
        <f>VLOOKUP($B143,Sheet3!$B:$G,6,0)</f>
        <v>54</v>
      </c>
      <c r="G143">
        <f>VLOOKUP($B143,Sheet3!$B:$G,5,0)</f>
        <v>50</v>
      </c>
    </row>
    <row r="144" spans="1:7">
      <c r="A144">
        <v>240418</v>
      </c>
      <c r="B144" t="s">
        <v>150</v>
      </c>
      <c r="C144">
        <f>VLOOKUP($B144,Sheet3!$B:$G,2,0)</f>
        <v>81</v>
      </c>
      <c r="D144">
        <f>VLOOKUP($B144,Sheet3!$B:$G,3,0)</f>
        <v>82</v>
      </c>
      <c r="E144">
        <f>VLOOKUP($B144,Sheet3!$B:$G,4,0)</f>
        <v>93.5</v>
      </c>
      <c r="F144">
        <f>VLOOKUP($B144,Sheet3!$B:$G,6,0)</f>
        <v>80</v>
      </c>
      <c r="G144">
        <f>VLOOKUP($B144,Sheet3!$B:$G,5,0)</f>
        <v>69</v>
      </c>
    </row>
    <row r="145" spans="1:7">
      <c r="A145">
        <v>240419</v>
      </c>
      <c r="B145" t="s">
        <v>151</v>
      </c>
      <c r="C145">
        <f>VLOOKUP($B145,Sheet3!$B:$G,2,0)</f>
        <v>84</v>
      </c>
      <c r="D145">
        <f>VLOOKUP($B145,Sheet3!$B:$G,3,0)</f>
        <v>68</v>
      </c>
      <c r="E145">
        <f>VLOOKUP($B145,Sheet3!$B:$G,4,0)</f>
        <v>101</v>
      </c>
      <c r="F145">
        <f>VLOOKUP($B145,Sheet3!$B:$G,6,0)</f>
        <v>45</v>
      </c>
      <c r="G145">
        <f>VLOOKUP($B145,Sheet3!$B:$G,5,0)</f>
        <v>57</v>
      </c>
    </row>
    <row r="146" spans="1:7">
      <c r="A146">
        <v>240420</v>
      </c>
      <c r="B146" t="s">
        <v>152</v>
      </c>
      <c r="C146">
        <f>VLOOKUP($B146,Sheet3!$B:$G,2,0)</f>
        <v>89</v>
      </c>
      <c r="D146">
        <f>VLOOKUP($B146,Sheet3!$B:$G,3,0)</f>
        <v>59</v>
      </c>
      <c r="E146">
        <f>VLOOKUP($B146,Sheet3!$B:$G,4,0)</f>
        <v>94.5</v>
      </c>
      <c r="F146">
        <f>VLOOKUP($B146,Sheet3!$B:$G,6,0)</f>
        <v>88</v>
      </c>
      <c r="G146">
        <f>VLOOKUP($B146,Sheet3!$B:$G,5,0)</f>
        <v>53</v>
      </c>
    </row>
    <row r="147" spans="1:7">
      <c r="A147">
        <v>240421</v>
      </c>
      <c r="B147" t="s">
        <v>153</v>
      </c>
      <c r="C147">
        <f>VLOOKUP($B147,Sheet3!$B:$G,2,0)</f>
        <v>97</v>
      </c>
      <c r="D147">
        <f>VLOOKUP($B147,Sheet3!$B:$G,3,0)</f>
        <v>98</v>
      </c>
      <c r="E147">
        <f>VLOOKUP($B147,Sheet3!$B:$G,4,0)</f>
        <v>106.5</v>
      </c>
      <c r="F147">
        <f>VLOOKUP($B147,Sheet3!$B:$G,6,0)</f>
        <v>79</v>
      </c>
      <c r="G147">
        <f>VLOOKUP($B147,Sheet3!$B:$G,5,0)</f>
        <v>70</v>
      </c>
    </row>
    <row r="148" spans="1:7">
      <c r="A148">
        <v>240422</v>
      </c>
      <c r="B148" t="s">
        <v>154</v>
      </c>
      <c r="C148">
        <f>VLOOKUP($B148,Sheet3!$B:$G,2,0)</f>
        <v>75</v>
      </c>
      <c r="D148">
        <f>VLOOKUP($B148,Sheet3!$B:$G,3,0)</f>
        <v>95</v>
      </c>
      <c r="E148">
        <f>VLOOKUP($B148,Sheet3!$B:$G,4,0)</f>
        <v>99</v>
      </c>
      <c r="F148">
        <f>VLOOKUP($B148,Sheet3!$B:$G,6,0)</f>
        <v>77</v>
      </c>
      <c r="G148">
        <f>VLOOKUP($B148,Sheet3!$B:$G,5,0)</f>
        <v>69</v>
      </c>
    </row>
    <row r="149" spans="1:7">
      <c r="A149">
        <v>240423</v>
      </c>
      <c r="B149" t="s">
        <v>155</v>
      </c>
      <c r="C149">
        <f>VLOOKUP($B149,Sheet3!$B:$G,2,0)</f>
        <v>85</v>
      </c>
      <c r="D149">
        <f>VLOOKUP($B149,Sheet3!$B:$G,3,0)</f>
        <v>69</v>
      </c>
      <c r="E149">
        <f>VLOOKUP($B149,Sheet3!$B:$G,4,0)</f>
        <v>94.5</v>
      </c>
      <c r="F149">
        <f>VLOOKUP($B149,Sheet3!$B:$G,6,0)</f>
        <v>56</v>
      </c>
      <c r="G149">
        <f>VLOOKUP($B149,Sheet3!$B:$G,5,0)</f>
        <v>54</v>
      </c>
    </row>
    <row r="150" spans="1:7">
      <c r="A150">
        <v>240424</v>
      </c>
      <c r="B150" t="s">
        <v>156</v>
      </c>
      <c r="C150">
        <f>VLOOKUP($B150,Sheet3!$B:$G,2,0)</f>
        <v>79</v>
      </c>
      <c r="D150">
        <f>VLOOKUP($B150,Sheet3!$B:$G,3,0)</f>
        <v>81</v>
      </c>
      <c r="E150">
        <f>VLOOKUP($B150,Sheet3!$B:$G,4,0)</f>
        <v>91</v>
      </c>
      <c r="F150">
        <f>VLOOKUP($B150,Sheet3!$B:$G,6,0)</f>
        <v>73</v>
      </c>
      <c r="G150">
        <f>VLOOKUP($B150,Sheet3!$B:$G,5,0)</f>
        <v>62</v>
      </c>
    </row>
    <row r="151" spans="1:7">
      <c r="A151">
        <v>240425</v>
      </c>
      <c r="B151" t="s">
        <v>157</v>
      </c>
      <c r="C151">
        <f>VLOOKUP($B151,Sheet3!$B:$G,2,0)</f>
        <v>90</v>
      </c>
      <c r="D151">
        <f>VLOOKUP($B151,Sheet3!$B:$G,3,0)</f>
        <v>77</v>
      </c>
      <c r="E151">
        <f>VLOOKUP($B151,Sheet3!$B:$G,4,0)</f>
        <v>87.5</v>
      </c>
      <c r="F151">
        <f>VLOOKUP($B151,Sheet3!$B:$G,6,0)</f>
        <v>67</v>
      </c>
      <c r="G151">
        <f>VLOOKUP($B151,Sheet3!$B:$G,5,0)</f>
        <v>71</v>
      </c>
    </row>
    <row r="152" spans="1:7">
      <c r="A152">
        <v>240426</v>
      </c>
      <c r="B152" t="s">
        <v>158</v>
      </c>
      <c r="C152">
        <f>VLOOKUP($B152,Sheet3!$B:$G,2,0)</f>
        <v>64</v>
      </c>
      <c r="D152">
        <f>VLOOKUP($B152,Sheet3!$B:$G,3,0)</f>
        <v>36</v>
      </c>
      <c r="E152">
        <f>VLOOKUP($B152,Sheet3!$B:$G,4,0)</f>
        <v>70.5</v>
      </c>
      <c r="F152">
        <f>VLOOKUP($B152,Sheet3!$B:$G,6,0)</f>
        <v>44</v>
      </c>
      <c r="G152">
        <f>VLOOKUP($B152,Sheet3!$B:$G,5,0)</f>
        <v>44</v>
      </c>
    </row>
    <row r="153" spans="1:7">
      <c r="A153">
        <v>240427</v>
      </c>
      <c r="B153" t="s">
        <v>159</v>
      </c>
      <c r="C153">
        <f>VLOOKUP($B153,Sheet3!$B:$G,2,0)</f>
        <v>86</v>
      </c>
      <c r="D153">
        <f>VLOOKUP($B153,Sheet3!$B:$G,3,0)</f>
        <v>91</v>
      </c>
      <c r="E153">
        <f>VLOOKUP($B153,Sheet3!$B:$G,4,0)</f>
        <v>65.5</v>
      </c>
      <c r="F153">
        <f>VLOOKUP($B153,Sheet3!$B:$G,6,0)</f>
        <v>62</v>
      </c>
      <c r="G153">
        <f>VLOOKUP($B153,Sheet3!$B:$G,5,0)</f>
        <v>70</v>
      </c>
    </row>
    <row r="154" spans="1:7">
      <c r="A154">
        <v>240428</v>
      </c>
      <c r="B154" t="s">
        <v>160</v>
      </c>
      <c r="C154">
        <f>VLOOKUP($B154,Sheet3!$B:$G,2,0)</f>
        <v>97</v>
      </c>
      <c r="D154">
        <f>VLOOKUP($B154,Sheet3!$B:$G,3,0)</f>
        <v>102</v>
      </c>
      <c r="E154">
        <f>VLOOKUP($B154,Sheet3!$B:$G,4,0)</f>
        <v>106</v>
      </c>
      <c r="F154">
        <f>VLOOKUP($B154,Sheet3!$B:$G,6,0)</f>
        <v>88</v>
      </c>
      <c r="G154">
        <f>VLOOKUP($B154,Sheet3!$B:$G,5,0)</f>
        <v>86</v>
      </c>
    </row>
    <row r="155" spans="1:7">
      <c r="A155">
        <v>240429</v>
      </c>
      <c r="B155" t="s">
        <v>161</v>
      </c>
      <c r="C155">
        <f>VLOOKUP($B155,Sheet3!$B:$G,2,0)</f>
        <v>97</v>
      </c>
      <c r="D155">
        <f>VLOOKUP($B155,Sheet3!$B:$G,3,0)</f>
        <v>93</v>
      </c>
      <c r="E155">
        <f>VLOOKUP($B155,Sheet3!$B:$G,4,0)</f>
        <v>106</v>
      </c>
      <c r="F155">
        <f>VLOOKUP($B155,Sheet3!$B:$G,6,0)</f>
        <v>68</v>
      </c>
      <c r="G155">
        <f>VLOOKUP($B155,Sheet3!$B:$G,5,0)</f>
        <v>78</v>
      </c>
    </row>
    <row r="156" spans="1:7">
      <c r="A156">
        <v>240430</v>
      </c>
      <c r="B156" t="s">
        <v>162</v>
      </c>
      <c r="C156">
        <f>VLOOKUP($B156,Sheet3!$B:$G,2,0)</f>
        <v>81</v>
      </c>
      <c r="D156">
        <f>VLOOKUP($B156,Sheet3!$B:$G,3,0)</f>
        <v>91</v>
      </c>
      <c r="E156">
        <f>VLOOKUP($B156,Sheet3!$B:$G,4,0)</f>
        <v>100</v>
      </c>
      <c r="F156">
        <f>VLOOKUP($B156,Sheet3!$B:$G,6,0)</f>
        <v>67</v>
      </c>
      <c r="G156">
        <f>VLOOKUP($B156,Sheet3!$B:$G,5,0)</f>
        <v>68</v>
      </c>
    </row>
    <row r="157" spans="1:7">
      <c r="A157">
        <v>240431</v>
      </c>
      <c r="B157" t="s">
        <v>163</v>
      </c>
      <c r="C157">
        <f>VLOOKUP($B157,Sheet3!$B:$G,2,0)</f>
        <v>86</v>
      </c>
      <c r="D157">
        <f>VLOOKUP($B157,Sheet3!$B:$G,3,0)</f>
        <v>69</v>
      </c>
      <c r="E157">
        <f>VLOOKUP($B157,Sheet3!$B:$G,4,0)</f>
        <v>78.5</v>
      </c>
      <c r="F157">
        <f>VLOOKUP($B157,Sheet3!$B:$G,6,0)</f>
        <v>70</v>
      </c>
      <c r="G157">
        <f>VLOOKUP($B157,Sheet3!$B:$G,5,0)</f>
        <v>48</v>
      </c>
    </row>
    <row r="158" spans="1:7">
      <c r="A158">
        <v>240432</v>
      </c>
      <c r="B158" t="s">
        <v>164</v>
      </c>
      <c r="C158">
        <f>VLOOKUP($B158,Sheet3!$B:$G,2,0)</f>
        <v>84</v>
      </c>
      <c r="D158">
        <f>VLOOKUP($B158,Sheet3!$B:$G,3,0)</f>
        <v>72</v>
      </c>
      <c r="E158">
        <f>VLOOKUP($B158,Sheet3!$B:$G,4,0)</f>
        <v>89</v>
      </c>
      <c r="F158">
        <f>VLOOKUP($B158,Sheet3!$B:$G,6,0)</f>
        <v>77</v>
      </c>
      <c r="G158">
        <f>VLOOKUP($B158,Sheet3!$B:$G,5,0)</f>
        <v>69</v>
      </c>
    </row>
    <row r="159" spans="1:7">
      <c r="A159">
        <v>240433</v>
      </c>
      <c r="B159" t="s">
        <v>165</v>
      </c>
      <c r="C159">
        <f>VLOOKUP($B159,Sheet3!$B:$G,2,0)</f>
        <v>92</v>
      </c>
      <c r="D159">
        <f>VLOOKUP($B159,Sheet3!$B:$G,3,0)</f>
        <v>91</v>
      </c>
      <c r="E159">
        <f>VLOOKUP($B159,Sheet3!$B:$G,4,0)</f>
        <v>99</v>
      </c>
      <c r="F159">
        <f>VLOOKUP($B159,Sheet3!$B:$G,6,0)</f>
        <v>81</v>
      </c>
      <c r="G159">
        <f>VLOOKUP($B159,Sheet3!$B:$G,5,0)</f>
        <v>73</v>
      </c>
    </row>
    <row r="160" spans="1:7">
      <c r="A160">
        <v>240434</v>
      </c>
      <c r="B160" t="s">
        <v>166</v>
      </c>
      <c r="C160">
        <f>VLOOKUP($B160,Sheet3!$B:$G,2,0)</f>
        <v>85</v>
      </c>
      <c r="D160">
        <f>VLOOKUP($B160,Sheet3!$B:$G,3,0)</f>
        <v>89</v>
      </c>
      <c r="E160">
        <f>VLOOKUP($B160,Sheet3!$B:$G,4,0)</f>
        <v>90</v>
      </c>
      <c r="F160">
        <f>VLOOKUP($B160,Sheet3!$B:$G,6,0)</f>
        <v>64</v>
      </c>
      <c r="G160">
        <f>VLOOKUP($B160,Sheet3!$B:$G,5,0)</f>
        <v>69</v>
      </c>
    </row>
    <row r="161" spans="1:7">
      <c r="A161">
        <v>240435</v>
      </c>
      <c r="B161" t="s">
        <v>167</v>
      </c>
      <c r="C161">
        <f>VLOOKUP($B161,Sheet3!$B:$G,2,0)</f>
        <v>90</v>
      </c>
      <c r="D161">
        <f>VLOOKUP($B161,Sheet3!$B:$G,3,0)</f>
        <v>72</v>
      </c>
      <c r="E161">
        <f>VLOOKUP($B161,Sheet3!$B:$G,4,0)</f>
        <v>100.5</v>
      </c>
      <c r="F161">
        <f>VLOOKUP($B161,Sheet3!$B:$G,6,0)</f>
        <v>80</v>
      </c>
      <c r="G161">
        <f>VLOOKUP($B161,Sheet3!$B:$G,5,0)</f>
        <v>77</v>
      </c>
    </row>
    <row r="162" spans="1:7">
      <c r="A162">
        <v>240436</v>
      </c>
      <c r="B162" t="s">
        <v>168</v>
      </c>
      <c r="C162">
        <f>VLOOKUP($B162,Sheet3!$B:$G,2,0)</f>
        <v>74</v>
      </c>
      <c r="D162">
        <f>VLOOKUP($B162,Sheet3!$B:$G,3,0)</f>
        <v>76</v>
      </c>
      <c r="E162">
        <f>VLOOKUP($B162,Sheet3!$B:$G,4,0)</f>
        <v>81.5</v>
      </c>
      <c r="F162">
        <f>VLOOKUP($B162,Sheet3!$B:$G,6,0)</f>
        <v>51</v>
      </c>
      <c r="G162">
        <f>VLOOKUP($B162,Sheet3!$B:$G,5,0)</f>
        <v>57</v>
      </c>
    </row>
    <row r="163" spans="1:7">
      <c r="A163">
        <v>240437</v>
      </c>
      <c r="B163" t="s">
        <v>169</v>
      </c>
      <c r="C163">
        <f>VLOOKUP($B163,Sheet3!$B:$G,2,0)</f>
        <v>93</v>
      </c>
      <c r="D163">
        <f>VLOOKUP($B163,Sheet3!$B:$G,3,0)</f>
        <v>81</v>
      </c>
      <c r="E163">
        <f>VLOOKUP($B163,Sheet3!$B:$G,4,0)</f>
        <v>113</v>
      </c>
      <c r="F163">
        <f>VLOOKUP($B163,Sheet3!$B:$G,6,0)</f>
        <v>76</v>
      </c>
      <c r="G163">
        <f>VLOOKUP($B163,Sheet3!$B:$G,5,0)</f>
        <v>62</v>
      </c>
    </row>
    <row r="164" spans="1:7">
      <c r="A164">
        <v>240438</v>
      </c>
      <c r="B164" t="s">
        <v>170</v>
      </c>
      <c r="C164">
        <f>VLOOKUP($B164,Sheet3!$B:$G,2,0)</f>
        <v>93</v>
      </c>
      <c r="D164">
        <f>VLOOKUP($B164,Sheet3!$B:$G,3,0)</f>
        <v>93</v>
      </c>
      <c r="E164">
        <f>VLOOKUP($B164,Sheet3!$B:$G,4,0)</f>
        <v>108</v>
      </c>
      <c r="F164">
        <f>VLOOKUP($B164,Sheet3!$B:$G,6,0)</f>
        <v>59</v>
      </c>
      <c r="G164">
        <f>VLOOKUP($B164,Sheet3!$B:$G,5,0)</f>
        <v>68</v>
      </c>
    </row>
    <row r="165" spans="1:7">
      <c r="A165">
        <v>240439</v>
      </c>
      <c r="B165" t="s">
        <v>171</v>
      </c>
      <c r="C165">
        <f>VLOOKUP($B165,Sheet3!$B:$G,2,0)</f>
        <v>81</v>
      </c>
      <c r="D165">
        <f>VLOOKUP($B165,Sheet3!$B:$G,3,0)</f>
        <v>87</v>
      </c>
      <c r="E165">
        <f>VLOOKUP($B165,Sheet3!$B:$G,4,0)</f>
        <v>113</v>
      </c>
      <c r="F165">
        <f>VLOOKUP($B165,Sheet3!$B:$G,6,0)</f>
        <v>73</v>
      </c>
      <c r="G165">
        <f>VLOOKUP($B165,Sheet3!$B:$G,5,0)</f>
        <v>74</v>
      </c>
    </row>
    <row r="166" spans="1:7">
      <c r="A166">
        <v>240440</v>
      </c>
      <c r="B166" t="s">
        <v>172</v>
      </c>
      <c r="C166">
        <f>VLOOKUP($B166,Sheet3!$B:$G,2,0)</f>
        <v>99</v>
      </c>
      <c r="D166">
        <f>VLOOKUP($B166,Sheet3!$B:$G,3,0)</f>
        <v>90</v>
      </c>
      <c r="E166">
        <f>VLOOKUP($B166,Sheet3!$B:$G,4,0)</f>
        <v>93</v>
      </c>
      <c r="F166">
        <f>VLOOKUP($B166,Sheet3!$B:$G,6,0)</f>
        <v>72</v>
      </c>
      <c r="G166">
        <f>VLOOKUP($B166,Sheet3!$B:$G,5,0)</f>
        <v>81</v>
      </c>
    </row>
    <row r="167" spans="1:7">
      <c r="A167">
        <v>240441</v>
      </c>
      <c r="B167" t="s">
        <v>173</v>
      </c>
      <c r="C167">
        <f>VLOOKUP($B167,Sheet3!$B:$G,2,0)</f>
        <v>81</v>
      </c>
      <c r="D167">
        <f>VLOOKUP($B167,Sheet3!$B:$G,3,0)</f>
        <v>63</v>
      </c>
      <c r="E167">
        <f>VLOOKUP($B167,Sheet3!$B:$G,4,0)</f>
        <v>71.5</v>
      </c>
      <c r="F167">
        <f>VLOOKUP($B167,Sheet3!$B:$G,6,0)</f>
        <v>79</v>
      </c>
      <c r="G167">
        <f>VLOOKUP($B167,Sheet3!$B:$G,5,0)</f>
        <v>77</v>
      </c>
    </row>
    <row r="168" spans="1:7">
      <c r="A168">
        <v>240501</v>
      </c>
      <c r="B168" t="s">
        <v>174</v>
      </c>
      <c r="C168">
        <f>VLOOKUP($B168,Sheet3!$B:$G,2,0)</f>
        <v>78</v>
      </c>
      <c r="D168">
        <f>VLOOKUP($B168,Sheet3!$B:$G,3,0)</f>
        <v>64</v>
      </c>
      <c r="E168">
        <f>VLOOKUP($B168,Sheet3!$B:$G,4,0)</f>
        <v>49</v>
      </c>
      <c r="F168">
        <f>VLOOKUP($B168,Sheet3!$B:$G,6,0)</f>
        <v>66</v>
      </c>
      <c r="G168">
        <f>VLOOKUP($B168,Sheet3!$B:$G,5,0)</f>
        <v>69</v>
      </c>
    </row>
    <row r="169" spans="1:7">
      <c r="A169">
        <v>240502</v>
      </c>
      <c r="B169" t="s">
        <v>175</v>
      </c>
      <c r="C169">
        <f>VLOOKUP($B169,Sheet3!$B:$G,2,0)</f>
        <v>93</v>
      </c>
      <c r="D169">
        <f>VLOOKUP($B169,Sheet3!$B:$G,3,0)</f>
        <v>94</v>
      </c>
      <c r="E169">
        <f>VLOOKUP($B169,Sheet3!$B:$G,4,0)</f>
        <v>111.5</v>
      </c>
      <c r="F169">
        <f>VLOOKUP($B169,Sheet3!$B:$G,6,0)</f>
        <v>87</v>
      </c>
      <c r="G169">
        <f>VLOOKUP($B169,Sheet3!$B:$G,5,0)</f>
        <v>78</v>
      </c>
    </row>
    <row r="170" spans="1:7">
      <c r="A170">
        <v>240503</v>
      </c>
      <c r="B170" t="s">
        <v>176</v>
      </c>
      <c r="C170">
        <f>VLOOKUP($B170,Sheet3!$B:$G,2,0)</f>
        <v>94</v>
      </c>
      <c r="D170">
        <f>VLOOKUP($B170,Sheet3!$B:$G,3,0)</f>
        <v>100</v>
      </c>
      <c r="E170">
        <f>VLOOKUP($B170,Sheet3!$B:$G,4,0)</f>
        <v>108.5</v>
      </c>
      <c r="F170">
        <f>VLOOKUP($B170,Sheet3!$B:$G,6,0)</f>
        <v>84</v>
      </c>
      <c r="G170">
        <f>VLOOKUP($B170,Sheet3!$B:$G,5,0)</f>
        <v>70</v>
      </c>
    </row>
    <row r="171" spans="1:7">
      <c r="A171">
        <v>240504</v>
      </c>
      <c r="B171" t="s">
        <v>177</v>
      </c>
      <c r="C171">
        <f>VLOOKUP($B171,Sheet3!$B:$G,2,0)</f>
        <v>77</v>
      </c>
      <c r="D171">
        <f>VLOOKUP($B171,Sheet3!$B:$G,3,0)</f>
        <v>58</v>
      </c>
      <c r="E171">
        <f>VLOOKUP($B171,Sheet3!$B:$G,4,0)</f>
        <v>70</v>
      </c>
      <c r="F171">
        <f>VLOOKUP($B171,Sheet3!$B:$G,6,0)</f>
        <v>46</v>
      </c>
      <c r="G171">
        <f>VLOOKUP($B171,Sheet3!$B:$G,5,0)</f>
        <v>57</v>
      </c>
    </row>
    <row r="172" spans="1:7">
      <c r="A172">
        <v>240505</v>
      </c>
      <c r="B172" t="s">
        <v>178</v>
      </c>
      <c r="C172">
        <f>VLOOKUP($B172,Sheet3!$B:$G,2,0)</f>
        <v>89</v>
      </c>
      <c r="D172">
        <f>VLOOKUP($B172,Sheet3!$B:$G,3,0)</f>
        <v>94</v>
      </c>
      <c r="E172">
        <f>VLOOKUP($B172,Sheet3!$B:$G,4,0)</f>
        <v>101.5</v>
      </c>
      <c r="F172">
        <f>VLOOKUP($B172,Sheet3!$B:$G,6,0)</f>
        <v>82</v>
      </c>
      <c r="G172">
        <f>VLOOKUP($B172,Sheet3!$B:$G,5,0)</f>
        <v>68</v>
      </c>
    </row>
    <row r="173" spans="1:7">
      <c r="A173">
        <v>240506</v>
      </c>
      <c r="B173" t="s">
        <v>179</v>
      </c>
      <c r="C173">
        <f>VLOOKUP($B173,Sheet3!$B:$G,2,0)</f>
        <v>98</v>
      </c>
      <c r="D173">
        <f>VLOOKUP($B173,Sheet3!$B:$G,3,0)</f>
        <v>92</v>
      </c>
      <c r="E173">
        <f>VLOOKUP($B173,Sheet3!$B:$G,4,0)</f>
        <v>111.5</v>
      </c>
      <c r="F173">
        <f>VLOOKUP($B173,Sheet3!$B:$G,6,0)</f>
        <v>79</v>
      </c>
      <c r="G173">
        <f>VLOOKUP($B173,Sheet3!$B:$G,5,0)</f>
        <v>82</v>
      </c>
    </row>
    <row r="174" spans="1:7">
      <c r="A174">
        <v>240508</v>
      </c>
      <c r="B174" t="s">
        <v>180</v>
      </c>
      <c r="C174">
        <f>VLOOKUP($B174,Sheet3!$B:$G,2,0)</f>
        <v>102</v>
      </c>
      <c r="D174">
        <f>VLOOKUP($B174,Sheet3!$B:$G,3,0)</f>
        <v>69</v>
      </c>
      <c r="E174">
        <f>VLOOKUP($B174,Sheet3!$B:$G,4,0)</f>
        <v>113.5</v>
      </c>
      <c r="F174">
        <f>VLOOKUP($B174,Sheet3!$B:$G,6,0)</f>
        <v>76</v>
      </c>
      <c r="G174">
        <f>VLOOKUP($B174,Sheet3!$B:$G,5,0)</f>
        <v>77</v>
      </c>
    </row>
    <row r="175" spans="1:7">
      <c r="A175">
        <v>240509</v>
      </c>
      <c r="B175" t="s">
        <v>181</v>
      </c>
      <c r="C175">
        <f>VLOOKUP($B175,Sheet3!$B:$G,2,0)</f>
        <v>83</v>
      </c>
      <c r="D175">
        <f>VLOOKUP($B175,Sheet3!$B:$G,3,0)</f>
        <v>38</v>
      </c>
      <c r="E175">
        <f>VLOOKUP($B175,Sheet3!$B:$G,4,0)</f>
        <v>56</v>
      </c>
      <c r="F175">
        <f>VLOOKUP($B175,Sheet3!$B:$G,6,0)</f>
        <v>61</v>
      </c>
      <c r="G175">
        <f>VLOOKUP($B175,Sheet3!$B:$G,5,0)</f>
        <v>51</v>
      </c>
    </row>
    <row r="176" spans="1:7">
      <c r="A176">
        <v>240510</v>
      </c>
      <c r="B176" t="s">
        <v>182</v>
      </c>
      <c r="C176">
        <f>VLOOKUP($B176,Sheet3!$B:$G,2,0)</f>
        <v>93</v>
      </c>
      <c r="D176">
        <f>VLOOKUP($B176,Sheet3!$B:$G,3,0)</f>
        <v>90</v>
      </c>
      <c r="E176">
        <f>VLOOKUP($B176,Sheet3!$B:$G,4,0)</f>
        <v>106</v>
      </c>
      <c r="F176">
        <f>VLOOKUP($B176,Sheet3!$B:$G,6,0)</f>
        <v>82</v>
      </c>
      <c r="G176">
        <f>VLOOKUP($B176,Sheet3!$B:$G,5,0)</f>
        <v>72</v>
      </c>
    </row>
    <row r="177" spans="1:7">
      <c r="A177">
        <v>240511</v>
      </c>
      <c r="B177" t="s">
        <v>183</v>
      </c>
      <c r="C177">
        <f>VLOOKUP($B177,Sheet3!$B:$G,2,0)</f>
        <v>95</v>
      </c>
      <c r="D177">
        <f>VLOOKUP($B177,Sheet3!$B:$G,3,0)</f>
        <v>65</v>
      </c>
      <c r="E177">
        <f>VLOOKUP($B177,Sheet3!$B:$G,4,0)</f>
        <v>103.5</v>
      </c>
      <c r="F177">
        <f>VLOOKUP($B177,Sheet3!$B:$G,6,0)</f>
        <v>68</v>
      </c>
      <c r="G177">
        <f>VLOOKUP($B177,Sheet3!$B:$G,5,0)</f>
        <v>65</v>
      </c>
    </row>
    <row r="178" spans="1:7">
      <c r="A178">
        <v>240512</v>
      </c>
      <c r="B178" t="s">
        <v>184</v>
      </c>
      <c r="C178">
        <f>VLOOKUP($B178,Sheet3!$B:$G,2,0)</f>
        <v>99</v>
      </c>
      <c r="D178">
        <f>VLOOKUP($B178,Sheet3!$B:$G,3,0)</f>
        <v>100</v>
      </c>
      <c r="E178">
        <f>VLOOKUP($B178,Sheet3!$B:$G,4,0)</f>
        <v>108</v>
      </c>
      <c r="F178">
        <f>VLOOKUP($B178,Sheet3!$B:$G,6,0)</f>
        <v>82</v>
      </c>
      <c r="G178">
        <f>VLOOKUP($B178,Sheet3!$B:$G,5,0)</f>
        <v>79</v>
      </c>
    </row>
    <row r="179" spans="1:7">
      <c r="A179">
        <v>240513</v>
      </c>
      <c r="B179" t="s">
        <v>185</v>
      </c>
      <c r="C179">
        <f>VLOOKUP($B179,Sheet3!$B:$G,2,0)</f>
        <v>86</v>
      </c>
      <c r="D179">
        <f>VLOOKUP($B179,Sheet3!$B:$G,3,0)</f>
        <v>88</v>
      </c>
      <c r="E179">
        <f>VLOOKUP($B179,Sheet3!$B:$G,4,0)</f>
        <v>89.5</v>
      </c>
      <c r="F179">
        <f>VLOOKUP($B179,Sheet3!$B:$G,6,0)</f>
        <v>81</v>
      </c>
      <c r="G179">
        <f>VLOOKUP($B179,Sheet3!$B:$G,5,0)</f>
        <v>62</v>
      </c>
    </row>
    <row r="180" spans="1:7">
      <c r="A180">
        <v>240515</v>
      </c>
      <c r="B180" t="s">
        <v>186</v>
      </c>
      <c r="C180">
        <f>VLOOKUP($B180,Sheet3!$B:$G,2,0)</f>
        <v>91</v>
      </c>
      <c r="D180">
        <f>VLOOKUP($B180,Sheet3!$B:$G,3,0)</f>
        <v>65</v>
      </c>
      <c r="E180">
        <f>VLOOKUP($B180,Sheet3!$B:$G,4,0)</f>
        <v>92</v>
      </c>
      <c r="F180">
        <f>VLOOKUP($B180,Sheet3!$B:$G,6,0)</f>
        <v>66</v>
      </c>
      <c r="G180">
        <f>VLOOKUP($B180,Sheet3!$B:$G,5,0)</f>
        <v>69</v>
      </c>
    </row>
    <row r="181" spans="1:7">
      <c r="A181">
        <v>240516</v>
      </c>
      <c r="B181" t="s">
        <v>187</v>
      </c>
      <c r="C181">
        <f>VLOOKUP($B181,Sheet3!$B:$G,2,0)</f>
        <v>93</v>
      </c>
      <c r="D181">
        <f>VLOOKUP($B181,Sheet3!$B:$G,3,0)</f>
        <v>40</v>
      </c>
      <c r="E181">
        <f>VLOOKUP($B181,Sheet3!$B:$G,4,0)</f>
        <v>79.5</v>
      </c>
      <c r="F181">
        <f>VLOOKUP($B181,Sheet3!$B:$G,6,0)</f>
        <v>82</v>
      </c>
      <c r="G181">
        <f>VLOOKUP($B181,Sheet3!$B:$G,5,0)</f>
        <v>51</v>
      </c>
    </row>
    <row r="182" spans="1:7">
      <c r="A182">
        <v>240517</v>
      </c>
      <c r="B182" t="s">
        <v>188</v>
      </c>
      <c r="C182">
        <f>VLOOKUP($B182,Sheet3!$B:$G,2,0)</f>
        <v>92</v>
      </c>
      <c r="D182">
        <f>VLOOKUP($B182,Sheet3!$B:$G,3,0)</f>
        <v>92</v>
      </c>
      <c r="E182">
        <f>VLOOKUP($B182,Sheet3!$B:$G,4,0)</f>
        <v>98.5</v>
      </c>
      <c r="F182">
        <f>VLOOKUP($B182,Sheet3!$B:$G,6,0)</f>
        <v>62</v>
      </c>
      <c r="G182">
        <f>VLOOKUP($B182,Sheet3!$B:$G,5,0)</f>
        <v>72</v>
      </c>
    </row>
    <row r="183" spans="1:7">
      <c r="A183">
        <v>240518</v>
      </c>
      <c r="B183" t="s">
        <v>189</v>
      </c>
      <c r="C183">
        <f>VLOOKUP($B183,Sheet3!$B:$G,2,0)</f>
        <v>100</v>
      </c>
      <c r="D183">
        <f>VLOOKUP($B183,Sheet3!$B:$G,3,0)</f>
        <v>80</v>
      </c>
      <c r="E183">
        <f>VLOOKUP($B183,Sheet3!$B:$G,4,0)</f>
        <v>80</v>
      </c>
      <c r="F183">
        <f>VLOOKUP($B183,Sheet3!$B:$G,6,0)</f>
        <v>67</v>
      </c>
      <c r="G183">
        <f>VLOOKUP($B183,Sheet3!$B:$G,5,0)</f>
        <v>77</v>
      </c>
    </row>
    <row r="184" spans="1:7">
      <c r="A184">
        <v>240519</v>
      </c>
      <c r="B184" t="s">
        <v>190</v>
      </c>
      <c r="C184">
        <f>VLOOKUP($B184,Sheet3!$B:$G,2,0)</f>
        <v>83</v>
      </c>
      <c r="D184">
        <f>VLOOKUP($B184,Sheet3!$B:$G,3,0)</f>
        <v>76</v>
      </c>
      <c r="E184">
        <f>VLOOKUP($B184,Sheet3!$B:$G,4,0)</f>
        <v>85.5</v>
      </c>
      <c r="F184">
        <f>VLOOKUP($B184,Sheet3!$B:$G,6,0)</f>
        <v>79</v>
      </c>
      <c r="G184">
        <f>VLOOKUP($B184,Sheet3!$B:$G,5,0)</f>
        <v>47</v>
      </c>
    </row>
    <row r="185" spans="1:7">
      <c r="A185">
        <v>240520</v>
      </c>
      <c r="B185" t="s">
        <v>191</v>
      </c>
      <c r="C185">
        <f>VLOOKUP($B185,Sheet3!$B:$G,2,0)</f>
        <v>96</v>
      </c>
      <c r="D185">
        <f>VLOOKUP($B185,Sheet3!$B:$G,3,0)</f>
        <v>65</v>
      </c>
      <c r="E185">
        <f>VLOOKUP($B185,Sheet3!$B:$G,4,0)</f>
        <v>93</v>
      </c>
      <c r="F185">
        <f>VLOOKUP($B185,Sheet3!$B:$G,6,0)</f>
        <v>84</v>
      </c>
      <c r="G185">
        <f>VLOOKUP($B185,Sheet3!$B:$G,5,0)</f>
        <v>76</v>
      </c>
    </row>
    <row r="186" spans="1:7">
      <c r="A186">
        <v>240521</v>
      </c>
      <c r="B186" t="s">
        <v>192</v>
      </c>
      <c r="C186">
        <f>VLOOKUP($B186,Sheet3!$B:$G,2,0)</f>
        <v>85</v>
      </c>
      <c r="D186">
        <f>VLOOKUP($B186,Sheet3!$B:$G,3,0)</f>
        <v>61</v>
      </c>
      <c r="E186">
        <f>VLOOKUP($B186,Sheet3!$B:$G,4,0)</f>
        <v>86</v>
      </c>
      <c r="F186">
        <f>VLOOKUP($B186,Sheet3!$B:$G,6,0)</f>
        <v>62</v>
      </c>
      <c r="G186">
        <f>VLOOKUP($B186,Sheet3!$B:$G,5,0)</f>
        <v>73</v>
      </c>
    </row>
    <row r="187" spans="1:7">
      <c r="A187">
        <v>240523</v>
      </c>
      <c r="B187" t="s">
        <v>193</v>
      </c>
      <c r="C187">
        <f>VLOOKUP($B187,Sheet3!$B:$G,2,0)</f>
        <v>90</v>
      </c>
      <c r="D187">
        <f>VLOOKUP($B187,Sheet3!$B:$G,3,0)</f>
        <v>97</v>
      </c>
      <c r="E187">
        <f>VLOOKUP($B187,Sheet3!$B:$G,4,0)</f>
        <v>108.5</v>
      </c>
      <c r="F187">
        <f>VLOOKUP($B187,Sheet3!$B:$G,6,0)</f>
        <v>90</v>
      </c>
      <c r="G187">
        <f>VLOOKUP($B187,Sheet3!$B:$G,5,0)</f>
        <v>75</v>
      </c>
    </row>
    <row r="188" spans="1:7">
      <c r="A188">
        <v>240524</v>
      </c>
      <c r="B188" t="s">
        <v>194</v>
      </c>
      <c r="C188">
        <f>VLOOKUP($B188,Sheet3!$B:$G,2,0)</f>
        <v>89</v>
      </c>
      <c r="D188">
        <f>VLOOKUP($B188,Sheet3!$B:$G,3,0)</f>
        <v>83</v>
      </c>
      <c r="E188">
        <f>VLOOKUP($B188,Sheet3!$B:$G,4,0)</f>
        <v>112.5</v>
      </c>
      <c r="F188">
        <f>VLOOKUP($B188,Sheet3!$B:$G,6,0)</f>
        <v>78</v>
      </c>
      <c r="G188">
        <f>VLOOKUP($B188,Sheet3!$B:$G,5,0)</f>
        <v>77</v>
      </c>
    </row>
    <row r="189" spans="1:7">
      <c r="A189">
        <v>240525</v>
      </c>
      <c r="B189" t="s">
        <v>195</v>
      </c>
      <c r="C189">
        <f>VLOOKUP($B189,Sheet3!$B:$G,2,0)</f>
        <v>93</v>
      </c>
      <c r="D189">
        <f>VLOOKUP($B189,Sheet3!$B:$G,3,0)</f>
        <v>48</v>
      </c>
      <c r="E189">
        <f>VLOOKUP($B189,Sheet3!$B:$G,4,0)</f>
        <v>95.5</v>
      </c>
      <c r="F189">
        <f>VLOOKUP($B189,Sheet3!$B:$G,6,0)</f>
        <v>78</v>
      </c>
      <c r="G189">
        <f>VLOOKUP($B189,Sheet3!$B:$G,5,0)</f>
        <v>60</v>
      </c>
    </row>
    <row r="190" spans="1:7">
      <c r="A190">
        <v>240526</v>
      </c>
      <c r="B190" t="s">
        <v>196</v>
      </c>
      <c r="C190">
        <f>VLOOKUP($B190,Sheet3!$B:$G,2,0)</f>
        <v>66</v>
      </c>
      <c r="D190">
        <f>VLOOKUP($B190,Sheet3!$B:$G,3,0)</f>
        <v>61</v>
      </c>
      <c r="E190">
        <f>VLOOKUP($B190,Sheet3!$B:$G,4,0)</f>
        <v>69</v>
      </c>
      <c r="F190">
        <f>VLOOKUP($B190,Sheet3!$B:$G,6,0)</f>
        <v>53</v>
      </c>
      <c r="G190">
        <f>VLOOKUP($B190,Sheet3!$B:$G,5,0)</f>
        <v>60</v>
      </c>
    </row>
    <row r="191" spans="1:7">
      <c r="A191">
        <v>240527</v>
      </c>
      <c r="B191" t="s">
        <v>197</v>
      </c>
      <c r="C191">
        <f>VLOOKUP($B191,Sheet3!$B:$G,2,0)</f>
        <v>88</v>
      </c>
      <c r="D191">
        <f>VLOOKUP($B191,Sheet3!$B:$G,3,0)</f>
        <v>84</v>
      </c>
      <c r="E191">
        <f>VLOOKUP($B191,Sheet3!$B:$G,4,0)</f>
        <v>105.5</v>
      </c>
      <c r="F191">
        <f>VLOOKUP($B191,Sheet3!$B:$G,6,0)</f>
        <v>87</v>
      </c>
      <c r="G191">
        <f>VLOOKUP($B191,Sheet3!$B:$G,5,0)</f>
        <v>76</v>
      </c>
    </row>
    <row r="192" spans="1:7">
      <c r="A192">
        <v>240528</v>
      </c>
      <c r="B192" t="s">
        <v>198</v>
      </c>
      <c r="C192">
        <f>VLOOKUP($B192,Sheet3!$B:$G,2,0)</f>
        <v>91</v>
      </c>
      <c r="D192">
        <f>VLOOKUP($B192,Sheet3!$B:$G,3,0)</f>
        <v>88</v>
      </c>
      <c r="E192">
        <f>VLOOKUP($B192,Sheet3!$B:$G,4,0)</f>
        <v>103</v>
      </c>
      <c r="F192">
        <f>VLOOKUP($B192,Sheet3!$B:$G,6,0)</f>
        <v>73</v>
      </c>
      <c r="G192">
        <f>VLOOKUP($B192,Sheet3!$B:$G,5,0)</f>
        <v>60</v>
      </c>
    </row>
    <row r="193" spans="1:7">
      <c r="A193">
        <v>240529</v>
      </c>
      <c r="B193" t="s">
        <v>199</v>
      </c>
      <c r="C193">
        <f>VLOOKUP($B193,Sheet3!$B:$G,2,0)</f>
        <v>92</v>
      </c>
      <c r="D193">
        <f>VLOOKUP($B193,Sheet3!$B:$G,3,0)</f>
        <v>71</v>
      </c>
      <c r="E193">
        <f>VLOOKUP($B193,Sheet3!$B:$G,4,0)</f>
        <v>113</v>
      </c>
      <c r="F193">
        <f>VLOOKUP($B193,Sheet3!$B:$G,6,0)</f>
        <v>87</v>
      </c>
      <c r="G193">
        <f>VLOOKUP($B193,Sheet3!$B:$G,5,0)</f>
        <v>64</v>
      </c>
    </row>
    <row r="194" spans="1:7">
      <c r="A194">
        <v>240530</v>
      </c>
      <c r="B194" t="s">
        <v>200</v>
      </c>
      <c r="C194">
        <f>VLOOKUP($B194,Sheet3!$B:$G,2,0)</f>
        <v>67</v>
      </c>
      <c r="D194">
        <f>VLOOKUP($B194,Sheet3!$B:$G,3,0)</f>
        <v>91</v>
      </c>
      <c r="E194">
        <f>VLOOKUP($B194,Sheet3!$B:$G,4,0)</f>
        <v>100</v>
      </c>
      <c r="F194">
        <f>VLOOKUP($B194,Sheet3!$B:$G,6,0)</f>
        <v>81</v>
      </c>
      <c r="G194">
        <f>VLOOKUP($B194,Sheet3!$B:$G,5,0)</f>
        <v>78</v>
      </c>
    </row>
    <row r="195" spans="1:7">
      <c r="A195">
        <v>240531</v>
      </c>
      <c r="B195" t="s">
        <v>201</v>
      </c>
      <c r="C195">
        <f>VLOOKUP($B195,Sheet3!$B:$G,2,0)</f>
        <v>98</v>
      </c>
      <c r="D195">
        <f>VLOOKUP($B195,Sheet3!$B:$G,3,0)</f>
        <v>92</v>
      </c>
      <c r="E195">
        <f>VLOOKUP($B195,Sheet3!$B:$G,4,0)</f>
        <v>112.5</v>
      </c>
      <c r="F195">
        <f>VLOOKUP($B195,Sheet3!$B:$G,6,0)</f>
        <v>71</v>
      </c>
      <c r="G195">
        <f>VLOOKUP($B195,Sheet3!$B:$G,5,0)</f>
        <v>71</v>
      </c>
    </row>
    <row r="196" spans="1:7">
      <c r="A196">
        <v>221930</v>
      </c>
      <c r="B196" t="s">
        <v>202</v>
      </c>
      <c r="C196" t="str">
        <f>VLOOKUP($B196,Sheet3!$B:$G,2,0)</f>
        <v>未扫，不计排名</v>
      </c>
      <c r="D196" t="str">
        <f>VLOOKUP($B196,Sheet3!$B:$G,3,0)</f>
        <v>未扫，不计排名</v>
      </c>
      <c r="E196" t="str">
        <f>VLOOKUP($B196,Sheet3!$B:$G,4,0)</f>
        <v>未扫，不计排名</v>
      </c>
      <c r="F196" t="str">
        <f>VLOOKUP($B196,Sheet3!$B:$G,6,0)</f>
        <v>未扫，不计排名</v>
      </c>
      <c r="G196" t="str">
        <f>VLOOKUP($B196,Sheet3!$B:$G,5,0)</f>
        <v>未扫，不计排名</v>
      </c>
    </row>
    <row r="197" spans="1:7">
      <c r="A197">
        <v>240532</v>
      </c>
      <c r="B197" t="s">
        <v>203</v>
      </c>
      <c r="C197">
        <f>VLOOKUP($B197,Sheet3!$B:$G,2,0)</f>
        <v>98</v>
      </c>
      <c r="D197">
        <f>VLOOKUP($B197,Sheet3!$B:$G,3,0)</f>
        <v>90</v>
      </c>
      <c r="E197">
        <f>VLOOKUP($B197,Sheet3!$B:$G,4,0)</f>
        <v>114</v>
      </c>
      <c r="F197">
        <f>VLOOKUP($B197,Sheet3!$B:$G,6,0)</f>
        <v>83</v>
      </c>
      <c r="G197">
        <f>VLOOKUP($B197,Sheet3!$B:$G,5,0)</f>
        <v>76</v>
      </c>
    </row>
    <row r="198" spans="1:7">
      <c r="A198">
        <v>240533</v>
      </c>
      <c r="B198" t="s">
        <v>204</v>
      </c>
      <c r="C198">
        <f>VLOOKUP($B198,Sheet3!$B:$G,2,0)</f>
        <v>90</v>
      </c>
      <c r="D198">
        <f>VLOOKUP($B198,Sheet3!$B:$G,3,0)</f>
        <v>51</v>
      </c>
      <c r="E198">
        <f>VLOOKUP($B198,Sheet3!$B:$G,4,0)</f>
        <v>99</v>
      </c>
      <c r="F198">
        <f>VLOOKUP($B198,Sheet3!$B:$G,6,0)</f>
        <v>80</v>
      </c>
      <c r="G198">
        <f>VLOOKUP($B198,Sheet3!$B:$G,5,0)</f>
        <v>47</v>
      </c>
    </row>
    <row r="199" spans="1:7">
      <c r="A199">
        <v>240535</v>
      </c>
      <c r="B199" t="s">
        <v>205</v>
      </c>
      <c r="C199">
        <f>VLOOKUP($B199,Sheet3!$B:$G,2,0)</f>
        <v>92</v>
      </c>
      <c r="D199">
        <f>VLOOKUP($B199,Sheet3!$B:$G,3,0)</f>
        <v>98</v>
      </c>
      <c r="E199">
        <f>VLOOKUP($B199,Sheet3!$B:$G,4,0)</f>
        <v>115</v>
      </c>
      <c r="F199">
        <f>VLOOKUP($B199,Sheet3!$B:$G,6,0)</f>
        <v>83</v>
      </c>
      <c r="G199">
        <f>VLOOKUP($B199,Sheet3!$B:$G,5,0)</f>
        <v>86</v>
      </c>
    </row>
    <row r="200" spans="1:7">
      <c r="A200">
        <v>240536</v>
      </c>
      <c r="B200" t="s">
        <v>206</v>
      </c>
      <c r="C200">
        <f>VLOOKUP($B200,Sheet3!$B:$G,2,0)</f>
        <v>99</v>
      </c>
      <c r="D200">
        <f>VLOOKUP($B200,Sheet3!$B:$G,3,0)</f>
        <v>98</v>
      </c>
      <c r="E200">
        <f>VLOOKUP($B200,Sheet3!$B:$G,4,0)</f>
        <v>104.5</v>
      </c>
      <c r="F200">
        <f>VLOOKUP($B200,Sheet3!$B:$G,6,0)</f>
        <v>86</v>
      </c>
      <c r="G200">
        <f>VLOOKUP($B200,Sheet3!$B:$G,5,0)</f>
        <v>71</v>
      </c>
    </row>
    <row r="201" spans="1:7">
      <c r="A201">
        <v>240537</v>
      </c>
      <c r="B201" t="s">
        <v>207</v>
      </c>
      <c r="C201">
        <f>VLOOKUP($B201,Sheet3!$B:$G,2,0)</f>
        <v>100</v>
      </c>
      <c r="D201">
        <f>VLOOKUP($B201,Sheet3!$B:$G,3,0)</f>
        <v>98</v>
      </c>
      <c r="E201">
        <f>VLOOKUP($B201,Sheet3!$B:$G,4,0)</f>
        <v>114</v>
      </c>
      <c r="F201">
        <f>VLOOKUP($B201,Sheet3!$B:$G,6,0)</f>
        <v>88</v>
      </c>
      <c r="G201">
        <f>VLOOKUP($B201,Sheet3!$B:$G,5,0)</f>
        <v>84</v>
      </c>
    </row>
    <row r="202" spans="1:7">
      <c r="A202">
        <v>240538</v>
      </c>
      <c r="B202" t="s">
        <v>208</v>
      </c>
      <c r="C202">
        <f>VLOOKUP($B202,Sheet3!$B:$G,2,0)</f>
        <v>98</v>
      </c>
      <c r="D202">
        <f>VLOOKUP($B202,Sheet3!$B:$G,3,0)</f>
        <v>105</v>
      </c>
      <c r="E202">
        <f>VLOOKUP($B202,Sheet3!$B:$G,4,0)</f>
        <v>100</v>
      </c>
      <c r="F202">
        <f>VLOOKUP($B202,Sheet3!$B:$G,6,0)</f>
        <v>78</v>
      </c>
      <c r="G202">
        <f>VLOOKUP($B202,Sheet3!$B:$G,5,0)</f>
        <v>64</v>
      </c>
    </row>
    <row r="203" spans="1:7">
      <c r="A203">
        <v>240539</v>
      </c>
      <c r="B203" t="s">
        <v>209</v>
      </c>
      <c r="C203">
        <f>VLOOKUP($B203,Sheet3!$B:$G,2,0)</f>
        <v>80</v>
      </c>
      <c r="D203">
        <f>VLOOKUP($B203,Sheet3!$B:$G,3,0)</f>
        <v>76</v>
      </c>
      <c r="E203">
        <f>VLOOKUP($B203,Sheet3!$B:$G,4,0)</f>
        <v>67</v>
      </c>
      <c r="F203">
        <f>VLOOKUP($B203,Sheet3!$B:$G,6,0)</f>
        <v>77</v>
      </c>
      <c r="G203">
        <f>VLOOKUP($B203,Sheet3!$B:$G,5,0)</f>
        <v>64</v>
      </c>
    </row>
    <row r="204" spans="1:7">
      <c r="A204">
        <v>240540</v>
      </c>
      <c r="B204" t="s">
        <v>210</v>
      </c>
      <c r="C204">
        <f>VLOOKUP($B204,Sheet3!$B:$G,2,0)</f>
        <v>92</v>
      </c>
      <c r="D204">
        <f>VLOOKUP($B204,Sheet3!$B:$G,3,0)</f>
        <v>95</v>
      </c>
      <c r="E204">
        <f>VLOOKUP($B204,Sheet3!$B:$G,4,0)</f>
        <v>108</v>
      </c>
      <c r="F204">
        <f>VLOOKUP($B204,Sheet3!$B:$G,6,0)</f>
        <v>85</v>
      </c>
      <c r="G204">
        <f>VLOOKUP($B204,Sheet3!$B:$G,5,0)</f>
        <v>78</v>
      </c>
    </row>
    <row r="205" spans="1:7">
      <c r="A205">
        <v>241512</v>
      </c>
      <c r="B205" t="s">
        <v>211</v>
      </c>
      <c r="C205">
        <f>VLOOKUP($B205,Sheet3!$B:$G,2,0)</f>
        <v>90</v>
      </c>
      <c r="D205">
        <f>VLOOKUP($B205,Sheet3!$B:$G,3,0)</f>
        <v>78</v>
      </c>
      <c r="E205">
        <f>VLOOKUP($B205,Sheet3!$B:$G,4,0)</f>
        <v>103.5</v>
      </c>
      <c r="F205">
        <f>VLOOKUP($B205,Sheet3!$B:$G,6,0)</f>
        <v>81</v>
      </c>
      <c r="G205">
        <f>VLOOKUP($B205,Sheet3!$B:$G,5,0)</f>
        <v>60</v>
      </c>
    </row>
    <row r="206" spans="1:7">
      <c r="A206">
        <v>240541</v>
      </c>
      <c r="B206" t="s">
        <v>212</v>
      </c>
      <c r="C206" t="e">
        <f>VLOOKUP($B206,Sheet3!$B:$G,2,0)</f>
        <v>#N/A</v>
      </c>
      <c r="D206" t="e">
        <f>VLOOKUP($B206,Sheet3!$B:$G,3,0)</f>
        <v>#N/A</v>
      </c>
      <c r="E206" t="e">
        <f>VLOOKUP($B206,Sheet3!$B:$G,4,0)</f>
        <v>#N/A</v>
      </c>
      <c r="F206" t="e">
        <f>VLOOKUP($B206,Sheet3!$B:$G,6,0)</f>
        <v>#N/A</v>
      </c>
      <c r="G206" t="e">
        <f>VLOOKUP($B206,Sheet3!$B:$G,5,0)</f>
        <v>#N/A</v>
      </c>
    </row>
    <row r="207" spans="1:7">
      <c r="A207">
        <v>241707</v>
      </c>
      <c r="B207" t="s">
        <v>213</v>
      </c>
      <c r="C207">
        <f>VLOOKUP($B207,Sheet3!$B:$G,2,0)</f>
        <v>106</v>
      </c>
      <c r="D207">
        <f>VLOOKUP($B207,Sheet3!$B:$G,3,0)</f>
        <v>89</v>
      </c>
      <c r="E207">
        <f>VLOOKUP($B207,Sheet3!$B:$G,4,0)</f>
        <v>90.5</v>
      </c>
      <c r="F207">
        <f>VLOOKUP($B207,Sheet3!$B:$G,6,0)</f>
        <v>79</v>
      </c>
      <c r="G207">
        <f>VLOOKUP($B207,Sheet3!$B:$G,5,0)</f>
        <v>73</v>
      </c>
    </row>
    <row r="208" spans="1:7">
      <c r="A208">
        <v>240542</v>
      </c>
      <c r="B208" t="s">
        <v>214</v>
      </c>
      <c r="C208" t="e">
        <f>VLOOKUP($B208,Sheet3!$B:$G,2,0)</f>
        <v>#N/A</v>
      </c>
      <c r="D208" t="e">
        <f>VLOOKUP($B208,Sheet3!$B:$G,3,0)</f>
        <v>#N/A</v>
      </c>
      <c r="E208" t="e">
        <f>VLOOKUP($B208,Sheet3!$B:$G,4,0)</f>
        <v>#N/A</v>
      </c>
      <c r="F208" t="e">
        <f>VLOOKUP($B208,Sheet3!$B:$G,6,0)</f>
        <v>#N/A</v>
      </c>
      <c r="G208" t="e">
        <f>VLOOKUP($B208,Sheet3!$B:$G,5,0)</f>
        <v>#N/A</v>
      </c>
    </row>
    <row r="209" spans="1:7">
      <c r="A209">
        <v>240543</v>
      </c>
      <c r="B209" t="s">
        <v>215</v>
      </c>
      <c r="C209" t="e">
        <f>VLOOKUP($B209,Sheet3!$B:$G,2,0)</f>
        <v>#N/A</v>
      </c>
      <c r="D209" t="e">
        <f>VLOOKUP($B209,Sheet3!$B:$G,3,0)</f>
        <v>#N/A</v>
      </c>
      <c r="E209" t="e">
        <f>VLOOKUP($B209,Sheet3!$B:$G,4,0)</f>
        <v>#N/A</v>
      </c>
      <c r="F209" t="e">
        <f>VLOOKUP($B209,Sheet3!$B:$G,6,0)</f>
        <v>#N/A</v>
      </c>
      <c r="G209" t="e">
        <f>VLOOKUP($B209,Sheet3!$B:$G,5,0)</f>
        <v>#N/A</v>
      </c>
    </row>
    <row r="210" spans="1:7">
      <c r="A210">
        <v>240601</v>
      </c>
      <c r="B210" t="s">
        <v>216</v>
      </c>
      <c r="C210">
        <f>VLOOKUP($B210,Sheet3!$B:$G,2,0)</f>
        <v>88</v>
      </c>
      <c r="D210">
        <f>VLOOKUP($B210,Sheet3!$B:$G,3,0)</f>
        <v>98</v>
      </c>
      <c r="E210">
        <f>VLOOKUP($B210,Sheet3!$B:$G,4,0)</f>
        <v>95</v>
      </c>
      <c r="F210">
        <f>VLOOKUP($B210,Sheet3!$B:$G,6,0)</f>
        <v>77</v>
      </c>
      <c r="G210">
        <f>VLOOKUP($B210,Sheet3!$B:$G,5,0)</f>
        <v>83</v>
      </c>
    </row>
    <row r="211" spans="1:7">
      <c r="A211">
        <v>240603</v>
      </c>
      <c r="B211" t="s">
        <v>217</v>
      </c>
      <c r="C211">
        <f>VLOOKUP($B211,Sheet3!$B:$G,2,0)</f>
        <v>56</v>
      </c>
      <c r="D211">
        <f>VLOOKUP($B211,Sheet3!$B:$G,3,0)</f>
        <v>46</v>
      </c>
      <c r="E211" t="str">
        <f>VLOOKUP($B211,Sheet3!$B:$G,4,0)</f>
        <v>未扫，不计排名</v>
      </c>
      <c r="F211" t="str">
        <f>VLOOKUP($B211,Sheet3!$B:$G,6,0)</f>
        <v>未扫，不计排名</v>
      </c>
      <c r="G211">
        <f>VLOOKUP($B211,Sheet3!$B:$G,5,0)</f>
        <v>41</v>
      </c>
    </row>
    <row r="212" spans="1:7">
      <c r="A212">
        <v>240604</v>
      </c>
      <c r="B212" t="s">
        <v>218</v>
      </c>
      <c r="C212">
        <f>VLOOKUP($B212,Sheet3!$B:$G,2,0)</f>
        <v>80</v>
      </c>
      <c r="D212">
        <f>VLOOKUP($B212,Sheet3!$B:$G,3,0)</f>
        <v>83</v>
      </c>
      <c r="E212">
        <f>VLOOKUP($B212,Sheet3!$B:$G,4,0)</f>
        <v>89.5</v>
      </c>
      <c r="F212">
        <f>VLOOKUP($B212,Sheet3!$B:$G,6,0)</f>
        <v>81</v>
      </c>
      <c r="G212">
        <f>VLOOKUP($B212,Sheet3!$B:$G,5,0)</f>
        <v>78</v>
      </c>
    </row>
    <row r="213" spans="1:7">
      <c r="A213">
        <v>240605</v>
      </c>
      <c r="B213" t="s">
        <v>219</v>
      </c>
      <c r="C213">
        <f>VLOOKUP($B213,Sheet3!$B:$G,2,0)</f>
        <v>38</v>
      </c>
      <c r="D213">
        <f>VLOOKUP($B213,Sheet3!$B:$G,3,0)</f>
        <v>14</v>
      </c>
      <c r="E213">
        <f>VLOOKUP($B213,Sheet3!$B:$G,4,0)</f>
        <v>33</v>
      </c>
      <c r="F213">
        <f>VLOOKUP($B213,Sheet3!$B:$G,6,0)</f>
        <v>45</v>
      </c>
      <c r="G213">
        <f>VLOOKUP($B213,Sheet3!$B:$G,5,0)</f>
        <v>18</v>
      </c>
    </row>
    <row r="214" spans="1:7">
      <c r="A214">
        <v>240606</v>
      </c>
      <c r="B214" t="s">
        <v>220</v>
      </c>
      <c r="C214" t="str">
        <f>VLOOKUP($B214,Sheet3!$B:$G,2,0)</f>
        <v>未扫，不计排名</v>
      </c>
      <c r="D214" t="str">
        <f>VLOOKUP($B214,Sheet3!$B:$G,3,0)</f>
        <v>未扫，不计排名</v>
      </c>
      <c r="E214" t="str">
        <f>VLOOKUP($B214,Sheet3!$B:$G,4,0)</f>
        <v>未扫，不计排名</v>
      </c>
      <c r="F214" t="str">
        <f>VLOOKUP($B214,Sheet3!$B:$G,6,0)</f>
        <v>未扫，不计排名</v>
      </c>
      <c r="G214" t="str">
        <f>VLOOKUP($B214,Sheet3!$B:$G,5,0)</f>
        <v>未扫，不计排名</v>
      </c>
    </row>
    <row r="215" spans="1:7">
      <c r="A215">
        <v>240607</v>
      </c>
      <c r="B215" t="s">
        <v>221</v>
      </c>
      <c r="C215">
        <f>VLOOKUP($B215,Sheet3!$B:$G,2,0)</f>
        <v>93</v>
      </c>
      <c r="D215">
        <f>VLOOKUP($B215,Sheet3!$B:$G,3,0)</f>
        <v>98</v>
      </c>
      <c r="E215">
        <f>VLOOKUP($B215,Sheet3!$B:$G,4,0)</f>
        <v>96.5</v>
      </c>
      <c r="F215">
        <f>VLOOKUP($B215,Sheet3!$B:$G,6,0)</f>
        <v>84</v>
      </c>
      <c r="G215">
        <f>VLOOKUP($B215,Sheet3!$B:$G,5,0)</f>
        <v>68</v>
      </c>
    </row>
    <row r="216" spans="1:7">
      <c r="A216">
        <v>240609</v>
      </c>
      <c r="B216" t="s">
        <v>222</v>
      </c>
      <c r="C216">
        <f>VLOOKUP($B216,Sheet3!$B:$G,2,0)</f>
        <v>95</v>
      </c>
      <c r="D216">
        <f>VLOOKUP($B216,Sheet3!$B:$G,3,0)</f>
        <v>77</v>
      </c>
      <c r="E216">
        <f>VLOOKUP($B216,Sheet3!$B:$G,4,0)</f>
        <v>98</v>
      </c>
      <c r="F216">
        <f>VLOOKUP($B216,Sheet3!$B:$G,6,0)</f>
        <v>75</v>
      </c>
      <c r="G216">
        <f>VLOOKUP($B216,Sheet3!$B:$G,5,0)</f>
        <v>70</v>
      </c>
    </row>
    <row r="217" spans="1:7">
      <c r="A217">
        <v>240610</v>
      </c>
      <c r="B217" t="s">
        <v>223</v>
      </c>
      <c r="C217">
        <f>VLOOKUP($B217,Sheet3!$B:$G,2,0)</f>
        <v>96</v>
      </c>
      <c r="D217">
        <f>VLOOKUP($B217,Sheet3!$B:$G,3,0)</f>
        <v>84</v>
      </c>
      <c r="E217">
        <f>VLOOKUP($B217,Sheet3!$B:$G,4,0)</f>
        <v>100</v>
      </c>
      <c r="F217">
        <f>VLOOKUP($B217,Sheet3!$B:$G,6,0)</f>
        <v>85</v>
      </c>
      <c r="G217">
        <f>VLOOKUP($B217,Sheet3!$B:$G,5,0)</f>
        <v>64</v>
      </c>
    </row>
    <row r="218" spans="1:7">
      <c r="A218">
        <v>240611</v>
      </c>
      <c r="B218" t="s">
        <v>224</v>
      </c>
      <c r="C218">
        <f>VLOOKUP($B218,Sheet3!$B:$G,2,0)</f>
        <v>88</v>
      </c>
      <c r="D218">
        <f>VLOOKUP($B218,Sheet3!$B:$G,3,0)</f>
        <v>60</v>
      </c>
      <c r="E218">
        <f>VLOOKUP($B218,Sheet3!$B:$G,4,0)</f>
        <v>93.5</v>
      </c>
      <c r="F218">
        <f>VLOOKUP($B218,Sheet3!$B:$G,6,0)</f>
        <v>80</v>
      </c>
      <c r="G218">
        <f>VLOOKUP($B218,Sheet3!$B:$G,5,0)</f>
        <v>64</v>
      </c>
    </row>
    <row r="219" spans="1:7">
      <c r="A219">
        <v>240612</v>
      </c>
      <c r="B219" t="s">
        <v>225</v>
      </c>
      <c r="C219">
        <f>VLOOKUP($B219,Sheet3!$B:$G,2,0)</f>
        <v>92</v>
      </c>
      <c r="D219">
        <f>VLOOKUP($B219,Sheet3!$B:$G,3,0)</f>
        <v>80</v>
      </c>
      <c r="E219">
        <f>VLOOKUP($B219,Sheet3!$B:$G,4,0)</f>
        <v>96.5</v>
      </c>
      <c r="F219">
        <f>VLOOKUP($B219,Sheet3!$B:$G,6,0)</f>
        <v>82</v>
      </c>
      <c r="G219">
        <f>VLOOKUP($B219,Sheet3!$B:$G,5,0)</f>
        <v>76</v>
      </c>
    </row>
    <row r="220" spans="1:7">
      <c r="A220">
        <v>240614</v>
      </c>
      <c r="B220" t="s">
        <v>226</v>
      </c>
      <c r="C220">
        <f>VLOOKUP($B220,Sheet3!$B:$G,2,0)</f>
        <v>76</v>
      </c>
      <c r="D220">
        <f>VLOOKUP($B220,Sheet3!$B:$G,3,0)</f>
        <v>80</v>
      </c>
      <c r="E220">
        <f>VLOOKUP($B220,Sheet3!$B:$G,4,0)</f>
        <v>84.5</v>
      </c>
      <c r="F220">
        <f>VLOOKUP($B220,Sheet3!$B:$G,6,0)</f>
        <v>80</v>
      </c>
      <c r="G220">
        <f>VLOOKUP($B220,Sheet3!$B:$G,5,0)</f>
        <v>69</v>
      </c>
    </row>
    <row r="221" spans="1:7">
      <c r="A221">
        <v>240615</v>
      </c>
      <c r="B221" t="s">
        <v>227</v>
      </c>
      <c r="C221">
        <f>VLOOKUP($B221,Sheet3!$B:$G,2,0)</f>
        <v>87</v>
      </c>
      <c r="D221">
        <f>VLOOKUP($B221,Sheet3!$B:$G,3,0)</f>
        <v>82</v>
      </c>
      <c r="E221">
        <f>VLOOKUP($B221,Sheet3!$B:$G,4,0)</f>
        <v>96</v>
      </c>
      <c r="F221">
        <f>VLOOKUP($B221,Sheet3!$B:$G,6,0)</f>
        <v>77</v>
      </c>
      <c r="G221">
        <f>VLOOKUP($B221,Sheet3!$B:$G,5,0)</f>
        <v>78</v>
      </c>
    </row>
    <row r="222" spans="1:7">
      <c r="A222">
        <v>240616</v>
      </c>
      <c r="B222" t="s">
        <v>228</v>
      </c>
      <c r="C222">
        <f>VLOOKUP($B222,Sheet3!$B:$G,2,0)</f>
        <v>97</v>
      </c>
      <c r="D222">
        <f>VLOOKUP($B222,Sheet3!$B:$G,3,0)</f>
        <v>99</v>
      </c>
      <c r="E222">
        <f>VLOOKUP($B222,Sheet3!$B:$G,4,0)</f>
        <v>105.5</v>
      </c>
      <c r="F222">
        <f>VLOOKUP($B222,Sheet3!$B:$G,6,0)</f>
        <v>81</v>
      </c>
      <c r="G222">
        <f>VLOOKUP($B222,Sheet3!$B:$G,5,0)</f>
        <v>75</v>
      </c>
    </row>
    <row r="223" spans="1:7">
      <c r="A223">
        <v>240617</v>
      </c>
      <c r="B223" t="s">
        <v>229</v>
      </c>
      <c r="C223">
        <f>VLOOKUP($B223,Sheet3!$B:$G,2,0)</f>
        <v>65</v>
      </c>
      <c r="D223">
        <f>VLOOKUP($B223,Sheet3!$B:$G,3,0)</f>
        <v>41</v>
      </c>
      <c r="E223">
        <f>VLOOKUP($B223,Sheet3!$B:$G,4,0)</f>
        <v>58.5</v>
      </c>
      <c r="F223">
        <f>VLOOKUP($B223,Sheet3!$B:$G,6,0)</f>
        <v>68</v>
      </c>
      <c r="G223">
        <f>VLOOKUP($B223,Sheet3!$B:$G,5,0)</f>
        <v>58</v>
      </c>
    </row>
    <row r="224" spans="1:7">
      <c r="A224">
        <v>240618</v>
      </c>
      <c r="B224" t="s">
        <v>230</v>
      </c>
      <c r="C224">
        <f>VLOOKUP($B224,Sheet3!$B:$G,2,0)</f>
        <v>92</v>
      </c>
      <c r="D224">
        <f>VLOOKUP($B224,Sheet3!$B:$G,3,0)</f>
        <v>92</v>
      </c>
      <c r="E224">
        <f>VLOOKUP($B224,Sheet3!$B:$G,4,0)</f>
        <v>100.5</v>
      </c>
      <c r="F224">
        <f>VLOOKUP($B224,Sheet3!$B:$G,6,0)</f>
        <v>73</v>
      </c>
      <c r="G224">
        <f>VLOOKUP($B224,Sheet3!$B:$G,5,0)</f>
        <v>70</v>
      </c>
    </row>
    <row r="225" spans="1:7">
      <c r="A225">
        <v>240619</v>
      </c>
      <c r="B225" t="s">
        <v>231</v>
      </c>
      <c r="C225">
        <f>VLOOKUP($B225,Sheet3!$B:$G,2,0)</f>
        <v>60</v>
      </c>
      <c r="D225">
        <f>VLOOKUP($B225,Sheet3!$B:$G,3,0)</f>
        <v>11</v>
      </c>
      <c r="E225">
        <f>VLOOKUP($B225,Sheet3!$B:$G,4,0)</f>
        <v>24</v>
      </c>
      <c r="F225">
        <f>VLOOKUP($B225,Sheet3!$B:$G,6,0)</f>
        <v>36</v>
      </c>
      <c r="G225">
        <f>VLOOKUP($B225,Sheet3!$B:$G,5,0)</f>
        <v>39</v>
      </c>
    </row>
    <row r="226" spans="1:7">
      <c r="A226">
        <v>240620</v>
      </c>
      <c r="B226" t="s">
        <v>232</v>
      </c>
      <c r="C226">
        <f>VLOOKUP($B226,Sheet3!$B:$G,2,0)</f>
        <v>91</v>
      </c>
      <c r="D226">
        <f>VLOOKUP($B226,Sheet3!$B:$G,3,0)</f>
        <v>63</v>
      </c>
      <c r="E226">
        <f>VLOOKUP($B226,Sheet3!$B:$G,4,0)</f>
        <v>68.5</v>
      </c>
      <c r="F226">
        <f>VLOOKUP($B226,Sheet3!$B:$G,6,0)</f>
        <v>67</v>
      </c>
      <c r="G226">
        <f>VLOOKUP($B226,Sheet3!$B:$G,5,0)</f>
        <v>44</v>
      </c>
    </row>
    <row r="227" spans="1:7">
      <c r="A227">
        <v>240621</v>
      </c>
      <c r="B227" t="s">
        <v>233</v>
      </c>
      <c r="C227">
        <f>VLOOKUP($B227,Sheet3!$B:$G,2,0)</f>
        <v>89</v>
      </c>
      <c r="D227">
        <f>VLOOKUP($B227,Sheet3!$B:$G,3,0)</f>
        <v>80</v>
      </c>
      <c r="E227">
        <f>VLOOKUP($B227,Sheet3!$B:$G,4,0)</f>
        <v>114.5</v>
      </c>
      <c r="F227">
        <f>VLOOKUP($B227,Sheet3!$B:$G,6,0)</f>
        <v>84</v>
      </c>
      <c r="G227">
        <f>VLOOKUP($B227,Sheet3!$B:$G,5,0)</f>
        <v>69</v>
      </c>
    </row>
    <row r="228" spans="1:7">
      <c r="A228">
        <v>240622</v>
      </c>
      <c r="B228" t="s">
        <v>234</v>
      </c>
      <c r="C228">
        <f>VLOOKUP($B228,Sheet3!$B:$G,2,0)</f>
        <v>82</v>
      </c>
      <c r="D228">
        <f>VLOOKUP($B228,Sheet3!$B:$G,3,0)</f>
        <v>92</v>
      </c>
      <c r="E228">
        <f>VLOOKUP($B228,Sheet3!$B:$G,4,0)</f>
        <v>96.5</v>
      </c>
      <c r="F228">
        <f>VLOOKUP($B228,Sheet3!$B:$G,6,0)</f>
        <v>77</v>
      </c>
      <c r="G228">
        <f>VLOOKUP($B228,Sheet3!$B:$G,5,0)</f>
        <v>74</v>
      </c>
    </row>
    <row r="229" spans="1:7">
      <c r="A229">
        <v>240623</v>
      </c>
      <c r="B229" t="s">
        <v>235</v>
      </c>
      <c r="C229">
        <f>VLOOKUP($B229,Sheet3!$B:$G,2,0)</f>
        <v>86</v>
      </c>
      <c r="D229">
        <f>VLOOKUP($B229,Sheet3!$B:$G,3,0)</f>
        <v>83</v>
      </c>
      <c r="E229">
        <f>VLOOKUP($B229,Sheet3!$B:$G,4,0)</f>
        <v>79.5</v>
      </c>
      <c r="F229">
        <f>VLOOKUP($B229,Sheet3!$B:$G,6,0)</f>
        <v>74</v>
      </c>
      <c r="G229">
        <f>VLOOKUP($B229,Sheet3!$B:$G,5,0)</f>
        <v>67</v>
      </c>
    </row>
    <row r="230" spans="1:7">
      <c r="A230">
        <v>240624</v>
      </c>
      <c r="B230" t="s">
        <v>236</v>
      </c>
      <c r="C230">
        <f>VLOOKUP($B230,Sheet3!$B:$G,2,0)</f>
        <v>72</v>
      </c>
      <c r="D230">
        <f>VLOOKUP($B230,Sheet3!$B:$G,3,0)</f>
        <v>44</v>
      </c>
      <c r="E230">
        <f>VLOOKUP($B230,Sheet3!$B:$G,4,0)</f>
        <v>58</v>
      </c>
      <c r="F230">
        <f>VLOOKUP($B230,Sheet3!$B:$G,6,0)</f>
        <v>63</v>
      </c>
      <c r="G230">
        <f>VLOOKUP($B230,Sheet3!$B:$G,5,0)</f>
        <v>58</v>
      </c>
    </row>
    <row r="231" spans="1:7">
      <c r="A231">
        <v>240625</v>
      </c>
      <c r="B231" t="s">
        <v>237</v>
      </c>
      <c r="C231">
        <f>VLOOKUP($B231,Sheet3!$B:$G,2,0)</f>
        <v>88</v>
      </c>
      <c r="D231">
        <f>VLOOKUP($B231,Sheet3!$B:$G,3,0)</f>
        <v>94</v>
      </c>
      <c r="E231">
        <f>VLOOKUP($B231,Sheet3!$B:$G,4,0)</f>
        <v>89</v>
      </c>
      <c r="F231">
        <f>VLOOKUP($B231,Sheet3!$B:$G,6,0)</f>
        <v>81</v>
      </c>
      <c r="G231">
        <f>VLOOKUP($B231,Sheet3!$B:$G,5,0)</f>
        <v>68</v>
      </c>
    </row>
    <row r="232" spans="1:7">
      <c r="A232">
        <v>240626</v>
      </c>
      <c r="B232" t="s">
        <v>238</v>
      </c>
      <c r="C232">
        <f>VLOOKUP($B232,Sheet3!$B:$G,2,0)</f>
        <v>82</v>
      </c>
      <c r="D232">
        <f>VLOOKUP($B232,Sheet3!$B:$G,3,0)</f>
        <v>49</v>
      </c>
      <c r="E232">
        <f>VLOOKUP($B232,Sheet3!$B:$G,4,0)</f>
        <v>48.5</v>
      </c>
      <c r="F232">
        <f>VLOOKUP($B232,Sheet3!$B:$G,6,0)</f>
        <v>71</v>
      </c>
      <c r="G232">
        <f>VLOOKUP($B232,Sheet3!$B:$G,5,0)</f>
        <v>55</v>
      </c>
    </row>
    <row r="233" spans="1:7">
      <c r="A233">
        <v>240627</v>
      </c>
      <c r="B233" t="s">
        <v>239</v>
      </c>
      <c r="C233">
        <f>VLOOKUP($B233,Sheet3!$B:$G,2,0)</f>
        <v>85</v>
      </c>
      <c r="D233">
        <f>VLOOKUP($B233,Sheet3!$B:$G,3,0)</f>
        <v>65</v>
      </c>
      <c r="E233">
        <f>VLOOKUP($B233,Sheet3!$B:$G,4,0)</f>
        <v>103.5</v>
      </c>
      <c r="F233">
        <f>VLOOKUP($B233,Sheet3!$B:$G,6,0)</f>
        <v>74</v>
      </c>
      <c r="G233">
        <f>VLOOKUP($B233,Sheet3!$B:$G,5,0)</f>
        <v>71</v>
      </c>
    </row>
    <row r="234" spans="1:7">
      <c r="A234">
        <v>240628</v>
      </c>
      <c r="B234" t="s">
        <v>240</v>
      </c>
      <c r="C234">
        <f>VLOOKUP($B234,Sheet3!$B:$G,2,0)</f>
        <v>88</v>
      </c>
      <c r="D234">
        <f>VLOOKUP($B234,Sheet3!$B:$G,3,0)</f>
        <v>72</v>
      </c>
      <c r="E234">
        <f>VLOOKUP($B234,Sheet3!$B:$G,4,0)</f>
        <v>99</v>
      </c>
      <c r="F234">
        <f>VLOOKUP($B234,Sheet3!$B:$G,6,0)</f>
        <v>78</v>
      </c>
      <c r="G234">
        <f>VLOOKUP($B234,Sheet3!$B:$G,5,0)</f>
        <v>81</v>
      </c>
    </row>
    <row r="235" spans="1:7">
      <c r="A235">
        <v>240629</v>
      </c>
      <c r="B235" t="s">
        <v>241</v>
      </c>
      <c r="C235">
        <f>VLOOKUP($B235,Sheet3!$B:$G,2,0)</f>
        <v>94</v>
      </c>
      <c r="D235">
        <f>VLOOKUP($B235,Sheet3!$B:$G,3,0)</f>
        <v>48</v>
      </c>
      <c r="E235">
        <f>VLOOKUP($B235,Sheet3!$B:$G,4,0)</f>
        <v>107.5</v>
      </c>
      <c r="F235">
        <f>VLOOKUP($B235,Sheet3!$B:$G,6,0)</f>
        <v>78</v>
      </c>
      <c r="G235">
        <f>VLOOKUP($B235,Sheet3!$B:$G,5,0)</f>
        <v>76</v>
      </c>
    </row>
    <row r="236" spans="1:7">
      <c r="A236">
        <v>240630</v>
      </c>
      <c r="B236" t="s">
        <v>242</v>
      </c>
      <c r="C236">
        <f>VLOOKUP($B236,Sheet3!$B:$G,2,0)</f>
        <v>97</v>
      </c>
      <c r="D236">
        <f>VLOOKUP($B236,Sheet3!$B:$G,3,0)</f>
        <v>90</v>
      </c>
      <c r="E236">
        <f>VLOOKUP($B236,Sheet3!$B:$G,4,0)</f>
        <v>103</v>
      </c>
      <c r="F236">
        <f>VLOOKUP($B236,Sheet3!$B:$G,6,0)</f>
        <v>80</v>
      </c>
      <c r="G236">
        <f>VLOOKUP($B236,Sheet3!$B:$G,5,0)</f>
        <v>72</v>
      </c>
    </row>
    <row r="237" spans="1:7">
      <c r="A237">
        <v>240631</v>
      </c>
      <c r="B237" t="s">
        <v>243</v>
      </c>
      <c r="C237">
        <f>VLOOKUP($B237,Sheet3!$B:$G,2,0)</f>
        <v>101</v>
      </c>
      <c r="D237">
        <f>VLOOKUP($B237,Sheet3!$B:$G,3,0)</f>
        <v>82</v>
      </c>
      <c r="E237">
        <f>VLOOKUP($B237,Sheet3!$B:$G,4,0)</f>
        <v>111</v>
      </c>
      <c r="F237">
        <f>VLOOKUP($B237,Sheet3!$B:$G,6,0)</f>
        <v>79</v>
      </c>
      <c r="G237">
        <f>VLOOKUP($B237,Sheet3!$B:$G,5,0)</f>
        <v>80</v>
      </c>
    </row>
    <row r="238" spans="1:7">
      <c r="A238">
        <v>240632</v>
      </c>
      <c r="B238" t="s">
        <v>244</v>
      </c>
      <c r="C238">
        <f>VLOOKUP($B238,Sheet3!$B:$G,2,0)</f>
        <v>90</v>
      </c>
      <c r="D238">
        <f>VLOOKUP($B238,Sheet3!$B:$G,3,0)</f>
        <v>81</v>
      </c>
      <c r="E238">
        <f>VLOOKUP($B238,Sheet3!$B:$G,4,0)</f>
        <v>90</v>
      </c>
      <c r="F238">
        <f>VLOOKUP($B238,Sheet3!$B:$G,6,0)</f>
        <v>76</v>
      </c>
      <c r="G238">
        <f>VLOOKUP($B238,Sheet3!$B:$G,5,0)</f>
        <v>78</v>
      </c>
    </row>
    <row r="239" spans="1:7">
      <c r="A239">
        <v>240633</v>
      </c>
      <c r="B239" t="s">
        <v>245</v>
      </c>
      <c r="C239">
        <f>VLOOKUP($B239,Sheet3!$B:$G,2,0)</f>
        <v>95</v>
      </c>
      <c r="D239">
        <f>VLOOKUP($B239,Sheet3!$B:$G,3,0)</f>
        <v>73</v>
      </c>
      <c r="E239">
        <f>VLOOKUP($B239,Sheet3!$B:$G,4,0)</f>
        <v>93.5</v>
      </c>
      <c r="F239">
        <f>VLOOKUP($B239,Sheet3!$B:$G,6,0)</f>
        <v>82</v>
      </c>
      <c r="G239">
        <f>VLOOKUP($B239,Sheet3!$B:$G,5,0)</f>
        <v>78</v>
      </c>
    </row>
    <row r="240" spans="1:7">
      <c r="A240">
        <v>240634</v>
      </c>
      <c r="B240" t="s">
        <v>246</v>
      </c>
      <c r="C240">
        <f>VLOOKUP($B240,Sheet3!$B:$G,2,0)</f>
        <v>85</v>
      </c>
      <c r="D240">
        <f>VLOOKUP($B240,Sheet3!$B:$G,3,0)</f>
        <v>105</v>
      </c>
      <c r="E240">
        <f>VLOOKUP($B240,Sheet3!$B:$G,4,0)</f>
        <v>98</v>
      </c>
      <c r="F240">
        <f>VLOOKUP($B240,Sheet3!$B:$G,6,0)</f>
        <v>76</v>
      </c>
      <c r="G240">
        <f>VLOOKUP($B240,Sheet3!$B:$G,5,0)</f>
        <v>78</v>
      </c>
    </row>
    <row r="241" spans="1:7">
      <c r="A241">
        <v>240635</v>
      </c>
      <c r="B241" t="s">
        <v>247</v>
      </c>
      <c r="C241">
        <f>VLOOKUP($B241,Sheet3!$B:$G,2,0)</f>
        <v>94</v>
      </c>
      <c r="D241">
        <f>VLOOKUP($B241,Sheet3!$B:$G,3,0)</f>
        <v>75</v>
      </c>
      <c r="E241">
        <f>VLOOKUP($B241,Sheet3!$B:$G,4,0)</f>
        <v>103.5</v>
      </c>
      <c r="F241">
        <f>VLOOKUP($B241,Sheet3!$B:$G,6,0)</f>
        <v>76</v>
      </c>
      <c r="G241">
        <f>VLOOKUP($B241,Sheet3!$B:$G,5,0)</f>
        <v>73</v>
      </c>
    </row>
    <row r="242" spans="1:7">
      <c r="A242">
        <v>240636</v>
      </c>
      <c r="B242" t="s">
        <v>248</v>
      </c>
      <c r="C242">
        <f>VLOOKUP($B242,Sheet3!$B:$G,2,0)</f>
        <v>104</v>
      </c>
      <c r="D242">
        <f>VLOOKUP($B242,Sheet3!$B:$G,3,0)</f>
        <v>98</v>
      </c>
      <c r="E242">
        <f>VLOOKUP($B242,Sheet3!$B:$G,4,0)</f>
        <v>114</v>
      </c>
      <c r="F242">
        <f>VLOOKUP($B242,Sheet3!$B:$G,6,0)</f>
        <v>82</v>
      </c>
      <c r="G242">
        <f>VLOOKUP($B242,Sheet3!$B:$G,5,0)</f>
        <v>76</v>
      </c>
    </row>
    <row r="243" spans="1:7">
      <c r="A243">
        <v>240637</v>
      </c>
      <c r="B243" t="s">
        <v>249</v>
      </c>
      <c r="C243">
        <f>VLOOKUP($B243,Sheet3!$B:$G,2,0)</f>
        <v>77</v>
      </c>
      <c r="D243">
        <f>VLOOKUP($B243,Sheet3!$B:$G,3,0)</f>
        <v>77</v>
      </c>
      <c r="E243">
        <f>VLOOKUP($B243,Sheet3!$B:$G,4,0)</f>
        <v>87</v>
      </c>
      <c r="F243">
        <f>VLOOKUP($B243,Sheet3!$B:$G,6,0)</f>
        <v>51</v>
      </c>
      <c r="G243">
        <f>VLOOKUP($B243,Sheet3!$B:$G,5,0)</f>
        <v>52</v>
      </c>
    </row>
    <row r="244" spans="1:7">
      <c r="A244">
        <v>240638</v>
      </c>
      <c r="B244" t="s">
        <v>250</v>
      </c>
      <c r="C244">
        <f>VLOOKUP($B244,Sheet3!$B:$G,2,0)</f>
        <v>77</v>
      </c>
      <c r="D244">
        <f>VLOOKUP($B244,Sheet3!$B:$G,3,0)</f>
        <v>64</v>
      </c>
      <c r="E244">
        <f>VLOOKUP($B244,Sheet3!$B:$G,4,0)</f>
        <v>59</v>
      </c>
      <c r="F244">
        <f>VLOOKUP($B244,Sheet3!$B:$G,6,0)</f>
        <v>62</v>
      </c>
      <c r="G244">
        <f>VLOOKUP($B244,Sheet3!$B:$G,5,0)</f>
        <v>65</v>
      </c>
    </row>
    <row r="245" spans="1:7">
      <c r="A245">
        <v>240639</v>
      </c>
      <c r="B245" t="s">
        <v>251</v>
      </c>
      <c r="C245">
        <f>VLOOKUP($B245,Sheet3!$B:$G,2,0)</f>
        <v>89</v>
      </c>
      <c r="D245">
        <f>VLOOKUP($B245,Sheet3!$B:$G,3,0)</f>
        <v>98</v>
      </c>
      <c r="E245">
        <f>VLOOKUP($B245,Sheet3!$B:$G,4,0)</f>
        <v>80</v>
      </c>
      <c r="F245">
        <f>VLOOKUP($B245,Sheet3!$B:$G,6,0)</f>
        <v>70</v>
      </c>
      <c r="G245">
        <f>VLOOKUP($B245,Sheet3!$B:$G,5,0)</f>
        <v>66</v>
      </c>
    </row>
    <row r="246" spans="1:7">
      <c r="A246">
        <v>240640</v>
      </c>
      <c r="B246" t="s">
        <v>252</v>
      </c>
      <c r="C246">
        <f>VLOOKUP($B246,Sheet3!$B:$G,2,0)</f>
        <v>80</v>
      </c>
      <c r="D246">
        <f>VLOOKUP($B246,Sheet3!$B:$G,3,0)</f>
        <v>59</v>
      </c>
      <c r="E246">
        <f>VLOOKUP($B246,Sheet3!$B:$G,4,0)</f>
        <v>89</v>
      </c>
      <c r="F246">
        <f>VLOOKUP($B246,Sheet3!$B:$G,6,0)</f>
        <v>72</v>
      </c>
      <c r="G246">
        <f>VLOOKUP($B246,Sheet3!$B:$G,5,0)</f>
        <v>71</v>
      </c>
    </row>
    <row r="247" spans="1:7">
      <c r="A247">
        <v>241617</v>
      </c>
      <c r="B247" t="s">
        <v>253</v>
      </c>
      <c r="C247">
        <f>VLOOKUP($B247,Sheet3!$B:$G,2,0)</f>
        <v>80</v>
      </c>
      <c r="D247">
        <f>VLOOKUP($B247,Sheet3!$B:$G,3,0)</f>
        <v>65</v>
      </c>
      <c r="E247">
        <f>VLOOKUP($B247,Sheet3!$B:$G,4,0)</f>
        <v>65.5</v>
      </c>
      <c r="F247">
        <f>VLOOKUP($B247,Sheet3!$B:$G,6,0)</f>
        <v>73</v>
      </c>
      <c r="G247">
        <f>VLOOKUP($B247,Sheet3!$B:$G,5,0)</f>
        <v>74</v>
      </c>
    </row>
    <row r="248" spans="1:7">
      <c r="A248">
        <v>240641</v>
      </c>
      <c r="B248" t="s">
        <v>254</v>
      </c>
      <c r="C248" t="e">
        <f>VLOOKUP($B248,Sheet3!$B:$G,2,0)</f>
        <v>#N/A</v>
      </c>
      <c r="D248" t="e">
        <f>VLOOKUP($B248,Sheet3!$B:$G,3,0)</f>
        <v>#N/A</v>
      </c>
      <c r="E248" t="e">
        <f>VLOOKUP($B248,Sheet3!$B:$G,4,0)</f>
        <v>#N/A</v>
      </c>
      <c r="F248" t="e">
        <f>VLOOKUP($B248,Sheet3!$B:$G,6,0)</f>
        <v>#N/A</v>
      </c>
      <c r="G248" t="e">
        <f>VLOOKUP($B248,Sheet3!$B:$G,5,0)</f>
        <v>#N/A</v>
      </c>
    </row>
    <row r="249" spans="1:7">
      <c r="A249">
        <v>240642</v>
      </c>
      <c r="B249" t="s">
        <v>255</v>
      </c>
      <c r="C249" t="e">
        <f>VLOOKUP($B249,Sheet3!$B:$G,2,0)</f>
        <v>#N/A</v>
      </c>
      <c r="D249" t="e">
        <f>VLOOKUP($B249,Sheet3!$B:$G,3,0)</f>
        <v>#N/A</v>
      </c>
      <c r="E249" t="e">
        <f>VLOOKUP($B249,Sheet3!$B:$G,4,0)</f>
        <v>#N/A</v>
      </c>
      <c r="F249" t="e">
        <f>VLOOKUP($B249,Sheet3!$B:$G,6,0)</f>
        <v>#N/A</v>
      </c>
      <c r="G249" t="e">
        <f>VLOOKUP($B249,Sheet3!$B:$G,5,0)</f>
        <v>#N/A</v>
      </c>
    </row>
    <row r="250" spans="1:7">
      <c r="A250">
        <v>240701</v>
      </c>
      <c r="B250" t="s">
        <v>256</v>
      </c>
      <c r="C250">
        <f>VLOOKUP($B250,Sheet3!$B:$G,2,0)</f>
        <v>93</v>
      </c>
      <c r="D250">
        <f>VLOOKUP($B250,Sheet3!$B:$G,3,0)</f>
        <v>98</v>
      </c>
      <c r="E250">
        <f>VLOOKUP($B250,Sheet3!$B:$G,4,0)</f>
        <v>105.5</v>
      </c>
      <c r="F250">
        <f>VLOOKUP($B250,Sheet3!$B:$G,6,0)</f>
        <v>63</v>
      </c>
      <c r="G250">
        <f>VLOOKUP($B250,Sheet3!$B:$G,5,0)</f>
        <v>55</v>
      </c>
    </row>
    <row r="251" spans="1:7">
      <c r="A251">
        <v>240702</v>
      </c>
      <c r="B251" t="s">
        <v>257</v>
      </c>
      <c r="C251">
        <f>VLOOKUP($B251,Sheet3!$B:$G,2,0)</f>
        <v>100</v>
      </c>
      <c r="D251">
        <f>VLOOKUP($B251,Sheet3!$B:$G,3,0)</f>
        <v>98</v>
      </c>
      <c r="E251">
        <f>VLOOKUP($B251,Sheet3!$B:$G,4,0)</f>
        <v>104</v>
      </c>
      <c r="F251">
        <f>VLOOKUP($B251,Sheet3!$B:$G,6,0)</f>
        <v>83</v>
      </c>
      <c r="G251">
        <f>VLOOKUP($B251,Sheet3!$B:$G,5,0)</f>
        <v>79</v>
      </c>
    </row>
    <row r="252" spans="1:7">
      <c r="A252">
        <v>240703</v>
      </c>
      <c r="B252" t="s">
        <v>258</v>
      </c>
      <c r="C252">
        <f>VLOOKUP($B252,Sheet3!$B:$G,2,0)</f>
        <v>107</v>
      </c>
      <c r="D252">
        <f>VLOOKUP($B252,Sheet3!$B:$G,3,0)</f>
        <v>96</v>
      </c>
      <c r="E252">
        <f>VLOOKUP($B252,Sheet3!$B:$G,4,0)</f>
        <v>115.5</v>
      </c>
      <c r="F252">
        <f>VLOOKUP($B252,Sheet3!$B:$G,6,0)</f>
        <v>86</v>
      </c>
      <c r="G252">
        <f>VLOOKUP($B252,Sheet3!$B:$G,5,0)</f>
        <v>80</v>
      </c>
    </row>
    <row r="253" spans="1:7">
      <c r="A253">
        <v>240704</v>
      </c>
      <c r="B253" t="s">
        <v>259</v>
      </c>
      <c r="C253">
        <f>VLOOKUP($B253,Sheet3!$B:$G,2,0)</f>
        <v>105</v>
      </c>
      <c r="D253">
        <f>VLOOKUP($B253,Sheet3!$B:$G,3,0)</f>
        <v>98</v>
      </c>
      <c r="E253">
        <f>VLOOKUP($B253,Sheet3!$B:$G,4,0)</f>
        <v>112.5</v>
      </c>
      <c r="F253">
        <f>VLOOKUP($B253,Sheet3!$B:$G,6,0)</f>
        <v>79</v>
      </c>
      <c r="G253">
        <f>VLOOKUP($B253,Sheet3!$B:$G,5,0)</f>
        <v>78</v>
      </c>
    </row>
    <row r="254" spans="1:7">
      <c r="A254">
        <v>240705</v>
      </c>
      <c r="B254" t="s">
        <v>260</v>
      </c>
      <c r="C254">
        <f>VLOOKUP($B254,Sheet3!$B:$G,2,0)</f>
        <v>99</v>
      </c>
      <c r="D254">
        <f>VLOOKUP($B254,Sheet3!$B:$G,3,0)</f>
        <v>95</v>
      </c>
      <c r="E254">
        <f>VLOOKUP($B254,Sheet3!$B:$G,4,0)</f>
        <v>106</v>
      </c>
      <c r="F254">
        <f>VLOOKUP($B254,Sheet3!$B:$G,6,0)</f>
        <v>88</v>
      </c>
      <c r="G254">
        <f>VLOOKUP($B254,Sheet3!$B:$G,5,0)</f>
        <v>81</v>
      </c>
    </row>
    <row r="255" spans="1:7">
      <c r="A255">
        <v>240706</v>
      </c>
      <c r="B255" t="s">
        <v>261</v>
      </c>
      <c r="C255">
        <f>VLOOKUP($B255,Sheet3!$B:$G,2,0)</f>
        <v>99</v>
      </c>
      <c r="D255">
        <f>VLOOKUP($B255,Sheet3!$B:$G,3,0)</f>
        <v>103</v>
      </c>
      <c r="E255">
        <f>VLOOKUP($B255,Sheet3!$B:$G,4,0)</f>
        <v>113.5</v>
      </c>
      <c r="F255">
        <f>VLOOKUP($B255,Sheet3!$B:$G,6,0)</f>
        <v>89</v>
      </c>
      <c r="G255">
        <f>VLOOKUP($B255,Sheet3!$B:$G,5,0)</f>
        <v>72</v>
      </c>
    </row>
    <row r="256" spans="1:7">
      <c r="A256">
        <v>240707</v>
      </c>
      <c r="B256" t="s">
        <v>262</v>
      </c>
      <c r="C256">
        <f>VLOOKUP($B256,Sheet3!$B:$G,2,0)</f>
        <v>90</v>
      </c>
      <c r="D256">
        <f>VLOOKUP($B256,Sheet3!$B:$G,3,0)</f>
        <v>92</v>
      </c>
      <c r="E256">
        <f>VLOOKUP($B256,Sheet3!$B:$G,4,0)</f>
        <v>96.5</v>
      </c>
      <c r="F256">
        <f>VLOOKUP($B256,Sheet3!$B:$G,6,0)</f>
        <v>71</v>
      </c>
      <c r="G256">
        <f>VLOOKUP($B256,Sheet3!$B:$G,5,0)</f>
        <v>50</v>
      </c>
    </row>
    <row r="257" spans="1:7">
      <c r="A257">
        <v>240708</v>
      </c>
      <c r="B257" t="s">
        <v>263</v>
      </c>
      <c r="C257">
        <f>VLOOKUP($B257,Sheet3!$B:$G,2,0)</f>
        <v>93</v>
      </c>
      <c r="D257">
        <f>VLOOKUP($B257,Sheet3!$B:$G,3,0)</f>
        <v>98</v>
      </c>
      <c r="E257">
        <f>VLOOKUP($B257,Sheet3!$B:$G,4,0)</f>
        <v>107.5</v>
      </c>
      <c r="F257">
        <f>VLOOKUP($B257,Sheet3!$B:$G,6,0)</f>
        <v>68</v>
      </c>
      <c r="G257">
        <f>VLOOKUP($B257,Sheet3!$B:$G,5,0)</f>
        <v>70</v>
      </c>
    </row>
    <row r="258" spans="1:7">
      <c r="A258">
        <v>240709</v>
      </c>
      <c r="B258" t="s">
        <v>264</v>
      </c>
      <c r="C258">
        <f>VLOOKUP($B258,Sheet3!$B:$G,2,0)</f>
        <v>101</v>
      </c>
      <c r="D258">
        <f>VLOOKUP($B258,Sheet3!$B:$G,3,0)</f>
        <v>97</v>
      </c>
      <c r="E258">
        <f>VLOOKUP($B258,Sheet3!$B:$G,4,0)</f>
        <v>117</v>
      </c>
      <c r="F258">
        <f>VLOOKUP($B258,Sheet3!$B:$G,6,0)</f>
        <v>87</v>
      </c>
      <c r="G258">
        <f>VLOOKUP($B258,Sheet3!$B:$G,5,0)</f>
        <v>74</v>
      </c>
    </row>
    <row r="259" spans="1:7">
      <c r="A259">
        <v>240710</v>
      </c>
      <c r="B259" t="s">
        <v>265</v>
      </c>
      <c r="C259">
        <f>VLOOKUP($B259,Sheet3!$B:$G,2,0)</f>
        <v>101</v>
      </c>
      <c r="D259">
        <f>VLOOKUP($B259,Sheet3!$B:$G,3,0)</f>
        <v>81</v>
      </c>
      <c r="E259">
        <f>VLOOKUP($B259,Sheet3!$B:$G,4,0)</f>
        <v>100</v>
      </c>
      <c r="F259">
        <f>VLOOKUP($B259,Sheet3!$B:$G,6,0)</f>
        <v>77</v>
      </c>
      <c r="G259">
        <f>VLOOKUP($B259,Sheet3!$B:$G,5,0)</f>
        <v>76</v>
      </c>
    </row>
    <row r="260" spans="1:7">
      <c r="A260">
        <v>240711</v>
      </c>
      <c r="B260" t="s">
        <v>266</v>
      </c>
      <c r="C260">
        <f>VLOOKUP($B260,Sheet3!$B:$G,2,0)</f>
        <v>91</v>
      </c>
      <c r="D260">
        <f>VLOOKUP($B260,Sheet3!$B:$G,3,0)</f>
        <v>84</v>
      </c>
      <c r="E260">
        <f>VLOOKUP($B260,Sheet3!$B:$G,4,0)</f>
        <v>105</v>
      </c>
      <c r="F260">
        <f>VLOOKUP($B260,Sheet3!$B:$G,6,0)</f>
        <v>74</v>
      </c>
      <c r="G260">
        <f>VLOOKUP($B260,Sheet3!$B:$G,5,0)</f>
        <v>60</v>
      </c>
    </row>
    <row r="261" spans="1:7">
      <c r="A261">
        <v>240712</v>
      </c>
      <c r="B261" t="s">
        <v>267</v>
      </c>
      <c r="C261">
        <f>VLOOKUP($B261,Sheet3!$B:$G,2,0)</f>
        <v>110</v>
      </c>
      <c r="D261">
        <f>VLOOKUP($B261,Sheet3!$B:$G,3,0)</f>
        <v>115</v>
      </c>
      <c r="E261">
        <f>VLOOKUP($B261,Sheet3!$B:$G,4,0)</f>
        <v>119</v>
      </c>
      <c r="F261">
        <f>VLOOKUP($B261,Sheet3!$B:$G,6,0)</f>
        <v>90</v>
      </c>
      <c r="G261">
        <f>VLOOKUP($B261,Sheet3!$B:$G,5,0)</f>
        <v>81</v>
      </c>
    </row>
    <row r="262" spans="1:7">
      <c r="A262">
        <v>240713</v>
      </c>
      <c r="B262" t="s">
        <v>268</v>
      </c>
      <c r="C262">
        <f>VLOOKUP($B262,Sheet3!$B:$G,2,0)</f>
        <v>106</v>
      </c>
      <c r="D262">
        <f>VLOOKUP($B262,Sheet3!$B:$G,3,0)</f>
        <v>87</v>
      </c>
      <c r="E262">
        <f>VLOOKUP($B262,Sheet3!$B:$G,4,0)</f>
        <v>107.5</v>
      </c>
      <c r="F262">
        <f>VLOOKUP($B262,Sheet3!$B:$G,6,0)</f>
        <v>84</v>
      </c>
      <c r="G262">
        <f>VLOOKUP($B262,Sheet3!$B:$G,5,0)</f>
        <v>77</v>
      </c>
    </row>
    <row r="263" spans="1:7">
      <c r="A263">
        <v>240714</v>
      </c>
      <c r="B263" t="s">
        <v>269</v>
      </c>
      <c r="C263">
        <f>VLOOKUP($B263,Sheet3!$B:$G,2,0)</f>
        <v>100</v>
      </c>
      <c r="D263">
        <f>VLOOKUP($B263,Sheet3!$B:$G,3,0)</f>
        <v>102</v>
      </c>
      <c r="E263">
        <f>VLOOKUP($B263,Sheet3!$B:$G,4,0)</f>
        <v>115</v>
      </c>
      <c r="F263">
        <f>VLOOKUP($B263,Sheet3!$B:$G,6,0)</f>
        <v>90</v>
      </c>
      <c r="G263">
        <f>VLOOKUP($B263,Sheet3!$B:$G,5,0)</f>
        <v>83</v>
      </c>
    </row>
    <row r="264" spans="1:7">
      <c r="A264">
        <v>240715</v>
      </c>
      <c r="B264" t="s">
        <v>270</v>
      </c>
      <c r="C264">
        <f>VLOOKUP($B264,Sheet3!$B:$G,2,0)</f>
        <v>111</v>
      </c>
      <c r="D264">
        <f>VLOOKUP($B264,Sheet3!$B:$G,3,0)</f>
        <v>112</v>
      </c>
      <c r="E264">
        <f>VLOOKUP($B264,Sheet3!$B:$G,4,0)</f>
        <v>118.5</v>
      </c>
      <c r="F264">
        <f>VLOOKUP($B264,Sheet3!$B:$G,6,0)</f>
        <v>85</v>
      </c>
      <c r="G264">
        <f>VLOOKUP($B264,Sheet3!$B:$G,5,0)</f>
        <v>88</v>
      </c>
    </row>
    <row r="265" spans="1:7">
      <c r="A265">
        <v>240716</v>
      </c>
      <c r="B265" t="s">
        <v>271</v>
      </c>
      <c r="C265">
        <f>VLOOKUP($B265,Sheet3!$B:$G,2,0)</f>
        <v>105</v>
      </c>
      <c r="D265">
        <f>VLOOKUP($B265,Sheet3!$B:$G,3,0)</f>
        <v>91</v>
      </c>
      <c r="E265">
        <f>VLOOKUP($B265,Sheet3!$B:$G,4,0)</f>
        <v>110</v>
      </c>
      <c r="F265">
        <f>VLOOKUP($B265,Sheet3!$B:$G,6,0)</f>
        <v>85</v>
      </c>
      <c r="G265">
        <f>VLOOKUP($B265,Sheet3!$B:$G,5,0)</f>
        <v>77</v>
      </c>
    </row>
    <row r="266" spans="1:7">
      <c r="A266">
        <v>240717</v>
      </c>
      <c r="B266" t="s">
        <v>272</v>
      </c>
      <c r="C266">
        <f>VLOOKUP($B266,Sheet3!$B:$G,2,0)</f>
        <v>104</v>
      </c>
      <c r="D266">
        <f>VLOOKUP($B266,Sheet3!$B:$G,3,0)</f>
        <v>93</v>
      </c>
      <c r="E266">
        <f>VLOOKUP($B266,Sheet3!$B:$G,4,0)</f>
        <v>115.5</v>
      </c>
      <c r="F266">
        <f>VLOOKUP($B266,Sheet3!$B:$G,6,0)</f>
        <v>85</v>
      </c>
      <c r="G266">
        <f>VLOOKUP($B266,Sheet3!$B:$G,5,0)</f>
        <v>76</v>
      </c>
    </row>
    <row r="267" spans="1:7">
      <c r="A267">
        <v>240718</v>
      </c>
      <c r="B267" t="s">
        <v>273</v>
      </c>
      <c r="C267">
        <f>VLOOKUP($B267,Sheet3!$B:$G,2,0)</f>
        <v>94</v>
      </c>
      <c r="D267">
        <f>VLOOKUP($B267,Sheet3!$B:$G,3,0)</f>
        <v>109</v>
      </c>
      <c r="E267">
        <f>VLOOKUP($B267,Sheet3!$B:$G,4,0)</f>
        <v>107.5</v>
      </c>
      <c r="F267">
        <f>VLOOKUP($B267,Sheet3!$B:$G,6,0)</f>
        <v>86</v>
      </c>
      <c r="G267">
        <f>VLOOKUP($B267,Sheet3!$B:$G,5,0)</f>
        <v>75</v>
      </c>
    </row>
    <row r="268" spans="1:7">
      <c r="A268">
        <v>240719</v>
      </c>
      <c r="B268" t="s">
        <v>274</v>
      </c>
      <c r="C268">
        <f>VLOOKUP($B268,Sheet3!$B:$G,2,0)</f>
        <v>94</v>
      </c>
      <c r="D268">
        <f>VLOOKUP($B268,Sheet3!$B:$G,3,0)</f>
        <v>107</v>
      </c>
      <c r="E268">
        <f>VLOOKUP($B268,Sheet3!$B:$G,4,0)</f>
        <v>101.5</v>
      </c>
      <c r="F268">
        <f>VLOOKUP($B268,Sheet3!$B:$G,6,0)</f>
        <v>67</v>
      </c>
      <c r="G268">
        <f>VLOOKUP($B268,Sheet3!$B:$G,5,0)</f>
        <v>68</v>
      </c>
    </row>
    <row r="269" spans="1:7">
      <c r="A269">
        <v>240720</v>
      </c>
      <c r="B269" t="s">
        <v>275</v>
      </c>
      <c r="C269">
        <f>VLOOKUP($B269,Sheet3!$B:$G,2,0)</f>
        <v>104</v>
      </c>
      <c r="D269">
        <f>VLOOKUP($B269,Sheet3!$B:$G,3,0)</f>
        <v>101</v>
      </c>
      <c r="E269">
        <f>VLOOKUP($B269,Sheet3!$B:$G,4,0)</f>
        <v>110.5</v>
      </c>
      <c r="F269">
        <f>VLOOKUP($B269,Sheet3!$B:$G,6,0)</f>
        <v>84</v>
      </c>
      <c r="G269">
        <f>VLOOKUP($B269,Sheet3!$B:$G,5,0)</f>
        <v>77</v>
      </c>
    </row>
    <row r="270" spans="1:7">
      <c r="A270">
        <v>240721</v>
      </c>
      <c r="B270" t="s">
        <v>276</v>
      </c>
      <c r="C270">
        <f>VLOOKUP($B270,Sheet3!$B:$G,2,0)</f>
        <v>96</v>
      </c>
      <c r="D270">
        <f>VLOOKUP($B270,Sheet3!$B:$G,3,0)</f>
        <v>113</v>
      </c>
      <c r="E270">
        <f>VLOOKUP($B270,Sheet3!$B:$G,4,0)</f>
        <v>112.5</v>
      </c>
      <c r="F270">
        <f>VLOOKUP($B270,Sheet3!$B:$G,6,0)</f>
        <v>88</v>
      </c>
      <c r="G270">
        <f>VLOOKUP($B270,Sheet3!$B:$G,5,0)</f>
        <v>83</v>
      </c>
    </row>
    <row r="271" spans="1:7">
      <c r="A271">
        <v>240722</v>
      </c>
      <c r="B271" t="s">
        <v>277</v>
      </c>
      <c r="C271">
        <f>VLOOKUP($B271,Sheet3!$B:$G,2,0)</f>
        <v>97</v>
      </c>
      <c r="D271">
        <f>VLOOKUP($B271,Sheet3!$B:$G,3,0)</f>
        <v>81</v>
      </c>
      <c r="E271">
        <f>VLOOKUP($B271,Sheet3!$B:$G,4,0)</f>
        <v>102</v>
      </c>
      <c r="F271">
        <f>VLOOKUP($B271,Sheet3!$B:$G,6,0)</f>
        <v>86</v>
      </c>
      <c r="G271">
        <f>VLOOKUP($B271,Sheet3!$B:$G,5,0)</f>
        <v>75</v>
      </c>
    </row>
    <row r="272" spans="1:7">
      <c r="A272">
        <v>240723</v>
      </c>
      <c r="B272" t="s">
        <v>278</v>
      </c>
      <c r="C272">
        <f>VLOOKUP($B272,Sheet3!$B:$G,2,0)</f>
        <v>97</v>
      </c>
      <c r="D272">
        <f>VLOOKUP($B272,Sheet3!$B:$G,3,0)</f>
        <v>82</v>
      </c>
      <c r="E272">
        <f>VLOOKUP($B272,Sheet3!$B:$G,4,0)</f>
        <v>102</v>
      </c>
      <c r="F272">
        <f>VLOOKUP($B272,Sheet3!$B:$G,6,0)</f>
        <v>66</v>
      </c>
      <c r="G272">
        <f>VLOOKUP($B272,Sheet3!$B:$G,5,0)</f>
        <v>57</v>
      </c>
    </row>
    <row r="273" spans="1:7">
      <c r="A273">
        <v>240724</v>
      </c>
      <c r="B273" t="s">
        <v>279</v>
      </c>
      <c r="C273">
        <f>VLOOKUP($B273,Sheet3!$B:$G,2,0)</f>
        <v>95</v>
      </c>
      <c r="D273">
        <f>VLOOKUP($B273,Sheet3!$B:$G,3,0)</f>
        <v>95</v>
      </c>
      <c r="E273">
        <f>VLOOKUP($B273,Sheet3!$B:$G,4,0)</f>
        <v>111.5</v>
      </c>
      <c r="F273">
        <f>VLOOKUP($B273,Sheet3!$B:$G,6,0)</f>
        <v>79</v>
      </c>
      <c r="G273">
        <f>VLOOKUP($B273,Sheet3!$B:$G,5,0)</f>
        <v>78</v>
      </c>
    </row>
    <row r="274" spans="1:7">
      <c r="A274">
        <v>240725</v>
      </c>
      <c r="B274" t="s">
        <v>280</v>
      </c>
      <c r="C274">
        <f>VLOOKUP($B274,Sheet3!$B:$G,2,0)</f>
        <v>95</v>
      </c>
      <c r="D274">
        <f>VLOOKUP($B274,Sheet3!$B:$G,3,0)</f>
        <v>74</v>
      </c>
      <c r="E274">
        <f>VLOOKUP($B274,Sheet3!$B:$G,4,0)</f>
        <v>97</v>
      </c>
      <c r="F274">
        <f>VLOOKUP($B274,Sheet3!$B:$G,6,0)</f>
        <v>62</v>
      </c>
      <c r="G274">
        <f>VLOOKUP($B274,Sheet3!$B:$G,5,0)</f>
        <v>65</v>
      </c>
    </row>
    <row r="275" spans="1:7">
      <c r="A275">
        <v>240726</v>
      </c>
      <c r="B275" t="s">
        <v>281</v>
      </c>
      <c r="C275">
        <f>VLOOKUP($B275,Sheet3!$B:$G,2,0)</f>
        <v>93</v>
      </c>
      <c r="D275">
        <f>VLOOKUP($B275,Sheet3!$B:$G,3,0)</f>
        <v>99</v>
      </c>
      <c r="E275">
        <f>VLOOKUP($B275,Sheet3!$B:$G,4,0)</f>
        <v>110.5</v>
      </c>
      <c r="F275">
        <f>VLOOKUP($B275,Sheet3!$B:$G,6,0)</f>
        <v>85</v>
      </c>
      <c r="G275">
        <f>VLOOKUP($B275,Sheet3!$B:$G,5,0)</f>
        <v>72</v>
      </c>
    </row>
    <row r="276" spans="1:7">
      <c r="A276">
        <v>240727</v>
      </c>
      <c r="B276" t="s">
        <v>282</v>
      </c>
      <c r="C276">
        <f>VLOOKUP($B276,Sheet3!$B:$G,2,0)</f>
        <v>102</v>
      </c>
      <c r="D276">
        <f>VLOOKUP($B276,Sheet3!$B:$G,3,0)</f>
        <v>101</v>
      </c>
      <c r="E276">
        <f>VLOOKUP($B276,Sheet3!$B:$G,4,0)</f>
        <v>110</v>
      </c>
      <c r="F276">
        <f>VLOOKUP($B276,Sheet3!$B:$G,6,0)</f>
        <v>76</v>
      </c>
      <c r="G276">
        <f>VLOOKUP($B276,Sheet3!$B:$G,5,0)</f>
        <v>72</v>
      </c>
    </row>
    <row r="277" spans="1:7">
      <c r="A277">
        <v>240729</v>
      </c>
      <c r="B277" t="s">
        <v>283</v>
      </c>
      <c r="C277">
        <f>VLOOKUP($B277,Sheet3!$B:$G,2,0)</f>
        <v>95</v>
      </c>
      <c r="D277">
        <f>VLOOKUP($B277,Sheet3!$B:$G,3,0)</f>
        <v>93</v>
      </c>
      <c r="E277">
        <f>VLOOKUP($B277,Sheet3!$B:$G,4,0)</f>
        <v>94.5</v>
      </c>
      <c r="F277">
        <f>VLOOKUP($B277,Sheet3!$B:$G,6,0)</f>
        <v>86</v>
      </c>
      <c r="G277">
        <f>VLOOKUP($B277,Sheet3!$B:$G,5,0)</f>
        <v>76</v>
      </c>
    </row>
    <row r="278" spans="1:7">
      <c r="A278">
        <v>240730</v>
      </c>
      <c r="B278" t="s">
        <v>284</v>
      </c>
      <c r="C278">
        <f>VLOOKUP($B278,Sheet3!$B:$G,2,0)</f>
        <v>79</v>
      </c>
      <c r="D278">
        <f>VLOOKUP($B278,Sheet3!$B:$G,3,0)</f>
        <v>100</v>
      </c>
      <c r="E278">
        <f>VLOOKUP($B278,Sheet3!$B:$G,4,0)</f>
        <v>115</v>
      </c>
      <c r="F278">
        <f>VLOOKUP($B278,Sheet3!$B:$G,6,0)</f>
        <v>65</v>
      </c>
      <c r="G278">
        <f>VLOOKUP($B278,Sheet3!$B:$G,5,0)</f>
        <v>65</v>
      </c>
    </row>
    <row r="279" spans="1:7">
      <c r="A279">
        <v>240731</v>
      </c>
      <c r="B279" t="s">
        <v>285</v>
      </c>
      <c r="C279">
        <f>VLOOKUP($B279,Sheet3!$B:$G,2,0)</f>
        <v>98</v>
      </c>
      <c r="D279">
        <f>VLOOKUP($B279,Sheet3!$B:$G,3,0)</f>
        <v>92</v>
      </c>
      <c r="E279">
        <f>VLOOKUP($B279,Sheet3!$B:$G,4,0)</f>
        <v>99</v>
      </c>
      <c r="F279">
        <f>VLOOKUP($B279,Sheet3!$B:$G,6,0)</f>
        <v>66</v>
      </c>
      <c r="G279">
        <f>VLOOKUP($B279,Sheet3!$B:$G,5,0)</f>
        <v>67</v>
      </c>
    </row>
    <row r="280" spans="1:7">
      <c r="A280">
        <v>240732</v>
      </c>
      <c r="B280" t="s">
        <v>286</v>
      </c>
      <c r="C280">
        <f>VLOOKUP($B280,Sheet3!$B:$G,2,0)</f>
        <v>94</v>
      </c>
      <c r="D280">
        <f>VLOOKUP($B280,Sheet3!$B:$G,3,0)</f>
        <v>97</v>
      </c>
      <c r="E280">
        <f>VLOOKUP($B280,Sheet3!$B:$G,4,0)</f>
        <v>109</v>
      </c>
      <c r="F280">
        <f>VLOOKUP($B280,Sheet3!$B:$G,6,0)</f>
        <v>89</v>
      </c>
      <c r="G280">
        <f>VLOOKUP($B280,Sheet3!$B:$G,5,0)</f>
        <v>80</v>
      </c>
    </row>
    <row r="281" spans="1:7">
      <c r="A281">
        <v>240733</v>
      </c>
      <c r="B281" t="s">
        <v>287</v>
      </c>
      <c r="C281">
        <f>VLOOKUP($B281,Sheet3!$B:$G,2,0)</f>
        <v>91</v>
      </c>
      <c r="D281">
        <f>VLOOKUP($B281,Sheet3!$B:$G,3,0)</f>
        <v>91</v>
      </c>
      <c r="E281">
        <f>VLOOKUP($B281,Sheet3!$B:$G,4,0)</f>
        <v>83.5</v>
      </c>
      <c r="F281">
        <f>VLOOKUP($B281,Sheet3!$B:$G,6,0)</f>
        <v>82</v>
      </c>
      <c r="G281">
        <f>VLOOKUP($B281,Sheet3!$B:$G,5,0)</f>
        <v>54</v>
      </c>
    </row>
    <row r="282" spans="1:7">
      <c r="A282">
        <v>240734</v>
      </c>
      <c r="B282" t="s">
        <v>288</v>
      </c>
      <c r="C282">
        <f>VLOOKUP($B282,Sheet3!$B:$G,2,0)</f>
        <v>105</v>
      </c>
      <c r="D282">
        <f>VLOOKUP($B282,Sheet3!$B:$G,3,0)</f>
        <v>103</v>
      </c>
      <c r="E282">
        <f>VLOOKUP($B282,Sheet3!$B:$G,4,0)</f>
        <v>109.5</v>
      </c>
      <c r="F282">
        <f>VLOOKUP($B282,Sheet3!$B:$G,6,0)</f>
        <v>88</v>
      </c>
      <c r="G282">
        <f>VLOOKUP($B282,Sheet3!$B:$G,5,0)</f>
        <v>82</v>
      </c>
    </row>
    <row r="283" spans="1:7">
      <c r="A283">
        <v>240735</v>
      </c>
      <c r="B283" t="s">
        <v>289</v>
      </c>
      <c r="C283">
        <f>VLOOKUP($B283,Sheet3!$B:$G,2,0)</f>
        <v>91</v>
      </c>
      <c r="D283">
        <f>VLOOKUP($B283,Sheet3!$B:$G,3,0)</f>
        <v>87</v>
      </c>
      <c r="E283">
        <f>VLOOKUP($B283,Sheet3!$B:$G,4,0)</f>
        <v>97</v>
      </c>
      <c r="F283">
        <f>VLOOKUP($B283,Sheet3!$B:$G,6,0)</f>
        <v>76</v>
      </c>
      <c r="G283">
        <f>VLOOKUP($B283,Sheet3!$B:$G,5,0)</f>
        <v>64</v>
      </c>
    </row>
    <row r="284" spans="1:7">
      <c r="A284">
        <v>240736</v>
      </c>
      <c r="B284" t="s">
        <v>290</v>
      </c>
      <c r="C284">
        <f>VLOOKUP($B284,Sheet3!$B:$G,2,0)</f>
        <v>106</v>
      </c>
      <c r="D284">
        <f>VLOOKUP($B284,Sheet3!$B:$G,3,0)</f>
        <v>101</v>
      </c>
      <c r="E284">
        <f>VLOOKUP($B284,Sheet3!$B:$G,4,0)</f>
        <v>108</v>
      </c>
      <c r="F284">
        <f>VLOOKUP($B284,Sheet3!$B:$G,6,0)</f>
        <v>88</v>
      </c>
      <c r="G284">
        <f>VLOOKUP($B284,Sheet3!$B:$G,5,0)</f>
        <v>79</v>
      </c>
    </row>
    <row r="285" spans="1:7">
      <c r="A285">
        <v>240737</v>
      </c>
      <c r="B285" t="s">
        <v>291</v>
      </c>
      <c r="C285">
        <f>VLOOKUP($B285,Sheet3!$B:$G,2,0)</f>
        <v>92</v>
      </c>
      <c r="D285">
        <f>VLOOKUP($B285,Sheet3!$B:$G,3,0)</f>
        <v>105</v>
      </c>
      <c r="E285">
        <f>VLOOKUP($B285,Sheet3!$B:$G,4,0)</f>
        <v>107.5</v>
      </c>
      <c r="F285">
        <f>VLOOKUP($B285,Sheet3!$B:$G,6,0)</f>
        <v>76</v>
      </c>
      <c r="G285">
        <f>VLOOKUP($B285,Sheet3!$B:$G,5,0)</f>
        <v>74</v>
      </c>
    </row>
    <row r="286" spans="1:7">
      <c r="A286">
        <v>240738</v>
      </c>
      <c r="B286" t="s">
        <v>292</v>
      </c>
      <c r="C286">
        <f>VLOOKUP($B286,Sheet3!$B:$G,2,0)</f>
        <v>93</v>
      </c>
      <c r="D286">
        <f>VLOOKUP($B286,Sheet3!$B:$G,3,0)</f>
        <v>95</v>
      </c>
      <c r="E286">
        <f>VLOOKUP($B286,Sheet3!$B:$G,4,0)</f>
        <v>94</v>
      </c>
      <c r="F286">
        <f>VLOOKUP($B286,Sheet3!$B:$G,6,0)</f>
        <v>64</v>
      </c>
      <c r="G286">
        <f>VLOOKUP($B286,Sheet3!$B:$G,5,0)</f>
        <v>68</v>
      </c>
    </row>
    <row r="287" spans="1:7">
      <c r="A287">
        <v>240739</v>
      </c>
      <c r="B287" t="s">
        <v>293</v>
      </c>
      <c r="C287">
        <f>VLOOKUP($B287,Sheet3!$B:$G,2,0)</f>
        <v>90</v>
      </c>
      <c r="D287">
        <f>VLOOKUP($B287,Sheet3!$B:$G,3,0)</f>
        <v>95</v>
      </c>
      <c r="E287">
        <f>VLOOKUP($B287,Sheet3!$B:$G,4,0)</f>
        <v>95.5</v>
      </c>
      <c r="F287">
        <f>VLOOKUP($B287,Sheet3!$B:$G,6,0)</f>
        <v>81</v>
      </c>
      <c r="G287">
        <f>VLOOKUP($B287,Sheet3!$B:$G,5,0)</f>
        <v>74</v>
      </c>
    </row>
    <row r="288" spans="1:7">
      <c r="A288">
        <v>240740</v>
      </c>
      <c r="B288" t="s">
        <v>294</v>
      </c>
      <c r="C288" t="e">
        <f>VLOOKUP($B288,Sheet3!$B:$G,2,0)</f>
        <v>#N/A</v>
      </c>
      <c r="D288" t="e">
        <f>VLOOKUP($B288,Sheet3!$B:$G,3,0)</f>
        <v>#N/A</v>
      </c>
      <c r="E288" t="e">
        <f>VLOOKUP($B288,Sheet3!$B:$G,4,0)</f>
        <v>#N/A</v>
      </c>
      <c r="F288" t="e">
        <f>VLOOKUP($B288,Sheet3!$B:$G,6,0)</f>
        <v>#N/A</v>
      </c>
      <c r="G288" t="e">
        <f>VLOOKUP($B288,Sheet3!$B:$G,5,0)</f>
        <v>#N/A</v>
      </c>
    </row>
    <row r="289" spans="1:7">
      <c r="A289">
        <v>240801</v>
      </c>
      <c r="B289" t="s">
        <v>295</v>
      </c>
      <c r="C289">
        <f>VLOOKUP($B289,Sheet3!$B:$G,2,0)</f>
        <v>86</v>
      </c>
      <c r="D289">
        <f>VLOOKUP($B289,Sheet3!$B:$G,3,0)</f>
        <v>104</v>
      </c>
      <c r="E289">
        <f>VLOOKUP($B289,Sheet3!$B:$G,4,0)</f>
        <v>108.5</v>
      </c>
      <c r="F289">
        <f>VLOOKUP($B289,Sheet3!$B:$G,6,0)</f>
        <v>76</v>
      </c>
      <c r="G289">
        <f>VLOOKUP($B289,Sheet3!$B:$G,5,0)</f>
        <v>74</v>
      </c>
    </row>
    <row r="290" spans="1:7">
      <c r="A290">
        <v>240802</v>
      </c>
      <c r="B290" t="s">
        <v>296</v>
      </c>
      <c r="C290">
        <f>VLOOKUP($B290,Sheet3!$B:$G,2,0)</f>
        <v>102</v>
      </c>
      <c r="D290">
        <f>VLOOKUP($B290,Sheet3!$B:$G,3,0)</f>
        <v>106</v>
      </c>
      <c r="E290">
        <f>VLOOKUP($B290,Sheet3!$B:$G,4,0)</f>
        <v>116</v>
      </c>
      <c r="F290">
        <f>VLOOKUP($B290,Sheet3!$B:$G,6,0)</f>
        <v>87</v>
      </c>
      <c r="G290">
        <f>VLOOKUP($B290,Sheet3!$B:$G,5,0)</f>
        <v>83</v>
      </c>
    </row>
    <row r="291" spans="1:7">
      <c r="A291">
        <v>240803</v>
      </c>
      <c r="B291" t="s">
        <v>297</v>
      </c>
      <c r="C291">
        <f>VLOOKUP($B291,Sheet3!$B:$G,2,0)</f>
        <v>96</v>
      </c>
      <c r="D291">
        <f>VLOOKUP($B291,Sheet3!$B:$G,3,0)</f>
        <v>107</v>
      </c>
      <c r="E291">
        <f>VLOOKUP($B291,Sheet3!$B:$G,4,0)</f>
        <v>112.5</v>
      </c>
      <c r="F291">
        <f>VLOOKUP($B291,Sheet3!$B:$G,6,0)</f>
        <v>83</v>
      </c>
      <c r="G291">
        <f>VLOOKUP($B291,Sheet3!$B:$G,5,0)</f>
        <v>83</v>
      </c>
    </row>
    <row r="292" spans="1:7">
      <c r="A292">
        <v>240804</v>
      </c>
      <c r="B292" t="s">
        <v>298</v>
      </c>
      <c r="C292">
        <f>VLOOKUP($B292,Sheet3!$B:$G,2,0)</f>
        <v>97</v>
      </c>
      <c r="D292">
        <f>VLOOKUP($B292,Sheet3!$B:$G,3,0)</f>
        <v>98</v>
      </c>
      <c r="E292">
        <f>VLOOKUP($B292,Sheet3!$B:$G,4,0)</f>
        <v>105</v>
      </c>
      <c r="F292">
        <f>VLOOKUP($B292,Sheet3!$B:$G,6,0)</f>
        <v>77</v>
      </c>
      <c r="G292">
        <f>VLOOKUP($B292,Sheet3!$B:$G,5,0)</f>
        <v>77</v>
      </c>
    </row>
    <row r="293" spans="1:7">
      <c r="A293">
        <v>240805</v>
      </c>
      <c r="B293" t="s">
        <v>299</v>
      </c>
      <c r="C293" t="str">
        <f>VLOOKUP($B293,Sheet3!$B:$G,2,0)</f>
        <v>未扫，不计排名</v>
      </c>
      <c r="D293" t="str">
        <f>VLOOKUP($B293,Sheet3!$B:$G,3,0)</f>
        <v>未扫，不计排名</v>
      </c>
      <c r="E293" t="str">
        <f>VLOOKUP($B293,Sheet3!$B:$G,4,0)</f>
        <v>未扫，不计排名</v>
      </c>
      <c r="F293" t="str">
        <f>VLOOKUP($B293,Sheet3!$B:$G,6,0)</f>
        <v>未扫，不计排名</v>
      </c>
      <c r="G293" t="str">
        <f>VLOOKUP($B293,Sheet3!$B:$G,5,0)</f>
        <v>未扫，不计排名</v>
      </c>
    </row>
    <row r="294" spans="1:7">
      <c r="A294">
        <v>240806</v>
      </c>
      <c r="B294" t="s">
        <v>300</v>
      </c>
      <c r="C294">
        <f>VLOOKUP($B294,Sheet3!$B:$G,2,0)</f>
        <v>104</v>
      </c>
      <c r="D294">
        <f>VLOOKUP($B294,Sheet3!$B:$G,3,0)</f>
        <v>101</v>
      </c>
      <c r="E294">
        <f>VLOOKUP($B294,Sheet3!$B:$G,4,0)</f>
        <v>110</v>
      </c>
      <c r="F294">
        <f>VLOOKUP($B294,Sheet3!$B:$G,6,0)</f>
        <v>82</v>
      </c>
      <c r="G294">
        <f>VLOOKUP($B294,Sheet3!$B:$G,5,0)</f>
        <v>78</v>
      </c>
    </row>
    <row r="295" spans="1:7">
      <c r="A295">
        <v>240807</v>
      </c>
      <c r="B295" t="s">
        <v>301</v>
      </c>
      <c r="C295">
        <f>VLOOKUP($B295,Sheet3!$B:$G,2,0)</f>
        <v>109</v>
      </c>
      <c r="D295">
        <f>VLOOKUP($B295,Sheet3!$B:$G,3,0)</f>
        <v>110</v>
      </c>
      <c r="E295">
        <f>VLOOKUP($B295,Sheet3!$B:$G,4,0)</f>
        <v>115.5</v>
      </c>
      <c r="F295">
        <f>VLOOKUP($B295,Sheet3!$B:$G,6,0)</f>
        <v>82</v>
      </c>
      <c r="G295">
        <f>VLOOKUP($B295,Sheet3!$B:$G,5,0)</f>
        <v>81</v>
      </c>
    </row>
    <row r="296" spans="1:7">
      <c r="A296">
        <v>240808</v>
      </c>
      <c r="B296" t="s">
        <v>302</v>
      </c>
      <c r="C296">
        <f>VLOOKUP($B296,Sheet3!$B:$G,2,0)</f>
        <v>98</v>
      </c>
      <c r="D296">
        <f>VLOOKUP($B296,Sheet3!$B:$G,3,0)</f>
        <v>86</v>
      </c>
      <c r="E296">
        <f>VLOOKUP($B296,Sheet3!$B:$G,4,0)</f>
        <v>115.5</v>
      </c>
      <c r="F296">
        <f>VLOOKUP($B296,Sheet3!$B:$G,6,0)</f>
        <v>77</v>
      </c>
      <c r="G296">
        <f>VLOOKUP($B296,Sheet3!$B:$G,5,0)</f>
        <v>76</v>
      </c>
    </row>
    <row r="297" spans="1:7">
      <c r="A297">
        <v>240809</v>
      </c>
      <c r="B297" t="s">
        <v>303</v>
      </c>
      <c r="C297">
        <f>VLOOKUP($B297,Sheet3!$B:$G,2,0)</f>
        <v>101</v>
      </c>
      <c r="D297">
        <f>VLOOKUP($B297,Sheet3!$B:$G,3,0)</f>
        <v>104</v>
      </c>
      <c r="E297">
        <f>VLOOKUP($B297,Sheet3!$B:$G,4,0)</f>
        <v>110</v>
      </c>
      <c r="F297">
        <f>VLOOKUP($B297,Sheet3!$B:$G,6,0)</f>
        <v>82</v>
      </c>
      <c r="G297">
        <f>VLOOKUP($B297,Sheet3!$B:$G,5,0)</f>
        <v>77</v>
      </c>
    </row>
    <row r="298" spans="1:7">
      <c r="A298">
        <v>240810</v>
      </c>
      <c r="B298" t="s">
        <v>304</v>
      </c>
      <c r="C298">
        <f>VLOOKUP($B298,Sheet3!$B:$G,2,0)</f>
        <v>94</v>
      </c>
      <c r="D298">
        <f>VLOOKUP($B298,Sheet3!$B:$G,3,0)</f>
        <v>93</v>
      </c>
      <c r="E298">
        <f>VLOOKUP($B298,Sheet3!$B:$G,4,0)</f>
        <v>96</v>
      </c>
      <c r="F298">
        <f>VLOOKUP($B298,Sheet3!$B:$G,6,0)</f>
        <v>70</v>
      </c>
      <c r="G298">
        <f>VLOOKUP($B298,Sheet3!$B:$G,5,0)</f>
        <v>71</v>
      </c>
    </row>
    <row r="299" spans="1:7">
      <c r="A299">
        <v>240811</v>
      </c>
      <c r="B299" t="s">
        <v>305</v>
      </c>
      <c r="C299">
        <f>VLOOKUP($B299,Sheet3!$B:$G,2,0)</f>
        <v>107</v>
      </c>
      <c r="D299">
        <f>VLOOKUP($B299,Sheet3!$B:$G,3,0)</f>
        <v>95</v>
      </c>
      <c r="E299">
        <f>VLOOKUP($B299,Sheet3!$B:$G,4,0)</f>
        <v>110.5</v>
      </c>
      <c r="F299">
        <f>VLOOKUP($B299,Sheet3!$B:$G,6,0)</f>
        <v>79</v>
      </c>
      <c r="G299">
        <f>VLOOKUP($B299,Sheet3!$B:$G,5,0)</f>
        <v>61</v>
      </c>
    </row>
    <row r="300" spans="1:7">
      <c r="A300">
        <v>240812</v>
      </c>
      <c r="B300" t="s">
        <v>306</v>
      </c>
      <c r="C300">
        <f>VLOOKUP($B300,Sheet3!$B:$G,2,0)</f>
        <v>95</v>
      </c>
      <c r="D300">
        <f>VLOOKUP($B300,Sheet3!$B:$G,3,0)</f>
        <v>99</v>
      </c>
      <c r="E300">
        <f>VLOOKUP($B300,Sheet3!$B:$G,4,0)</f>
        <v>109</v>
      </c>
      <c r="F300">
        <f>VLOOKUP($B300,Sheet3!$B:$G,6,0)</f>
        <v>87</v>
      </c>
      <c r="G300">
        <f>VLOOKUP($B300,Sheet3!$B:$G,5,0)</f>
        <v>77</v>
      </c>
    </row>
    <row r="301" spans="1:7">
      <c r="A301">
        <v>240813</v>
      </c>
      <c r="B301" t="s">
        <v>307</v>
      </c>
      <c r="C301">
        <f>VLOOKUP($B301,Sheet3!$B:$G,2,0)</f>
        <v>94</v>
      </c>
      <c r="D301">
        <f>VLOOKUP($B301,Sheet3!$B:$G,3,0)</f>
        <v>99</v>
      </c>
      <c r="E301">
        <f>VLOOKUP($B301,Sheet3!$B:$G,4,0)</f>
        <v>111.5</v>
      </c>
      <c r="F301">
        <f>VLOOKUP($B301,Sheet3!$B:$G,6,0)</f>
        <v>86</v>
      </c>
      <c r="G301">
        <f>VLOOKUP($B301,Sheet3!$B:$G,5,0)</f>
        <v>74</v>
      </c>
    </row>
    <row r="302" spans="1:7">
      <c r="A302">
        <v>240814</v>
      </c>
      <c r="B302" t="s">
        <v>308</v>
      </c>
      <c r="C302">
        <f>VLOOKUP($B302,Sheet3!$B:$G,2,0)</f>
        <v>87</v>
      </c>
      <c r="D302">
        <f>VLOOKUP($B302,Sheet3!$B:$G,3,0)</f>
        <v>99</v>
      </c>
      <c r="E302">
        <f>VLOOKUP($B302,Sheet3!$B:$G,4,0)</f>
        <v>99</v>
      </c>
      <c r="F302">
        <f>VLOOKUP($B302,Sheet3!$B:$G,6,0)</f>
        <v>82</v>
      </c>
      <c r="G302">
        <f>VLOOKUP($B302,Sheet3!$B:$G,5,0)</f>
        <v>68</v>
      </c>
    </row>
    <row r="303" spans="1:7">
      <c r="A303">
        <v>240815</v>
      </c>
      <c r="B303" t="s">
        <v>309</v>
      </c>
      <c r="C303">
        <f>VLOOKUP($B303,Sheet3!$B:$G,2,0)</f>
        <v>96</v>
      </c>
      <c r="D303">
        <f>VLOOKUP($B303,Sheet3!$B:$G,3,0)</f>
        <v>69</v>
      </c>
      <c r="E303">
        <f>VLOOKUP($B303,Sheet3!$B:$G,4,0)</f>
        <v>112.5</v>
      </c>
      <c r="F303">
        <f>VLOOKUP($B303,Sheet3!$B:$G,6,0)</f>
        <v>78</v>
      </c>
      <c r="G303">
        <f>VLOOKUP($B303,Sheet3!$B:$G,5,0)</f>
        <v>75</v>
      </c>
    </row>
    <row r="304" spans="1:7">
      <c r="A304">
        <v>240816</v>
      </c>
      <c r="B304" t="s">
        <v>310</v>
      </c>
      <c r="C304">
        <f>VLOOKUP($B304,Sheet3!$B:$G,2,0)</f>
        <v>90</v>
      </c>
      <c r="D304">
        <f>VLOOKUP($B304,Sheet3!$B:$G,3,0)</f>
        <v>97</v>
      </c>
      <c r="E304">
        <f>VLOOKUP($B304,Sheet3!$B:$G,4,0)</f>
        <v>94.5</v>
      </c>
      <c r="F304">
        <f>VLOOKUP($B304,Sheet3!$B:$G,6,0)</f>
        <v>78</v>
      </c>
      <c r="G304">
        <f>VLOOKUP($B304,Sheet3!$B:$G,5,0)</f>
        <v>74</v>
      </c>
    </row>
    <row r="305" spans="1:7">
      <c r="A305">
        <v>240817</v>
      </c>
      <c r="B305" t="s">
        <v>311</v>
      </c>
      <c r="C305">
        <f>VLOOKUP($B305,Sheet3!$B:$G,2,0)</f>
        <v>106</v>
      </c>
      <c r="D305">
        <f>VLOOKUP($B305,Sheet3!$B:$G,3,0)</f>
        <v>98</v>
      </c>
      <c r="E305">
        <f>VLOOKUP($B305,Sheet3!$B:$G,4,0)</f>
        <v>117.5</v>
      </c>
      <c r="F305">
        <f>VLOOKUP($B305,Sheet3!$B:$G,6,0)</f>
        <v>84</v>
      </c>
      <c r="G305">
        <f>VLOOKUP($B305,Sheet3!$B:$G,5,0)</f>
        <v>78</v>
      </c>
    </row>
    <row r="306" spans="1:7">
      <c r="A306">
        <v>240818</v>
      </c>
      <c r="B306" t="s">
        <v>312</v>
      </c>
      <c r="C306">
        <f>VLOOKUP($B306,Sheet3!$B:$G,2,0)</f>
        <v>92</v>
      </c>
      <c r="D306">
        <f>VLOOKUP($B306,Sheet3!$B:$G,3,0)</f>
        <v>95</v>
      </c>
      <c r="E306">
        <f>VLOOKUP($B306,Sheet3!$B:$G,4,0)</f>
        <v>102.5</v>
      </c>
      <c r="F306">
        <f>VLOOKUP($B306,Sheet3!$B:$G,6,0)</f>
        <v>78</v>
      </c>
      <c r="G306">
        <f>VLOOKUP($B306,Sheet3!$B:$G,5,0)</f>
        <v>67</v>
      </c>
    </row>
    <row r="307" spans="1:7">
      <c r="A307">
        <v>240819</v>
      </c>
      <c r="B307" t="s">
        <v>313</v>
      </c>
      <c r="C307">
        <f>VLOOKUP($B307,Sheet3!$B:$G,2,0)</f>
        <v>87</v>
      </c>
      <c r="D307">
        <f>VLOOKUP($B307,Sheet3!$B:$G,3,0)</f>
        <v>89</v>
      </c>
      <c r="E307">
        <f>VLOOKUP($B307,Sheet3!$B:$G,4,0)</f>
        <v>106</v>
      </c>
      <c r="F307">
        <f>VLOOKUP($B307,Sheet3!$B:$G,6,0)</f>
        <v>70</v>
      </c>
      <c r="G307">
        <f>VLOOKUP($B307,Sheet3!$B:$G,5,0)</f>
        <v>80</v>
      </c>
    </row>
    <row r="308" spans="1:7">
      <c r="A308">
        <v>240820</v>
      </c>
      <c r="B308" t="s">
        <v>314</v>
      </c>
      <c r="C308">
        <f>VLOOKUP($B308,Sheet3!$B:$G,2,0)</f>
        <v>102</v>
      </c>
      <c r="D308">
        <f>VLOOKUP($B308,Sheet3!$B:$G,3,0)</f>
        <v>107</v>
      </c>
      <c r="E308">
        <f>VLOOKUP($B308,Sheet3!$B:$G,4,0)</f>
        <v>107.5</v>
      </c>
      <c r="F308">
        <f>VLOOKUP($B308,Sheet3!$B:$G,6,0)</f>
        <v>83</v>
      </c>
      <c r="G308">
        <f>VLOOKUP($B308,Sheet3!$B:$G,5,0)</f>
        <v>83</v>
      </c>
    </row>
    <row r="309" spans="1:7">
      <c r="A309">
        <v>240821</v>
      </c>
      <c r="B309" t="s">
        <v>315</v>
      </c>
      <c r="C309">
        <f>VLOOKUP($B309,Sheet3!$B:$G,2,0)</f>
        <v>80</v>
      </c>
      <c r="D309">
        <f>VLOOKUP($B309,Sheet3!$B:$G,3,0)</f>
        <v>94</v>
      </c>
      <c r="E309">
        <f>VLOOKUP($B309,Sheet3!$B:$G,4,0)</f>
        <v>100.5</v>
      </c>
      <c r="F309">
        <f>VLOOKUP($B309,Sheet3!$B:$G,6,0)</f>
        <v>67</v>
      </c>
      <c r="G309">
        <f>VLOOKUP($B309,Sheet3!$B:$G,5,0)</f>
        <v>71</v>
      </c>
    </row>
    <row r="310" spans="1:7">
      <c r="A310">
        <v>240822</v>
      </c>
      <c r="B310" t="s">
        <v>316</v>
      </c>
      <c r="C310">
        <f>VLOOKUP($B310,Sheet3!$B:$G,2,0)</f>
        <v>103</v>
      </c>
      <c r="D310">
        <f>VLOOKUP($B310,Sheet3!$B:$G,3,0)</f>
        <v>106</v>
      </c>
      <c r="E310">
        <f>VLOOKUP($B310,Sheet3!$B:$G,4,0)</f>
        <v>113.5</v>
      </c>
      <c r="F310">
        <f>VLOOKUP($B310,Sheet3!$B:$G,6,0)</f>
        <v>86</v>
      </c>
      <c r="G310">
        <f>VLOOKUP($B310,Sheet3!$B:$G,5,0)</f>
        <v>84</v>
      </c>
    </row>
    <row r="311" spans="1:7">
      <c r="A311">
        <v>240823</v>
      </c>
      <c r="B311" t="s">
        <v>317</v>
      </c>
      <c r="C311">
        <f>VLOOKUP($B311,Sheet3!$B:$G,2,0)</f>
        <v>94</v>
      </c>
      <c r="D311">
        <f>VLOOKUP($B311,Sheet3!$B:$G,3,0)</f>
        <v>100</v>
      </c>
      <c r="E311">
        <f>VLOOKUP($B311,Sheet3!$B:$G,4,0)</f>
        <v>109.5</v>
      </c>
      <c r="F311">
        <f>VLOOKUP($B311,Sheet3!$B:$G,6,0)</f>
        <v>86</v>
      </c>
      <c r="G311">
        <f>VLOOKUP($B311,Sheet3!$B:$G,5,0)</f>
        <v>75</v>
      </c>
    </row>
    <row r="312" spans="1:7">
      <c r="A312">
        <v>240824</v>
      </c>
      <c r="B312" t="s">
        <v>318</v>
      </c>
      <c r="C312">
        <f>VLOOKUP($B312,Sheet3!$B:$G,2,0)</f>
        <v>97</v>
      </c>
      <c r="D312">
        <f>VLOOKUP($B312,Sheet3!$B:$G,3,0)</f>
        <v>78</v>
      </c>
      <c r="E312">
        <f>VLOOKUP($B312,Sheet3!$B:$G,4,0)</f>
        <v>107.5</v>
      </c>
      <c r="F312">
        <f>VLOOKUP($B312,Sheet3!$B:$G,6,0)</f>
        <v>82</v>
      </c>
      <c r="G312">
        <f>VLOOKUP($B312,Sheet3!$B:$G,5,0)</f>
        <v>65</v>
      </c>
    </row>
    <row r="313" spans="1:7">
      <c r="A313">
        <v>240825</v>
      </c>
      <c r="B313" t="s">
        <v>319</v>
      </c>
      <c r="C313">
        <f>VLOOKUP($B313,Sheet3!$B:$G,2,0)</f>
        <v>86</v>
      </c>
      <c r="D313">
        <f>VLOOKUP($B313,Sheet3!$B:$G,3,0)</f>
        <v>80</v>
      </c>
      <c r="E313">
        <f>VLOOKUP($B313,Sheet3!$B:$G,4,0)</f>
        <v>95.5</v>
      </c>
      <c r="F313">
        <f>VLOOKUP($B313,Sheet3!$B:$G,6,0)</f>
        <v>80</v>
      </c>
      <c r="G313">
        <f>VLOOKUP($B313,Sheet3!$B:$G,5,0)</f>
        <v>69</v>
      </c>
    </row>
    <row r="314" spans="1:7">
      <c r="A314">
        <v>240826</v>
      </c>
      <c r="B314" t="s">
        <v>320</v>
      </c>
      <c r="C314">
        <f>VLOOKUP($B314,Sheet3!$B:$G,2,0)</f>
        <v>99</v>
      </c>
      <c r="D314">
        <f>VLOOKUP($B314,Sheet3!$B:$G,3,0)</f>
        <v>98</v>
      </c>
      <c r="E314">
        <f>VLOOKUP($B314,Sheet3!$B:$G,4,0)</f>
        <v>98.5</v>
      </c>
      <c r="F314">
        <f>VLOOKUP($B314,Sheet3!$B:$G,6,0)</f>
        <v>72</v>
      </c>
      <c r="G314">
        <f>VLOOKUP($B314,Sheet3!$B:$G,5,0)</f>
        <v>71</v>
      </c>
    </row>
    <row r="315" spans="1:7">
      <c r="A315">
        <v>240827</v>
      </c>
      <c r="B315" t="s">
        <v>321</v>
      </c>
      <c r="C315">
        <f>VLOOKUP($B315,Sheet3!$B:$G,2,0)</f>
        <v>98</v>
      </c>
      <c r="D315">
        <f>VLOOKUP($B315,Sheet3!$B:$G,3,0)</f>
        <v>100</v>
      </c>
      <c r="E315">
        <f>VLOOKUP($B315,Sheet3!$B:$G,4,0)</f>
        <v>108.5</v>
      </c>
      <c r="F315">
        <f>VLOOKUP($B315,Sheet3!$B:$G,6,0)</f>
        <v>83</v>
      </c>
      <c r="G315">
        <f>VLOOKUP($B315,Sheet3!$B:$G,5,0)</f>
        <v>79</v>
      </c>
    </row>
    <row r="316" spans="1:7">
      <c r="A316">
        <v>240828</v>
      </c>
      <c r="B316" t="s">
        <v>322</v>
      </c>
      <c r="C316">
        <f>VLOOKUP($B316,Sheet3!$B:$G,2,0)</f>
        <v>101</v>
      </c>
      <c r="D316">
        <f>VLOOKUP($B316,Sheet3!$B:$G,3,0)</f>
        <v>94</v>
      </c>
      <c r="E316">
        <f>VLOOKUP($B316,Sheet3!$B:$G,4,0)</f>
        <v>119.5</v>
      </c>
      <c r="F316">
        <f>VLOOKUP($B316,Sheet3!$B:$G,6,0)</f>
        <v>88</v>
      </c>
      <c r="G316">
        <f>VLOOKUP($B316,Sheet3!$B:$G,5,0)</f>
        <v>81</v>
      </c>
    </row>
    <row r="317" spans="1:7">
      <c r="A317">
        <v>240829</v>
      </c>
      <c r="B317" t="s">
        <v>323</v>
      </c>
      <c r="C317">
        <f>VLOOKUP($B317,Sheet3!$B:$G,2,0)</f>
        <v>99</v>
      </c>
      <c r="D317">
        <f>VLOOKUP($B317,Sheet3!$B:$G,3,0)</f>
        <v>91</v>
      </c>
      <c r="E317">
        <f>VLOOKUP($B317,Sheet3!$B:$G,4,0)</f>
        <v>107</v>
      </c>
      <c r="F317">
        <f>VLOOKUP($B317,Sheet3!$B:$G,6,0)</f>
        <v>84</v>
      </c>
      <c r="G317">
        <f>VLOOKUP($B317,Sheet3!$B:$G,5,0)</f>
        <v>79</v>
      </c>
    </row>
    <row r="318" spans="1:7">
      <c r="A318">
        <v>240830</v>
      </c>
      <c r="B318" t="s">
        <v>324</v>
      </c>
      <c r="C318">
        <f>VLOOKUP($B318,Sheet3!$B:$G,2,0)</f>
        <v>93</v>
      </c>
      <c r="D318">
        <f>VLOOKUP($B318,Sheet3!$B:$G,3,0)</f>
        <v>105</v>
      </c>
      <c r="E318">
        <f>VLOOKUP($B318,Sheet3!$B:$G,4,0)</f>
        <v>119</v>
      </c>
      <c r="F318">
        <f>VLOOKUP($B318,Sheet3!$B:$G,6,0)</f>
        <v>77</v>
      </c>
      <c r="G318">
        <f>VLOOKUP($B318,Sheet3!$B:$G,5,0)</f>
        <v>74</v>
      </c>
    </row>
    <row r="319" spans="1:7">
      <c r="A319">
        <v>240831</v>
      </c>
      <c r="B319" t="s">
        <v>325</v>
      </c>
      <c r="C319">
        <f>VLOOKUP($B319,Sheet3!$B:$G,2,0)</f>
        <v>94</v>
      </c>
      <c r="D319">
        <f>VLOOKUP($B319,Sheet3!$B:$G,3,0)</f>
        <v>93</v>
      </c>
      <c r="E319">
        <f>VLOOKUP($B319,Sheet3!$B:$G,4,0)</f>
        <v>99</v>
      </c>
      <c r="F319">
        <f>VLOOKUP($B319,Sheet3!$B:$G,6,0)</f>
        <v>73</v>
      </c>
      <c r="G319">
        <f>VLOOKUP($B319,Sheet3!$B:$G,5,0)</f>
        <v>60</v>
      </c>
    </row>
    <row r="320" spans="1:7">
      <c r="A320">
        <v>240832</v>
      </c>
      <c r="B320" t="s">
        <v>326</v>
      </c>
      <c r="C320">
        <f>VLOOKUP($B320,Sheet3!$B:$G,2,0)</f>
        <v>88</v>
      </c>
      <c r="D320">
        <f>VLOOKUP($B320,Sheet3!$B:$G,3,0)</f>
        <v>109</v>
      </c>
      <c r="E320">
        <f>VLOOKUP($B320,Sheet3!$B:$G,4,0)</f>
        <v>110.5</v>
      </c>
      <c r="F320">
        <f>VLOOKUP($B320,Sheet3!$B:$G,6,0)</f>
        <v>85</v>
      </c>
      <c r="G320">
        <f>VLOOKUP($B320,Sheet3!$B:$G,5,0)</f>
        <v>79</v>
      </c>
    </row>
    <row r="321" spans="1:7">
      <c r="A321">
        <v>240833</v>
      </c>
      <c r="B321" t="s">
        <v>327</v>
      </c>
      <c r="C321">
        <f>VLOOKUP($B321,Sheet3!$B:$G,2,0)</f>
        <v>80</v>
      </c>
      <c r="D321">
        <f>VLOOKUP($B321,Sheet3!$B:$G,3,0)</f>
        <v>106</v>
      </c>
      <c r="E321">
        <f>VLOOKUP($B321,Sheet3!$B:$G,4,0)</f>
        <v>83</v>
      </c>
      <c r="F321">
        <f>VLOOKUP($B321,Sheet3!$B:$G,6,0)</f>
        <v>79</v>
      </c>
      <c r="G321">
        <f>VLOOKUP($B321,Sheet3!$B:$G,5,0)</f>
        <v>66</v>
      </c>
    </row>
    <row r="322" spans="1:7">
      <c r="A322">
        <v>240834</v>
      </c>
      <c r="B322" t="s">
        <v>328</v>
      </c>
      <c r="C322">
        <f>VLOOKUP($B322,Sheet3!$B:$G,2,0)</f>
        <v>106</v>
      </c>
      <c r="D322">
        <f>VLOOKUP($B322,Sheet3!$B:$G,3,0)</f>
        <v>97</v>
      </c>
      <c r="E322">
        <f>VLOOKUP($B322,Sheet3!$B:$G,4,0)</f>
        <v>100</v>
      </c>
      <c r="F322">
        <f>VLOOKUP($B322,Sheet3!$B:$G,6,0)</f>
        <v>86</v>
      </c>
      <c r="G322">
        <f>VLOOKUP($B322,Sheet3!$B:$G,5,0)</f>
        <v>84</v>
      </c>
    </row>
    <row r="323" spans="1:7">
      <c r="A323">
        <v>240836</v>
      </c>
      <c r="B323" t="s">
        <v>329</v>
      </c>
      <c r="C323">
        <f>VLOOKUP($B323,Sheet3!$B:$G,2,0)</f>
        <v>79</v>
      </c>
      <c r="D323">
        <f>VLOOKUP($B323,Sheet3!$B:$G,3,0)</f>
        <v>103</v>
      </c>
      <c r="E323">
        <f>VLOOKUP($B323,Sheet3!$B:$G,4,0)</f>
        <v>93</v>
      </c>
      <c r="F323">
        <f>VLOOKUP($B323,Sheet3!$B:$G,6,0)</f>
        <v>82</v>
      </c>
      <c r="G323">
        <f>VLOOKUP($B323,Sheet3!$B:$G,5,0)</f>
        <v>68</v>
      </c>
    </row>
    <row r="324" spans="1:7">
      <c r="A324">
        <v>240837</v>
      </c>
      <c r="B324" t="s">
        <v>330</v>
      </c>
      <c r="C324">
        <f>VLOOKUP($B324,Sheet3!$B:$G,2,0)</f>
        <v>83</v>
      </c>
      <c r="D324">
        <f>VLOOKUP($B324,Sheet3!$B:$G,3,0)</f>
        <v>91</v>
      </c>
      <c r="E324">
        <f>VLOOKUP($B324,Sheet3!$B:$G,4,0)</f>
        <v>101</v>
      </c>
      <c r="F324">
        <f>VLOOKUP($B324,Sheet3!$B:$G,6,0)</f>
        <v>76</v>
      </c>
      <c r="G324">
        <f>VLOOKUP($B324,Sheet3!$B:$G,5,0)</f>
        <v>75</v>
      </c>
    </row>
    <row r="325" spans="1:7">
      <c r="A325">
        <v>240838</v>
      </c>
      <c r="B325" t="s">
        <v>331</v>
      </c>
      <c r="C325">
        <f>VLOOKUP($B325,Sheet3!$B:$G,2,0)</f>
        <v>108</v>
      </c>
      <c r="D325">
        <f>VLOOKUP($B325,Sheet3!$B:$G,3,0)</f>
        <v>95</v>
      </c>
      <c r="E325">
        <f>VLOOKUP($B325,Sheet3!$B:$G,4,0)</f>
        <v>116</v>
      </c>
      <c r="F325">
        <f>VLOOKUP($B325,Sheet3!$B:$G,6,0)</f>
        <v>88</v>
      </c>
      <c r="G325">
        <f>VLOOKUP($B325,Sheet3!$B:$G,5,0)</f>
        <v>76</v>
      </c>
    </row>
    <row r="326" spans="1:7">
      <c r="A326">
        <v>240839</v>
      </c>
      <c r="B326" t="s">
        <v>332</v>
      </c>
      <c r="C326">
        <f>VLOOKUP($B326,Sheet3!$B:$G,2,0)</f>
        <v>82</v>
      </c>
      <c r="D326">
        <f>VLOOKUP($B326,Sheet3!$B:$G,3,0)</f>
        <v>86</v>
      </c>
      <c r="E326">
        <f>VLOOKUP($B326,Sheet3!$B:$G,4,0)</f>
        <v>54.5</v>
      </c>
      <c r="F326">
        <f>VLOOKUP($B326,Sheet3!$B:$G,6,0)</f>
        <v>84</v>
      </c>
      <c r="G326">
        <f>VLOOKUP($B326,Sheet3!$B:$G,5,0)</f>
        <v>62</v>
      </c>
    </row>
    <row r="327" spans="1:7">
      <c r="A327">
        <v>240840</v>
      </c>
      <c r="B327" t="s">
        <v>333</v>
      </c>
      <c r="C327">
        <f>VLOOKUP($B327,Sheet3!$B:$G,2,0)</f>
        <v>97</v>
      </c>
      <c r="D327">
        <f>VLOOKUP($B327,Sheet3!$B:$G,3,0)</f>
        <v>95</v>
      </c>
      <c r="E327">
        <f>VLOOKUP($B327,Sheet3!$B:$G,4,0)</f>
        <v>104.5</v>
      </c>
      <c r="F327">
        <f>VLOOKUP($B327,Sheet3!$B:$G,6,0)</f>
        <v>79</v>
      </c>
      <c r="G327">
        <f>VLOOKUP($B327,Sheet3!$B:$G,5,0)</f>
        <v>79</v>
      </c>
    </row>
    <row r="328" spans="1:7">
      <c r="A328">
        <v>240901</v>
      </c>
      <c r="B328" t="s">
        <v>334</v>
      </c>
      <c r="C328">
        <f>VLOOKUP($B328,Sheet3!$B:$G,2,0)</f>
        <v>80</v>
      </c>
      <c r="D328">
        <f>VLOOKUP($B328,Sheet3!$B:$G,3,0)</f>
        <v>84</v>
      </c>
      <c r="E328">
        <f>VLOOKUP($B328,Sheet3!$B:$G,4,0)</f>
        <v>80.5</v>
      </c>
      <c r="F328">
        <f>VLOOKUP($B328,Sheet3!$B:$G,6,0)</f>
        <v>80</v>
      </c>
      <c r="G328">
        <f>VLOOKUP($B328,Sheet3!$B:$G,5,0)</f>
        <v>66</v>
      </c>
    </row>
    <row r="329" spans="1:7">
      <c r="A329">
        <v>240902</v>
      </c>
      <c r="B329" t="s">
        <v>335</v>
      </c>
      <c r="C329">
        <f>VLOOKUP($B329,Sheet3!$B:$G,2,0)</f>
        <v>114</v>
      </c>
      <c r="D329">
        <f>VLOOKUP($B329,Sheet3!$B:$G,3,0)</f>
        <v>102</v>
      </c>
      <c r="E329">
        <f>VLOOKUP($B329,Sheet3!$B:$G,4,0)</f>
        <v>111.5</v>
      </c>
      <c r="F329">
        <f>VLOOKUP($B329,Sheet3!$B:$G,6,0)</f>
        <v>87</v>
      </c>
      <c r="G329">
        <f>VLOOKUP($B329,Sheet3!$B:$G,5,0)</f>
        <v>79</v>
      </c>
    </row>
    <row r="330" spans="1:7">
      <c r="A330">
        <v>240903</v>
      </c>
      <c r="B330" t="s">
        <v>336</v>
      </c>
      <c r="C330">
        <f>VLOOKUP($B330,Sheet3!$B:$G,2,0)</f>
        <v>102</v>
      </c>
      <c r="D330">
        <f>VLOOKUP($B330,Sheet3!$B:$G,3,0)</f>
        <v>105</v>
      </c>
      <c r="E330">
        <f>VLOOKUP($B330,Sheet3!$B:$G,4,0)</f>
        <v>117</v>
      </c>
      <c r="F330">
        <f>VLOOKUP($B330,Sheet3!$B:$G,6,0)</f>
        <v>88</v>
      </c>
      <c r="G330">
        <f>VLOOKUP($B330,Sheet3!$B:$G,5,0)</f>
        <v>86</v>
      </c>
    </row>
    <row r="331" spans="1:7">
      <c r="A331">
        <v>240904</v>
      </c>
      <c r="B331" t="s">
        <v>337</v>
      </c>
      <c r="C331">
        <f>VLOOKUP($B331,Sheet3!$B:$G,2,0)</f>
        <v>77</v>
      </c>
      <c r="D331">
        <f>VLOOKUP($B331,Sheet3!$B:$G,3,0)</f>
        <v>82</v>
      </c>
      <c r="E331">
        <f>VLOOKUP($B331,Sheet3!$B:$G,4,0)</f>
        <v>109.5</v>
      </c>
      <c r="F331">
        <f>VLOOKUP($B331,Sheet3!$B:$G,6,0)</f>
        <v>67</v>
      </c>
      <c r="G331">
        <f>VLOOKUP($B331,Sheet3!$B:$G,5,0)</f>
        <v>65</v>
      </c>
    </row>
    <row r="332" spans="1:7">
      <c r="A332">
        <v>240905</v>
      </c>
      <c r="B332" t="s">
        <v>338</v>
      </c>
      <c r="C332">
        <f>VLOOKUP($B332,Sheet3!$B:$G,2,0)</f>
        <v>82</v>
      </c>
      <c r="D332">
        <f>VLOOKUP($B332,Sheet3!$B:$G,3,0)</f>
        <v>97</v>
      </c>
      <c r="E332">
        <f>VLOOKUP($B332,Sheet3!$B:$G,4,0)</f>
        <v>93.5</v>
      </c>
      <c r="F332">
        <f>VLOOKUP($B332,Sheet3!$B:$G,6,0)</f>
        <v>81</v>
      </c>
      <c r="G332">
        <f>VLOOKUP($B332,Sheet3!$B:$G,5,0)</f>
        <v>82</v>
      </c>
    </row>
    <row r="333" spans="1:7">
      <c r="A333">
        <v>240906</v>
      </c>
      <c r="B333" t="s">
        <v>339</v>
      </c>
      <c r="C333">
        <f>VLOOKUP($B333,Sheet3!$B:$G,2,0)</f>
        <v>102</v>
      </c>
      <c r="D333">
        <f>VLOOKUP($B333,Sheet3!$B:$G,3,0)</f>
        <v>106</v>
      </c>
      <c r="E333">
        <f>VLOOKUP($B333,Sheet3!$B:$G,4,0)</f>
        <v>109</v>
      </c>
      <c r="F333">
        <f>VLOOKUP($B333,Sheet3!$B:$G,6,0)</f>
        <v>84</v>
      </c>
      <c r="G333">
        <f>VLOOKUP($B333,Sheet3!$B:$G,5,0)</f>
        <v>85</v>
      </c>
    </row>
    <row r="334" spans="1:7">
      <c r="A334">
        <v>240907</v>
      </c>
      <c r="B334" t="s">
        <v>340</v>
      </c>
      <c r="C334">
        <f>VLOOKUP($B334,Sheet3!$B:$G,2,0)</f>
        <v>92</v>
      </c>
      <c r="D334">
        <f>VLOOKUP($B334,Sheet3!$B:$G,3,0)</f>
        <v>93</v>
      </c>
      <c r="E334">
        <f>VLOOKUP($B334,Sheet3!$B:$G,4,0)</f>
        <v>86.5</v>
      </c>
      <c r="F334">
        <f>VLOOKUP($B334,Sheet3!$B:$G,6,0)</f>
        <v>67</v>
      </c>
      <c r="G334">
        <f>VLOOKUP($B334,Sheet3!$B:$G,5,0)</f>
        <v>61</v>
      </c>
    </row>
    <row r="335" spans="1:7">
      <c r="A335">
        <v>240908</v>
      </c>
      <c r="B335" t="s">
        <v>341</v>
      </c>
      <c r="C335">
        <f>VLOOKUP($B335,Sheet3!$B:$G,2,0)</f>
        <v>105</v>
      </c>
      <c r="D335">
        <f>VLOOKUP($B335,Sheet3!$B:$G,3,0)</f>
        <v>101</v>
      </c>
      <c r="E335">
        <f>VLOOKUP($B335,Sheet3!$B:$G,4,0)</f>
        <v>110</v>
      </c>
      <c r="F335">
        <f>VLOOKUP($B335,Sheet3!$B:$G,6,0)</f>
        <v>77</v>
      </c>
      <c r="G335">
        <f>VLOOKUP($B335,Sheet3!$B:$G,5,0)</f>
        <v>68</v>
      </c>
    </row>
    <row r="336" spans="1:7">
      <c r="A336">
        <v>240909</v>
      </c>
      <c r="B336" t="s">
        <v>342</v>
      </c>
      <c r="C336">
        <f>VLOOKUP($B336,Sheet3!$B:$G,2,0)</f>
        <v>108</v>
      </c>
      <c r="D336">
        <f>VLOOKUP($B336,Sheet3!$B:$G,3,0)</f>
        <v>100</v>
      </c>
      <c r="E336">
        <f>VLOOKUP($B336,Sheet3!$B:$G,4,0)</f>
        <v>114</v>
      </c>
      <c r="F336">
        <f>VLOOKUP($B336,Sheet3!$B:$G,6,0)</f>
        <v>86</v>
      </c>
      <c r="G336">
        <f>VLOOKUP($B336,Sheet3!$B:$G,5,0)</f>
        <v>72</v>
      </c>
    </row>
    <row r="337" spans="1:7">
      <c r="A337">
        <v>240910</v>
      </c>
      <c r="B337" t="s">
        <v>343</v>
      </c>
      <c r="C337">
        <f>VLOOKUP($B337,Sheet3!$B:$G,2,0)</f>
        <v>87</v>
      </c>
      <c r="D337">
        <f>VLOOKUP($B337,Sheet3!$B:$G,3,0)</f>
        <v>104</v>
      </c>
      <c r="E337">
        <f>VLOOKUP($B337,Sheet3!$B:$G,4,0)</f>
        <v>115</v>
      </c>
      <c r="F337">
        <f>VLOOKUP($B337,Sheet3!$B:$G,6,0)</f>
        <v>84</v>
      </c>
      <c r="G337">
        <f>VLOOKUP($B337,Sheet3!$B:$G,5,0)</f>
        <v>78</v>
      </c>
    </row>
    <row r="338" spans="1:7">
      <c r="A338">
        <v>240911</v>
      </c>
      <c r="B338" t="s">
        <v>344</v>
      </c>
      <c r="C338">
        <f>VLOOKUP($B338,Sheet3!$B:$G,2,0)</f>
        <v>103</v>
      </c>
      <c r="D338">
        <f>VLOOKUP($B338,Sheet3!$B:$G,3,0)</f>
        <v>106</v>
      </c>
      <c r="E338">
        <f>VLOOKUP($B338,Sheet3!$B:$G,4,0)</f>
        <v>113</v>
      </c>
      <c r="F338">
        <f>VLOOKUP($B338,Sheet3!$B:$G,6,0)</f>
        <v>76</v>
      </c>
      <c r="G338">
        <f>VLOOKUP($B338,Sheet3!$B:$G,5,0)</f>
        <v>67</v>
      </c>
    </row>
    <row r="339" spans="1:7">
      <c r="A339">
        <v>240912</v>
      </c>
      <c r="B339" t="s">
        <v>345</v>
      </c>
      <c r="C339">
        <f>VLOOKUP($B339,Sheet3!$B:$G,2,0)</f>
        <v>97</v>
      </c>
      <c r="D339">
        <f>VLOOKUP($B339,Sheet3!$B:$G,3,0)</f>
        <v>108</v>
      </c>
      <c r="E339">
        <f>VLOOKUP($B339,Sheet3!$B:$G,4,0)</f>
        <v>114</v>
      </c>
      <c r="F339">
        <f>VLOOKUP($B339,Sheet3!$B:$G,6,0)</f>
        <v>88</v>
      </c>
      <c r="G339">
        <f>VLOOKUP($B339,Sheet3!$B:$G,5,0)</f>
        <v>81</v>
      </c>
    </row>
    <row r="340" spans="1:7">
      <c r="A340">
        <v>240913</v>
      </c>
      <c r="B340" t="s">
        <v>346</v>
      </c>
      <c r="C340">
        <f>VLOOKUP($B340,Sheet3!$B:$G,2,0)</f>
        <v>91</v>
      </c>
      <c r="D340">
        <f>VLOOKUP($B340,Sheet3!$B:$G,3,0)</f>
        <v>69</v>
      </c>
      <c r="E340">
        <f>VLOOKUP($B340,Sheet3!$B:$G,4,0)</f>
        <v>84</v>
      </c>
      <c r="F340">
        <f>VLOOKUP($B340,Sheet3!$B:$G,6,0)</f>
        <v>69</v>
      </c>
      <c r="G340">
        <f>VLOOKUP($B340,Sheet3!$B:$G,5,0)</f>
        <v>68</v>
      </c>
    </row>
    <row r="341" spans="1:7">
      <c r="A341">
        <v>240914</v>
      </c>
      <c r="B341" t="s">
        <v>347</v>
      </c>
      <c r="C341">
        <f>VLOOKUP($B341,Sheet3!$B:$G,2,0)</f>
        <v>110</v>
      </c>
      <c r="D341">
        <f>VLOOKUP($B341,Sheet3!$B:$G,3,0)</f>
        <v>100</v>
      </c>
      <c r="E341">
        <f>VLOOKUP($B341,Sheet3!$B:$G,4,0)</f>
        <v>112</v>
      </c>
      <c r="F341">
        <f>VLOOKUP($B341,Sheet3!$B:$G,6,0)</f>
        <v>85</v>
      </c>
      <c r="G341">
        <f>VLOOKUP($B341,Sheet3!$B:$G,5,0)</f>
        <v>82</v>
      </c>
    </row>
    <row r="342" spans="1:7">
      <c r="A342">
        <v>240915</v>
      </c>
      <c r="B342" t="s">
        <v>348</v>
      </c>
      <c r="C342">
        <f>VLOOKUP($B342,Sheet3!$B:$G,2,0)</f>
        <v>90</v>
      </c>
      <c r="D342">
        <f>VLOOKUP($B342,Sheet3!$B:$G,3,0)</f>
        <v>107</v>
      </c>
      <c r="E342">
        <f>VLOOKUP($B342,Sheet3!$B:$G,4,0)</f>
        <v>103.5</v>
      </c>
      <c r="F342">
        <f>VLOOKUP($B342,Sheet3!$B:$G,6,0)</f>
        <v>81</v>
      </c>
      <c r="G342">
        <f>VLOOKUP($B342,Sheet3!$B:$G,5,0)</f>
        <v>68</v>
      </c>
    </row>
    <row r="343" spans="1:7">
      <c r="A343">
        <v>240916</v>
      </c>
      <c r="B343" t="s">
        <v>349</v>
      </c>
      <c r="C343">
        <f>VLOOKUP($B343,Sheet3!$B:$G,2,0)</f>
        <v>91</v>
      </c>
      <c r="D343">
        <f>VLOOKUP($B343,Sheet3!$B:$G,3,0)</f>
        <v>101</v>
      </c>
      <c r="E343">
        <f>VLOOKUP($B343,Sheet3!$B:$G,4,0)</f>
        <v>103.5</v>
      </c>
      <c r="F343">
        <f>VLOOKUP($B343,Sheet3!$B:$G,6,0)</f>
        <v>77</v>
      </c>
      <c r="G343">
        <f>VLOOKUP($B343,Sheet3!$B:$G,5,0)</f>
        <v>74</v>
      </c>
    </row>
    <row r="344" spans="1:7">
      <c r="A344">
        <v>240917</v>
      </c>
      <c r="B344" t="s">
        <v>350</v>
      </c>
      <c r="C344">
        <f>VLOOKUP($B344,Sheet3!$B:$G,2,0)</f>
        <v>99</v>
      </c>
      <c r="D344">
        <f>VLOOKUP($B344,Sheet3!$B:$G,3,0)</f>
        <v>105</v>
      </c>
      <c r="E344">
        <f>VLOOKUP($B344,Sheet3!$B:$G,4,0)</f>
        <v>107.5</v>
      </c>
      <c r="F344">
        <f>VLOOKUP($B344,Sheet3!$B:$G,6,0)</f>
        <v>85</v>
      </c>
      <c r="G344">
        <f>VLOOKUP($B344,Sheet3!$B:$G,5,0)</f>
        <v>68</v>
      </c>
    </row>
    <row r="345" spans="1:7">
      <c r="A345">
        <v>240918</v>
      </c>
      <c r="B345" t="s">
        <v>351</v>
      </c>
      <c r="C345">
        <f>VLOOKUP($B345,Sheet3!$B:$G,2,0)</f>
        <v>112</v>
      </c>
      <c r="D345">
        <f>VLOOKUP($B345,Sheet3!$B:$G,3,0)</f>
        <v>103</v>
      </c>
      <c r="E345">
        <f>VLOOKUP($B345,Sheet3!$B:$G,4,0)</f>
        <v>112.5</v>
      </c>
      <c r="F345">
        <f>VLOOKUP($B345,Sheet3!$B:$G,6,0)</f>
        <v>77</v>
      </c>
      <c r="G345">
        <f>VLOOKUP($B345,Sheet3!$B:$G,5,0)</f>
        <v>78</v>
      </c>
    </row>
    <row r="346" spans="1:7">
      <c r="A346">
        <v>240919</v>
      </c>
      <c r="B346" t="s">
        <v>352</v>
      </c>
      <c r="C346">
        <f>VLOOKUP($B346,Sheet3!$B:$G,2,0)</f>
        <v>110</v>
      </c>
      <c r="D346">
        <f>VLOOKUP($B346,Sheet3!$B:$G,3,0)</f>
        <v>103</v>
      </c>
      <c r="E346">
        <f>VLOOKUP($B346,Sheet3!$B:$G,4,0)</f>
        <v>117</v>
      </c>
      <c r="F346">
        <f>VLOOKUP($B346,Sheet3!$B:$G,6,0)</f>
        <v>87</v>
      </c>
      <c r="G346">
        <f>VLOOKUP($B346,Sheet3!$B:$G,5,0)</f>
        <v>82</v>
      </c>
    </row>
    <row r="347" spans="1:7">
      <c r="A347">
        <v>240920</v>
      </c>
      <c r="B347" t="s">
        <v>353</v>
      </c>
      <c r="C347">
        <f>VLOOKUP($B347,Sheet3!$B:$G,2,0)</f>
        <v>90</v>
      </c>
      <c r="D347">
        <f>VLOOKUP($B347,Sheet3!$B:$G,3,0)</f>
        <v>77</v>
      </c>
      <c r="E347">
        <f>VLOOKUP($B347,Sheet3!$B:$G,4,0)</f>
        <v>86</v>
      </c>
      <c r="F347">
        <f>VLOOKUP($B347,Sheet3!$B:$G,6,0)</f>
        <v>68</v>
      </c>
      <c r="G347">
        <f>VLOOKUP($B347,Sheet3!$B:$G,5,0)</f>
        <v>55</v>
      </c>
    </row>
    <row r="348" spans="1:7">
      <c r="A348">
        <v>240921</v>
      </c>
      <c r="B348" t="s">
        <v>354</v>
      </c>
      <c r="C348">
        <f>VLOOKUP($B348,Sheet3!$B:$G,2,0)</f>
        <v>98</v>
      </c>
      <c r="D348">
        <f>VLOOKUP($B348,Sheet3!$B:$G,3,0)</f>
        <v>100</v>
      </c>
      <c r="E348">
        <f>VLOOKUP($B348,Sheet3!$B:$G,4,0)</f>
        <v>110.5</v>
      </c>
      <c r="F348">
        <f>VLOOKUP($B348,Sheet3!$B:$G,6,0)</f>
        <v>83</v>
      </c>
      <c r="G348">
        <f>VLOOKUP($B348,Sheet3!$B:$G,5,0)</f>
        <v>82</v>
      </c>
    </row>
    <row r="349" spans="1:7">
      <c r="A349">
        <v>240922</v>
      </c>
      <c r="B349" t="s">
        <v>355</v>
      </c>
      <c r="C349">
        <f>VLOOKUP($B349,Sheet3!$B:$G,2,0)</f>
        <v>104</v>
      </c>
      <c r="D349">
        <f>VLOOKUP($B349,Sheet3!$B:$G,3,0)</f>
        <v>105</v>
      </c>
      <c r="E349">
        <f>VLOOKUP($B349,Sheet3!$B:$G,4,0)</f>
        <v>112</v>
      </c>
      <c r="F349">
        <f>VLOOKUP($B349,Sheet3!$B:$G,6,0)</f>
        <v>86</v>
      </c>
      <c r="G349">
        <f>VLOOKUP($B349,Sheet3!$B:$G,5,0)</f>
        <v>80</v>
      </c>
    </row>
    <row r="350" spans="1:7">
      <c r="A350">
        <v>240923</v>
      </c>
      <c r="B350" t="s">
        <v>356</v>
      </c>
      <c r="C350">
        <f>VLOOKUP($B350,Sheet3!$B:$G,2,0)</f>
        <v>92</v>
      </c>
      <c r="D350">
        <f>VLOOKUP($B350,Sheet3!$B:$G,3,0)</f>
        <v>95</v>
      </c>
      <c r="E350">
        <f>VLOOKUP($B350,Sheet3!$B:$G,4,0)</f>
        <v>114</v>
      </c>
      <c r="F350">
        <f>VLOOKUP($B350,Sheet3!$B:$G,6,0)</f>
        <v>84</v>
      </c>
      <c r="G350">
        <f>VLOOKUP($B350,Sheet3!$B:$G,5,0)</f>
        <v>74</v>
      </c>
    </row>
    <row r="351" spans="1:7">
      <c r="A351">
        <v>240924</v>
      </c>
      <c r="B351" t="s">
        <v>357</v>
      </c>
      <c r="C351">
        <f>VLOOKUP($B351,Sheet3!$B:$G,2,0)</f>
        <v>98</v>
      </c>
      <c r="D351">
        <f>VLOOKUP($B351,Sheet3!$B:$G,3,0)</f>
        <v>92</v>
      </c>
      <c r="E351">
        <f>VLOOKUP($B351,Sheet3!$B:$G,4,0)</f>
        <v>104</v>
      </c>
      <c r="F351">
        <f>VLOOKUP($B351,Sheet3!$B:$G,6,0)</f>
        <v>82</v>
      </c>
      <c r="G351">
        <f>VLOOKUP($B351,Sheet3!$B:$G,5,0)</f>
        <v>81</v>
      </c>
    </row>
    <row r="352" spans="1:7">
      <c r="A352">
        <v>240925</v>
      </c>
      <c r="B352" t="s">
        <v>358</v>
      </c>
      <c r="C352">
        <f>VLOOKUP($B352,Sheet3!$B:$G,2,0)</f>
        <v>93</v>
      </c>
      <c r="D352">
        <f>VLOOKUP($B352,Sheet3!$B:$G,3,0)</f>
        <v>103</v>
      </c>
      <c r="E352">
        <f>VLOOKUP($B352,Sheet3!$B:$G,4,0)</f>
        <v>105</v>
      </c>
      <c r="F352">
        <f>VLOOKUP($B352,Sheet3!$B:$G,6,0)</f>
        <v>85</v>
      </c>
      <c r="G352">
        <f>VLOOKUP($B352,Sheet3!$B:$G,5,0)</f>
        <v>85</v>
      </c>
    </row>
    <row r="353" spans="1:7">
      <c r="A353">
        <v>240926</v>
      </c>
      <c r="B353" t="s">
        <v>359</v>
      </c>
      <c r="C353">
        <f>VLOOKUP($B353,Sheet3!$B:$G,2,0)</f>
        <v>89</v>
      </c>
      <c r="D353">
        <f>VLOOKUP($B353,Sheet3!$B:$G,3,0)</f>
        <v>103</v>
      </c>
      <c r="E353">
        <f>VLOOKUP($B353,Sheet3!$B:$G,4,0)</f>
        <v>112.5</v>
      </c>
      <c r="F353">
        <f>VLOOKUP($B353,Sheet3!$B:$G,6,0)</f>
        <v>76</v>
      </c>
      <c r="G353">
        <f>VLOOKUP($B353,Sheet3!$B:$G,5,0)</f>
        <v>72</v>
      </c>
    </row>
    <row r="354" spans="1:7">
      <c r="A354">
        <v>240927</v>
      </c>
      <c r="B354" t="s">
        <v>360</v>
      </c>
      <c r="C354">
        <f>VLOOKUP($B354,Sheet3!$B:$G,2,0)</f>
        <v>100</v>
      </c>
      <c r="D354">
        <f>VLOOKUP($B354,Sheet3!$B:$G,3,0)</f>
        <v>105</v>
      </c>
      <c r="E354">
        <f>VLOOKUP($B354,Sheet3!$B:$G,4,0)</f>
        <v>88.5</v>
      </c>
      <c r="F354">
        <f>VLOOKUP($B354,Sheet3!$B:$G,6,0)</f>
        <v>87</v>
      </c>
      <c r="G354">
        <f>VLOOKUP($B354,Sheet3!$B:$G,5,0)</f>
        <v>78</v>
      </c>
    </row>
    <row r="355" spans="1:7">
      <c r="A355">
        <v>240928</v>
      </c>
      <c r="B355" t="s">
        <v>361</v>
      </c>
      <c r="C355">
        <f>VLOOKUP($B355,Sheet3!$B:$G,2,0)</f>
        <v>96</v>
      </c>
      <c r="D355">
        <f>VLOOKUP($B355,Sheet3!$B:$G,3,0)</f>
        <v>102</v>
      </c>
      <c r="E355">
        <f>VLOOKUP($B355,Sheet3!$B:$G,4,0)</f>
        <v>75</v>
      </c>
      <c r="F355">
        <f>VLOOKUP($B355,Sheet3!$B:$G,6,0)</f>
        <v>87</v>
      </c>
      <c r="G355">
        <f>VLOOKUP($B355,Sheet3!$B:$G,5,0)</f>
        <v>69</v>
      </c>
    </row>
    <row r="356" spans="1:7">
      <c r="A356">
        <v>240929</v>
      </c>
      <c r="B356" t="s">
        <v>362</v>
      </c>
      <c r="C356">
        <f>VLOOKUP($B356,Sheet3!$B:$G,2,0)</f>
        <v>91</v>
      </c>
      <c r="D356">
        <f>VLOOKUP($B356,Sheet3!$B:$G,3,0)</f>
        <v>113</v>
      </c>
      <c r="E356">
        <f>VLOOKUP($B356,Sheet3!$B:$G,4,0)</f>
        <v>107.5</v>
      </c>
      <c r="F356">
        <f>VLOOKUP($B356,Sheet3!$B:$G,6,0)</f>
        <v>80</v>
      </c>
      <c r="G356">
        <f>VLOOKUP($B356,Sheet3!$B:$G,5,0)</f>
        <v>65</v>
      </c>
    </row>
    <row r="357" spans="1:7">
      <c r="A357">
        <v>240930</v>
      </c>
      <c r="B357" t="s">
        <v>363</v>
      </c>
      <c r="C357">
        <f>VLOOKUP($B357,Sheet3!$B:$G,2,0)</f>
        <v>93</v>
      </c>
      <c r="D357">
        <f>VLOOKUP($B357,Sheet3!$B:$G,3,0)</f>
        <v>100</v>
      </c>
      <c r="E357">
        <f>VLOOKUP($B357,Sheet3!$B:$G,4,0)</f>
        <v>110.5</v>
      </c>
      <c r="F357">
        <f>VLOOKUP($B357,Sheet3!$B:$G,6,0)</f>
        <v>86</v>
      </c>
      <c r="G357">
        <f>VLOOKUP($B357,Sheet3!$B:$G,5,0)</f>
        <v>78</v>
      </c>
    </row>
    <row r="358" spans="1:7">
      <c r="A358">
        <v>240931</v>
      </c>
      <c r="B358" t="s">
        <v>364</v>
      </c>
      <c r="C358">
        <f>VLOOKUP($B358,Sheet3!$B:$G,2,0)</f>
        <v>94</v>
      </c>
      <c r="D358">
        <f>VLOOKUP($B358,Sheet3!$B:$G,3,0)</f>
        <v>91</v>
      </c>
      <c r="E358">
        <f>VLOOKUP($B358,Sheet3!$B:$G,4,0)</f>
        <v>105</v>
      </c>
      <c r="F358">
        <f>VLOOKUP($B358,Sheet3!$B:$G,6,0)</f>
        <v>76</v>
      </c>
      <c r="G358">
        <f>VLOOKUP($B358,Sheet3!$B:$G,5,0)</f>
        <v>70</v>
      </c>
    </row>
    <row r="359" spans="1:7">
      <c r="A359">
        <v>240932</v>
      </c>
      <c r="B359" t="s">
        <v>365</v>
      </c>
      <c r="C359">
        <f>VLOOKUP($B359,Sheet3!$B:$G,2,0)</f>
        <v>93</v>
      </c>
      <c r="D359">
        <f>VLOOKUP($B359,Sheet3!$B:$G,3,0)</f>
        <v>89</v>
      </c>
      <c r="E359">
        <f>VLOOKUP($B359,Sheet3!$B:$G,4,0)</f>
        <v>108.5</v>
      </c>
      <c r="F359">
        <f>VLOOKUP($B359,Sheet3!$B:$G,6,0)</f>
        <v>79</v>
      </c>
      <c r="G359">
        <f>VLOOKUP($B359,Sheet3!$B:$G,5,0)</f>
        <v>79</v>
      </c>
    </row>
    <row r="360" spans="1:7">
      <c r="A360">
        <v>240933</v>
      </c>
      <c r="B360" t="s">
        <v>366</v>
      </c>
      <c r="C360">
        <f>VLOOKUP($B360,Sheet3!$B:$G,2,0)</f>
        <v>95</v>
      </c>
      <c r="D360">
        <f>VLOOKUP($B360,Sheet3!$B:$G,3,0)</f>
        <v>107</v>
      </c>
      <c r="E360">
        <f>VLOOKUP($B360,Sheet3!$B:$G,4,0)</f>
        <v>116.5</v>
      </c>
      <c r="F360">
        <f>VLOOKUP($B360,Sheet3!$B:$G,6,0)</f>
        <v>89</v>
      </c>
      <c r="G360">
        <f>VLOOKUP($B360,Sheet3!$B:$G,5,0)</f>
        <v>80</v>
      </c>
    </row>
    <row r="361" spans="1:7">
      <c r="A361">
        <v>240934</v>
      </c>
      <c r="B361" t="s">
        <v>367</v>
      </c>
      <c r="C361">
        <f>VLOOKUP($B361,Sheet3!$B:$G,2,0)</f>
        <v>103</v>
      </c>
      <c r="D361">
        <f>VLOOKUP($B361,Sheet3!$B:$G,3,0)</f>
        <v>100</v>
      </c>
      <c r="E361">
        <f>VLOOKUP($B361,Sheet3!$B:$G,4,0)</f>
        <v>112</v>
      </c>
      <c r="F361">
        <f>VLOOKUP($B361,Sheet3!$B:$G,6,0)</f>
        <v>81</v>
      </c>
      <c r="G361">
        <f>VLOOKUP($B361,Sheet3!$B:$G,5,0)</f>
        <v>74</v>
      </c>
    </row>
    <row r="362" spans="1:7">
      <c r="A362">
        <v>240935</v>
      </c>
      <c r="B362" t="s">
        <v>368</v>
      </c>
      <c r="C362">
        <f>VLOOKUP($B362,Sheet3!$B:$G,2,0)</f>
        <v>108</v>
      </c>
      <c r="D362">
        <f>VLOOKUP($B362,Sheet3!$B:$G,3,0)</f>
        <v>106</v>
      </c>
      <c r="E362">
        <f>VLOOKUP($B362,Sheet3!$B:$G,4,0)</f>
        <v>117</v>
      </c>
      <c r="F362">
        <f>VLOOKUP($B362,Sheet3!$B:$G,6,0)</f>
        <v>85</v>
      </c>
      <c r="G362">
        <f>VLOOKUP($B362,Sheet3!$B:$G,5,0)</f>
        <v>85</v>
      </c>
    </row>
    <row r="363" spans="1:7">
      <c r="A363">
        <v>240936</v>
      </c>
      <c r="B363" t="s">
        <v>369</v>
      </c>
      <c r="C363">
        <f>VLOOKUP($B363,Sheet3!$B:$G,2,0)</f>
        <v>95</v>
      </c>
      <c r="D363">
        <f>VLOOKUP($B363,Sheet3!$B:$G,3,0)</f>
        <v>84</v>
      </c>
      <c r="E363">
        <f>VLOOKUP($B363,Sheet3!$B:$G,4,0)</f>
        <v>103</v>
      </c>
      <c r="F363">
        <f>VLOOKUP($B363,Sheet3!$B:$G,6,0)</f>
        <v>82</v>
      </c>
      <c r="G363">
        <f>VLOOKUP($B363,Sheet3!$B:$G,5,0)</f>
        <v>68</v>
      </c>
    </row>
    <row r="364" spans="1:7">
      <c r="A364">
        <v>240938</v>
      </c>
      <c r="B364" t="s">
        <v>370</v>
      </c>
      <c r="C364">
        <f>VLOOKUP($B364,Sheet3!$B:$G,2,0)</f>
        <v>106</v>
      </c>
      <c r="D364">
        <f>VLOOKUP($B364,Sheet3!$B:$G,3,0)</f>
        <v>113</v>
      </c>
      <c r="E364">
        <f>VLOOKUP($B364,Sheet3!$B:$G,4,0)</f>
        <v>115</v>
      </c>
      <c r="F364">
        <f>VLOOKUP($B364,Sheet3!$B:$G,6,0)</f>
        <v>90</v>
      </c>
      <c r="G364">
        <f>VLOOKUP($B364,Sheet3!$B:$G,5,0)</f>
        <v>85</v>
      </c>
    </row>
    <row r="365" spans="1:7">
      <c r="A365">
        <v>240939</v>
      </c>
      <c r="B365" t="s">
        <v>371</v>
      </c>
      <c r="C365">
        <f>VLOOKUP($B365,Sheet3!$B:$G,2,0)</f>
        <v>98</v>
      </c>
      <c r="D365">
        <f>VLOOKUP($B365,Sheet3!$B:$G,3,0)</f>
        <v>92</v>
      </c>
      <c r="E365">
        <f>VLOOKUP($B365,Sheet3!$B:$G,4,0)</f>
        <v>111.5</v>
      </c>
      <c r="F365">
        <f>VLOOKUP($B365,Sheet3!$B:$G,6,0)</f>
        <v>85</v>
      </c>
      <c r="G365">
        <f>VLOOKUP($B365,Sheet3!$B:$G,5,0)</f>
        <v>83</v>
      </c>
    </row>
    <row r="366" spans="1:7">
      <c r="A366">
        <v>240940</v>
      </c>
      <c r="B366" t="s">
        <v>372</v>
      </c>
      <c r="C366">
        <f>VLOOKUP($B366,Sheet3!$B:$G,2,0)</f>
        <v>100</v>
      </c>
      <c r="D366">
        <f>VLOOKUP($B366,Sheet3!$B:$G,3,0)</f>
        <v>103</v>
      </c>
      <c r="E366">
        <f>VLOOKUP($B366,Sheet3!$B:$G,4,0)</f>
        <v>107.5</v>
      </c>
      <c r="F366">
        <f>VLOOKUP($B366,Sheet3!$B:$G,6,0)</f>
        <v>81</v>
      </c>
      <c r="G366">
        <f>VLOOKUP($B366,Sheet3!$B:$G,5,0)</f>
        <v>80</v>
      </c>
    </row>
    <row r="367" spans="1:7">
      <c r="A367">
        <v>240522</v>
      </c>
      <c r="B367" t="s">
        <v>373</v>
      </c>
      <c r="C367">
        <f>VLOOKUP($B367,Sheet3!$B:$G,2,0)</f>
        <v>105</v>
      </c>
      <c r="D367">
        <f>VLOOKUP($B367,Sheet3!$B:$G,3,0)</f>
        <v>107</v>
      </c>
      <c r="E367">
        <f>VLOOKUP($B367,Sheet3!$B:$G,4,0)</f>
        <v>115.5</v>
      </c>
      <c r="F367">
        <f>VLOOKUP($B367,Sheet3!$B:$G,6,0)</f>
        <v>89</v>
      </c>
      <c r="G367">
        <f>VLOOKUP($B367,Sheet3!$B:$G,5,0)</f>
        <v>82</v>
      </c>
    </row>
    <row r="368" spans="1:7">
      <c r="A368">
        <v>240534</v>
      </c>
      <c r="B368" t="s">
        <v>374</v>
      </c>
      <c r="C368">
        <f>VLOOKUP($B368,Sheet3!$B:$G,2,0)</f>
        <v>107</v>
      </c>
      <c r="D368">
        <f>VLOOKUP($B368,Sheet3!$B:$G,3,0)</f>
        <v>102</v>
      </c>
      <c r="E368">
        <f>VLOOKUP($B368,Sheet3!$B:$G,4,0)</f>
        <v>111.5</v>
      </c>
      <c r="F368">
        <f>VLOOKUP($B368,Sheet3!$B:$G,6,0)</f>
        <v>86</v>
      </c>
      <c r="G368">
        <f>VLOOKUP($B368,Sheet3!$B:$G,5,0)</f>
        <v>83</v>
      </c>
    </row>
    <row r="369" spans="1:7">
      <c r="A369">
        <v>241001</v>
      </c>
      <c r="B369" t="s">
        <v>375</v>
      </c>
      <c r="C369">
        <f>VLOOKUP($B369,Sheet3!$B:$G,2,0)</f>
        <v>101</v>
      </c>
      <c r="D369">
        <f>VLOOKUP($B369,Sheet3!$B:$G,3,0)</f>
        <v>109</v>
      </c>
      <c r="E369">
        <f>VLOOKUP($B369,Sheet3!$B:$G,4,0)</f>
        <v>115</v>
      </c>
      <c r="F369">
        <f>VLOOKUP($B369,Sheet3!$B:$G,6,0)</f>
        <v>83</v>
      </c>
      <c r="G369">
        <f>VLOOKUP($B369,Sheet3!$B:$G,5,0)</f>
        <v>80</v>
      </c>
    </row>
    <row r="370" spans="1:7">
      <c r="A370">
        <v>241002</v>
      </c>
      <c r="B370" t="s">
        <v>376</v>
      </c>
      <c r="C370">
        <f>VLOOKUP($B370,Sheet3!$B:$G,2,0)</f>
        <v>104</v>
      </c>
      <c r="D370">
        <f>VLOOKUP($B370,Sheet3!$B:$G,3,0)</f>
        <v>83</v>
      </c>
      <c r="E370">
        <f>VLOOKUP($B370,Sheet3!$B:$G,4,0)</f>
        <v>103.5</v>
      </c>
      <c r="F370">
        <f>VLOOKUP($B370,Sheet3!$B:$G,6,0)</f>
        <v>80</v>
      </c>
      <c r="G370">
        <f>VLOOKUP($B370,Sheet3!$B:$G,5,0)</f>
        <v>79</v>
      </c>
    </row>
    <row r="371" spans="1:7">
      <c r="A371">
        <v>241003</v>
      </c>
      <c r="B371" t="s">
        <v>377</v>
      </c>
      <c r="C371">
        <f>VLOOKUP($B371,Sheet3!$B:$G,2,0)</f>
        <v>116</v>
      </c>
      <c r="D371">
        <f>VLOOKUP($B371,Sheet3!$B:$G,3,0)</f>
        <v>82</v>
      </c>
      <c r="E371">
        <f>VLOOKUP($B371,Sheet3!$B:$G,4,0)</f>
        <v>102.5</v>
      </c>
      <c r="F371">
        <f>VLOOKUP($B371,Sheet3!$B:$G,6,0)</f>
        <v>85</v>
      </c>
      <c r="G371">
        <f>VLOOKUP($B371,Sheet3!$B:$G,5,0)</f>
        <v>85</v>
      </c>
    </row>
    <row r="372" spans="1:7">
      <c r="A372">
        <v>241004</v>
      </c>
      <c r="B372" t="s">
        <v>378</v>
      </c>
      <c r="C372">
        <f>VLOOKUP($B372,Sheet3!$B:$G,2,0)</f>
        <v>92</v>
      </c>
      <c r="D372">
        <f>VLOOKUP($B372,Sheet3!$B:$G,3,0)</f>
        <v>97</v>
      </c>
      <c r="E372">
        <f>VLOOKUP($B372,Sheet3!$B:$G,4,0)</f>
        <v>112.5</v>
      </c>
      <c r="F372">
        <f>VLOOKUP($B372,Sheet3!$B:$G,6,0)</f>
        <v>74</v>
      </c>
      <c r="G372">
        <f>VLOOKUP($B372,Sheet3!$B:$G,5,0)</f>
        <v>75</v>
      </c>
    </row>
    <row r="373" spans="1:7">
      <c r="A373">
        <v>241005</v>
      </c>
      <c r="B373" t="s">
        <v>379</v>
      </c>
      <c r="C373">
        <f>VLOOKUP($B373,Sheet3!$B:$G,2,0)</f>
        <v>93</v>
      </c>
      <c r="D373">
        <f>VLOOKUP($B373,Sheet3!$B:$G,3,0)</f>
        <v>95</v>
      </c>
      <c r="E373">
        <f>VLOOKUP($B373,Sheet3!$B:$G,4,0)</f>
        <v>105</v>
      </c>
      <c r="F373">
        <f>VLOOKUP($B373,Sheet3!$B:$G,6,0)</f>
        <v>85</v>
      </c>
      <c r="G373">
        <f>VLOOKUP($B373,Sheet3!$B:$G,5,0)</f>
        <v>74</v>
      </c>
    </row>
    <row r="374" spans="1:7">
      <c r="A374">
        <v>241006</v>
      </c>
      <c r="B374" t="s">
        <v>380</v>
      </c>
      <c r="C374">
        <f>VLOOKUP($B374,Sheet3!$B:$G,2,0)</f>
        <v>109</v>
      </c>
      <c r="D374">
        <f>VLOOKUP($B374,Sheet3!$B:$G,3,0)</f>
        <v>115</v>
      </c>
      <c r="E374">
        <f>VLOOKUP($B374,Sheet3!$B:$G,4,0)</f>
        <v>116.5</v>
      </c>
      <c r="F374">
        <f>VLOOKUP($B374,Sheet3!$B:$G,6,0)</f>
        <v>89</v>
      </c>
      <c r="G374">
        <f>VLOOKUP($B374,Sheet3!$B:$G,5,0)</f>
        <v>87</v>
      </c>
    </row>
    <row r="375" spans="1:7">
      <c r="A375">
        <v>241007</v>
      </c>
      <c r="B375" t="s">
        <v>381</v>
      </c>
      <c r="C375">
        <f>VLOOKUP($B375,Sheet3!$B:$G,2,0)</f>
        <v>83</v>
      </c>
      <c r="D375">
        <f>VLOOKUP($B375,Sheet3!$B:$G,3,0)</f>
        <v>85</v>
      </c>
      <c r="E375">
        <f>VLOOKUP($B375,Sheet3!$B:$G,4,0)</f>
        <v>80</v>
      </c>
      <c r="F375">
        <f>VLOOKUP($B375,Sheet3!$B:$G,6,0)</f>
        <v>79</v>
      </c>
      <c r="G375">
        <f>VLOOKUP($B375,Sheet3!$B:$G,5,0)</f>
        <v>65</v>
      </c>
    </row>
    <row r="376" spans="1:7">
      <c r="A376">
        <v>241008</v>
      </c>
      <c r="B376" t="s">
        <v>382</v>
      </c>
      <c r="C376">
        <f>VLOOKUP($B376,Sheet3!$B:$G,2,0)</f>
        <v>100</v>
      </c>
      <c r="D376">
        <f>VLOOKUP($B376,Sheet3!$B:$G,3,0)</f>
        <v>92</v>
      </c>
      <c r="E376">
        <f>VLOOKUP($B376,Sheet3!$B:$G,4,0)</f>
        <v>115.5</v>
      </c>
      <c r="F376">
        <f>VLOOKUP($B376,Sheet3!$B:$G,6,0)</f>
        <v>89</v>
      </c>
      <c r="G376">
        <f>VLOOKUP($B376,Sheet3!$B:$G,5,0)</f>
        <v>83</v>
      </c>
    </row>
    <row r="377" spans="1:7">
      <c r="A377">
        <v>241009</v>
      </c>
      <c r="B377" t="s">
        <v>383</v>
      </c>
      <c r="C377">
        <f>VLOOKUP($B377,Sheet3!$B:$G,2,0)</f>
        <v>84</v>
      </c>
      <c r="D377">
        <f>VLOOKUP($B377,Sheet3!$B:$G,3,0)</f>
        <v>97</v>
      </c>
      <c r="E377">
        <f>VLOOKUP($B377,Sheet3!$B:$G,4,0)</f>
        <v>94</v>
      </c>
      <c r="F377">
        <f>VLOOKUP($B377,Sheet3!$B:$G,6,0)</f>
        <v>69</v>
      </c>
      <c r="G377">
        <f>VLOOKUP($B377,Sheet3!$B:$G,5,0)</f>
        <v>67</v>
      </c>
    </row>
    <row r="378" spans="1:7">
      <c r="A378">
        <v>241010</v>
      </c>
      <c r="B378" t="s">
        <v>384</v>
      </c>
      <c r="C378">
        <f>VLOOKUP($B378,Sheet3!$B:$G,2,0)</f>
        <v>87</v>
      </c>
      <c r="D378">
        <f>VLOOKUP($B378,Sheet3!$B:$G,3,0)</f>
        <v>99</v>
      </c>
      <c r="E378">
        <f>VLOOKUP($B378,Sheet3!$B:$G,4,0)</f>
        <v>97.5</v>
      </c>
      <c r="F378">
        <f>VLOOKUP($B378,Sheet3!$B:$G,6,0)</f>
        <v>81</v>
      </c>
      <c r="G378">
        <f>VLOOKUP($B378,Sheet3!$B:$G,5,0)</f>
        <v>72</v>
      </c>
    </row>
    <row r="379" spans="1:7">
      <c r="A379">
        <v>241011</v>
      </c>
      <c r="B379" t="s">
        <v>385</v>
      </c>
      <c r="C379">
        <f>VLOOKUP($B379,Sheet3!$B:$G,2,0)</f>
        <v>99</v>
      </c>
      <c r="D379">
        <f>VLOOKUP($B379,Sheet3!$B:$G,3,0)</f>
        <v>88</v>
      </c>
      <c r="E379">
        <f>VLOOKUP($B379,Sheet3!$B:$G,4,0)</f>
        <v>102</v>
      </c>
      <c r="F379">
        <f>VLOOKUP($B379,Sheet3!$B:$G,6,0)</f>
        <v>79</v>
      </c>
      <c r="G379">
        <f>VLOOKUP($B379,Sheet3!$B:$G,5,0)</f>
        <v>63</v>
      </c>
    </row>
    <row r="380" spans="1:7">
      <c r="A380">
        <v>241012</v>
      </c>
      <c r="B380" t="s">
        <v>386</v>
      </c>
      <c r="C380">
        <f>VLOOKUP($B380,Sheet3!$B:$G,2,0)</f>
        <v>92</v>
      </c>
      <c r="D380">
        <f>VLOOKUP($B380,Sheet3!$B:$G,3,0)</f>
        <v>107</v>
      </c>
      <c r="E380">
        <f>VLOOKUP($B380,Sheet3!$B:$G,4,0)</f>
        <v>113.5</v>
      </c>
      <c r="F380">
        <f>VLOOKUP($B380,Sheet3!$B:$G,6,0)</f>
        <v>82</v>
      </c>
      <c r="G380">
        <f>VLOOKUP($B380,Sheet3!$B:$G,5,0)</f>
        <v>79</v>
      </c>
    </row>
    <row r="381" spans="1:7">
      <c r="A381">
        <v>241013</v>
      </c>
      <c r="B381" t="s">
        <v>387</v>
      </c>
      <c r="C381">
        <f>VLOOKUP($B381,Sheet3!$B:$G,2,0)</f>
        <v>98</v>
      </c>
      <c r="D381">
        <f>VLOOKUP($B381,Sheet3!$B:$G,3,0)</f>
        <v>107</v>
      </c>
      <c r="E381">
        <f>VLOOKUP($B381,Sheet3!$B:$G,4,0)</f>
        <v>99</v>
      </c>
      <c r="F381">
        <f>VLOOKUP($B381,Sheet3!$B:$G,6,0)</f>
        <v>82</v>
      </c>
      <c r="G381">
        <f>VLOOKUP($B381,Sheet3!$B:$G,5,0)</f>
        <v>69</v>
      </c>
    </row>
    <row r="382" spans="1:7">
      <c r="A382">
        <v>241014</v>
      </c>
      <c r="B382" t="s">
        <v>388</v>
      </c>
      <c r="C382">
        <f>VLOOKUP($B382,Sheet3!$B:$G,2,0)</f>
        <v>108</v>
      </c>
      <c r="D382">
        <f>VLOOKUP($B382,Sheet3!$B:$G,3,0)</f>
        <v>112</v>
      </c>
      <c r="E382">
        <f>VLOOKUP($B382,Sheet3!$B:$G,4,0)</f>
        <v>115</v>
      </c>
      <c r="F382">
        <f>VLOOKUP($B382,Sheet3!$B:$G,6,0)</f>
        <v>88</v>
      </c>
      <c r="G382">
        <f>VLOOKUP($B382,Sheet3!$B:$G,5,0)</f>
        <v>85</v>
      </c>
    </row>
    <row r="383" spans="1:7">
      <c r="A383">
        <v>241015</v>
      </c>
      <c r="B383" t="s">
        <v>389</v>
      </c>
      <c r="C383">
        <f>VLOOKUP($B383,Sheet3!$B:$G,2,0)</f>
        <v>87</v>
      </c>
      <c r="D383">
        <f>VLOOKUP($B383,Sheet3!$B:$G,3,0)</f>
        <v>88</v>
      </c>
      <c r="E383">
        <f>VLOOKUP($B383,Sheet3!$B:$G,4,0)</f>
        <v>100</v>
      </c>
      <c r="F383">
        <f>VLOOKUP($B383,Sheet3!$B:$G,6,0)</f>
        <v>74</v>
      </c>
      <c r="G383">
        <f>VLOOKUP($B383,Sheet3!$B:$G,5,0)</f>
        <v>71</v>
      </c>
    </row>
    <row r="384" spans="1:7">
      <c r="A384">
        <v>241016</v>
      </c>
      <c r="B384" t="s">
        <v>390</v>
      </c>
      <c r="C384">
        <f>VLOOKUP($B384,Sheet3!$B:$G,2,0)</f>
        <v>82</v>
      </c>
      <c r="D384">
        <f>VLOOKUP($B384,Sheet3!$B:$G,3,0)</f>
        <v>54</v>
      </c>
      <c r="E384">
        <f>VLOOKUP($B384,Sheet3!$B:$G,4,0)</f>
        <v>85</v>
      </c>
      <c r="F384">
        <f>VLOOKUP($B384,Sheet3!$B:$G,6,0)</f>
        <v>68</v>
      </c>
      <c r="G384">
        <f>VLOOKUP($B384,Sheet3!$B:$G,5,0)</f>
        <v>52</v>
      </c>
    </row>
    <row r="385" spans="1:7">
      <c r="A385">
        <v>241017</v>
      </c>
      <c r="B385" t="s">
        <v>391</v>
      </c>
      <c r="C385">
        <f>VLOOKUP($B385,Sheet3!$B:$G,2,0)</f>
        <v>85</v>
      </c>
      <c r="D385">
        <f>VLOOKUP($B385,Sheet3!$B:$G,3,0)</f>
        <v>94</v>
      </c>
      <c r="E385">
        <f>VLOOKUP($B385,Sheet3!$B:$G,4,0)</f>
        <v>84</v>
      </c>
      <c r="F385">
        <f>VLOOKUP($B385,Sheet3!$B:$G,6,0)</f>
        <v>74</v>
      </c>
      <c r="G385">
        <f>VLOOKUP($B385,Sheet3!$B:$G,5,0)</f>
        <v>70</v>
      </c>
    </row>
    <row r="386" spans="1:7">
      <c r="A386">
        <v>241018</v>
      </c>
      <c r="B386" t="s">
        <v>392</v>
      </c>
      <c r="C386">
        <f>VLOOKUP($B386,Sheet3!$B:$G,2,0)</f>
        <v>101</v>
      </c>
      <c r="D386">
        <f>VLOOKUP($B386,Sheet3!$B:$G,3,0)</f>
        <v>110</v>
      </c>
      <c r="E386">
        <f>VLOOKUP($B386,Sheet3!$B:$G,4,0)</f>
        <v>107</v>
      </c>
      <c r="F386">
        <f>VLOOKUP($B386,Sheet3!$B:$G,6,0)</f>
        <v>81</v>
      </c>
      <c r="G386">
        <f>VLOOKUP($B386,Sheet3!$B:$G,5,0)</f>
        <v>77</v>
      </c>
    </row>
    <row r="387" spans="1:7">
      <c r="A387">
        <v>241019</v>
      </c>
      <c r="B387" t="s">
        <v>393</v>
      </c>
      <c r="C387">
        <f>VLOOKUP($B387,Sheet3!$B:$G,2,0)</f>
        <v>101</v>
      </c>
      <c r="D387">
        <f>VLOOKUP($B387,Sheet3!$B:$G,3,0)</f>
        <v>67</v>
      </c>
      <c r="E387">
        <f>VLOOKUP($B387,Sheet3!$B:$G,4,0)</f>
        <v>103</v>
      </c>
      <c r="F387">
        <f>VLOOKUP($B387,Sheet3!$B:$G,6,0)</f>
        <v>86</v>
      </c>
      <c r="G387">
        <f>VLOOKUP($B387,Sheet3!$B:$G,5,0)</f>
        <v>79</v>
      </c>
    </row>
    <row r="388" spans="1:7">
      <c r="A388">
        <v>241020</v>
      </c>
      <c r="B388" t="s">
        <v>394</v>
      </c>
      <c r="C388">
        <f>VLOOKUP($B388,Sheet3!$B:$G,2,0)</f>
        <v>94</v>
      </c>
      <c r="D388">
        <f>VLOOKUP($B388,Sheet3!$B:$G,3,0)</f>
        <v>68</v>
      </c>
      <c r="E388">
        <f>VLOOKUP($B388,Sheet3!$B:$G,4,0)</f>
        <v>81.5</v>
      </c>
      <c r="F388">
        <f>VLOOKUP($B388,Sheet3!$B:$G,6,0)</f>
        <v>76</v>
      </c>
      <c r="G388">
        <f>VLOOKUP($B388,Sheet3!$B:$G,5,0)</f>
        <v>54</v>
      </c>
    </row>
    <row r="389" spans="1:7">
      <c r="A389">
        <v>241021</v>
      </c>
      <c r="B389" t="s">
        <v>395</v>
      </c>
      <c r="C389">
        <f>VLOOKUP($B389,Sheet3!$B:$G,2,0)</f>
        <v>110</v>
      </c>
      <c r="D389">
        <f>VLOOKUP($B389,Sheet3!$B:$G,3,0)</f>
        <v>80</v>
      </c>
      <c r="E389">
        <f>VLOOKUP($B389,Sheet3!$B:$G,4,0)</f>
        <v>105.5</v>
      </c>
      <c r="F389">
        <f>VLOOKUP($B389,Sheet3!$B:$G,6,0)</f>
        <v>87</v>
      </c>
      <c r="G389">
        <f>VLOOKUP($B389,Sheet3!$B:$G,5,0)</f>
        <v>80</v>
      </c>
    </row>
    <row r="390" spans="1:7">
      <c r="A390">
        <v>241022</v>
      </c>
      <c r="B390" t="s">
        <v>396</v>
      </c>
      <c r="C390">
        <f>VLOOKUP($B390,Sheet3!$B:$G,2,0)</f>
        <v>105</v>
      </c>
      <c r="D390">
        <f>VLOOKUP($B390,Sheet3!$B:$G,3,0)</f>
        <v>104</v>
      </c>
      <c r="E390">
        <f>VLOOKUP($B390,Sheet3!$B:$G,4,0)</f>
        <v>110.5</v>
      </c>
      <c r="F390">
        <f>VLOOKUP($B390,Sheet3!$B:$G,6,0)</f>
        <v>83</v>
      </c>
      <c r="G390">
        <f>VLOOKUP($B390,Sheet3!$B:$G,5,0)</f>
        <v>80</v>
      </c>
    </row>
    <row r="391" spans="1:7">
      <c r="A391">
        <v>241023</v>
      </c>
      <c r="B391" t="s">
        <v>397</v>
      </c>
      <c r="C391">
        <f>VLOOKUP($B391,Sheet3!$B:$G,2,0)</f>
        <v>96</v>
      </c>
      <c r="D391">
        <f>VLOOKUP($B391,Sheet3!$B:$G,3,0)</f>
        <v>105</v>
      </c>
      <c r="E391">
        <f>VLOOKUP($B391,Sheet3!$B:$G,4,0)</f>
        <v>108</v>
      </c>
      <c r="F391">
        <f>VLOOKUP($B391,Sheet3!$B:$G,6,0)</f>
        <v>88</v>
      </c>
      <c r="G391">
        <f>VLOOKUP($B391,Sheet3!$B:$G,5,0)</f>
        <v>81</v>
      </c>
    </row>
    <row r="392" spans="1:7">
      <c r="A392">
        <v>241024</v>
      </c>
      <c r="B392" t="s">
        <v>398</v>
      </c>
      <c r="C392">
        <f>VLOOKUP($B392,Sheet3!$B:$G,2,0)</f>
        <v>102</v>
      </c>
      <c r="D392">
        <f>VLOOKUP($B392,Sheet3!$B:$G,3,0)</f>
        <v>98</v>
      </c>
      <c r="E392">
        <f>VLOOKUP($B392,Sheet3!$B:$G,4,0)</f>
        <v>114.5</v>
      </c>
      <c r="F392">
        <f>VLOOKUP($B392,Sheet3!$B:$G,6,0)</f>
        <v>86</v>
      </c>
      <c r="G392">
        <f>VLOOKUP($B392,Sheet3!$B:$G,5,0)</f>
        <v>84</v>
      </c>
    </row>
    <row r="393" spans="1:7">
      <c r="A393">
        <v>241025</v>
      </c>
      <c r="B393" t="s">
        <v>399</v>
      </c>
      <c r="C393">
        <f>VLOOKUP($B393,Sheet3!$B:$G,2,0)</f>
        <v>98</v>
      </c>
      <c r="D393">
        <f>VLOOKUP($B393,Sheet3!$B:$G,3,0)</f>
        <v>91</v>
      </c>
      <c r="E393">
        <f>VLOOKUP($B393,Sheet3!$B:$G,4,0)</f>
        <v>100</v>
      </c>
      <c r="F393">
        <f>VLOOKUP($B393,Sheet3!$B:$G,6,0)</f>
        <v>85</v>
      </c>
      <c r="G393">
        <f>VLOOKUP($B393,Sheet3!$B:$G,5,0)</f>
        <v>73</v>
      </c>
    </row>
    <row r="394" spans="1:7">
      <c r="A394">
        <v>241026</v>
      </c>
      <c r="B394" t="s">
        <v>400</v>
      </c>
      <c r="C394">
        <f>VLOOKUP($B394,Sheet3!$B:$G,2,0)</f>
        <v>92</v>
      </c>
      <c r="D394">
        <f>VLOOKUP($B394,Sheet3!$B:$G,3,0)</f>
        <v>104</v>
      </c>
      <c r="E394">
        <f>VLOOKUP($B394,Sheet3!$B:$G,4,0)</f>
        <v>111.5</v>
      </c>
      <c r="F394">
        <f>VLOOKUP($B394,Sheet3!$B:$G,6,0)</f>
        <v>76</v>
      </c>
      <c r="G394">
        <f>VLOOKUP($B394,Sheet3!$B:$G,5,0)</f>
        <v>71</v>
      </c>
    </row>
    <row r="395" spans="1:7">
      <c r="A395">
        <v>241027</v>
      </c>
      <c r="B395" t="s">
        <v>401</v>
      </c>
      <c r="C395">
        <f>VLOOKUP($B395,Sheet3!$B:$G,2,0)</f>
        <v>85</v>
      </c>
      <c r="D395">
        <f>VLOOKUP($B395,Sheet3!$B:$G,3,0)</f>
        <v>84</v>
      </c>
      <c r="E395">
        <f>VLOOKUP($B395,Sheet3!$B:$G,4,0)</f>
        <v>80.5</v>
      </c>
      <c r="F395">
        <f>VLOOKUP($B395,Sheet3!$B:$G,6,0)</f>
        <v>66</v>
      </c>
      <c r="G395">
        <f>VLOOKUP($B395,Sheet3!$B:$G,5,0)</f>
        <v>64</v>
      </c>
    </row>
    <row r="396" spans="1:7">
      <c r="A396">
        <v>241028</v>
      </c>
      <c r="B396" t="s">
        <v>402</v>
      </c>
      <c r="C396">
        <f>VLOOKUP($B396,Sheet3!$B:$G,2,0)</f>
        <v>106</v>
      </c>
      <c r="D396">
        <f>VLOOKUP($B396,Sheet3!$B:$G,3,0)</f>
        <v>109</v>
      </c>
      <c r="E396">
        <f>VLOOKUP($B396,Sheet3!$B:$G,4,0)</f>
        <v>114</v>
      </c>
      <c r="F396">
        <f>VLOOKUP($B396,Sheet3!$B:$G,6,0)</f>
        <v>84</v>
      </c>
      <c r="G396">
        <f>VLOOKUP($B396,Sheet3!$B:$G,5,0)</f>
        <v>78</v>
      </c>
    </row>
    <row r="397" spans="1:7">
      <c r="A397">
        <v>241029</v>
      </c>
      <c r="B397" t="s">
        <v>403</v>
      </c>
      <c r="C397">
        <f>VLOOKUP($B397,Sheet3!$B:$G,2,0)</f>
        <v>102</v>
      </c>
      <c r="D397">
        <f>VLOOKUP($B397,Sheet3!$B:$G,3,0)</f>
        <v>86</v>
      </c>
      <c r="E397">
        <f>VLOOKUP($B397,Sheet3!$B:$G,4,0)</f>
        <v>108.5</v>
      </c>
      <c r="F397">
        <f>VLOOKUP($B397,Sheet3!$B:$G,6,0)</f>
        <v>78</v>
      </c>
      <c r="G397">
        <f>VLOOKUP($B397,Sheet3!$B:$G,5,0)</f>
        <v>83</v>
      </c>
    </row>
    <row r="398" spans="1:7">
      <c r="A398">
        <v>241030</v>
      </c>
      <c r="B398" t="s">
        <v>404</v>
      </c>
      <c r="C398">
        <f>VLOOKUP($B398,Sheet3!$B:$G,2,0)</f>
        <v>108</v>
      </c>
      <c r="D398">
        <f>VLOOKUP($B398,Sheet3!$B:$G,3,0)</f>
        <v>104</v>
      </c>
      <c r="E398">
        <f>VLOOKUP($B398,Sheet3!$B:$G,4,0)</f>
        <v>116.5</v>
      </c>
      <c r="F398">
        <f>VLOOKUP($B398,Sheet3!$B:$G,6,0)</f>
        <v>90</v>
      </c>
      <c r="G398">
        <f>VLOOKUP($B398,Sheet3!$B:$G,5,0)</f>
        <v>84</v>
      </c>
    </row>
    <row r="399" spans="1:7">
      <c r="A399">
        <v>241031</v>
      </c>
      <c r="B399" t="s">
        <v>405</v>
      </c>
      <c r="C399">
        <f>VLOOKUP($B399,Sheet3!$B:$G,2,0)</f>
        <v>105</v>
      </c>
      <c r="D399">
        <f>VLOOKUP($B399,Sheet3!$B:$G,3,0)</f>
        <v>86</v>
      </c>
      <c r="E399">
        <f>VLOOKUP($B399,Sheet3!$B:$G,4,0)</f>
        <v>104.5</v>
      </c>
      <c r="F399">
        <f>VLOOKUP($B399,Sheet3!$B:$G,6,0)</f>
        <v>90</v>
      </c>
      <c r="G399">
        <f>VLOOKUP($B399,Sheet3!$B:$G,5,0)</f>
        <v>72</v>
      </c>
    </row>
    <row r="400" spans="1:7">
      <c r="A400">
        <v>241032</v>
      </c>
      <c r="B400" t="s">
        <v>406</v>
      </c>
      <c r="C400">
        <f>VLOOKUP($B400,Sheet3!$B:$G,2,0)</f>
        <v>85</v>
      </c>
      <c r="D400">
        <f>VLOOKUP($B400,Sheet3!$B:$G,3,0)</f>
        <v>60</v>
      </c>
      <c r="E400">
        <f>VLOOKUP($B400,Sheet3!$B:$G,4,0)</f>
        <v>76.5</v>
      </c>
      <c r="F400">
        <f>VLOOKUP($B400,Sheet3!$B:$G,6,0)</f>
        <v>66</v>
      </c>
      <c r="G400">
        <f>VLOOKUP($B400,Sheet3!$B:$G,5,0)</f>
        <v>56</v>
      </c>
    </row>
    <row r="401" spans="1:7">
      <c r="A401">
        <v>241033</v>
      </c>
      <c r="B401" t="s">
        <v>407</v>
      </c>
      <c r="C401">
        <f>VLOOKUP($B401,Sheet3!$B:$G,2,0)</f>
        <v>102</v>
      </c>
      <c r="D401">
        <f>VLOOKUP($B401,Sheet3!$B:$G,3,0)</f>
        <v>93</v>
      </c>
      <c r="E401">
        <f>VLOOKUP($B401,Sheet3!$B:$G,4,0)</f>
        <v>108.5</v>
      </c>
      <c r="F401">
        <f>VLOOKUP($B401,Sheet3!$B:$G,6,0)</f>
        <v>84</v>
      </c>
      <c r="G401">
        <f>VLOOKUP($B401,Sheet3!$B:$G,5,0)</f>
        <v>80</v>
      </c>
    </row>
    <row r="402" spans="1:7">
      <c r="A402">
        <v>241034</v>
      </c>
      <c r="B402" t="s">
        <v>408</v>
      </c>
      <c r="C402">
        <f>VLOOKUP($B402,Sheet3!$B:$G,2,0)</f>
        <v>104</v>
      </c>
      <c r="D402">
        <f>VLOOKUP($B402,Sheet3!$B:$G,3,0)</f>
        <v>111</v>
      </c>
      <c r="E402">
        <f>VLOOKUP($B402,Sheet3!$B:$G,4,0)</f>
        <v>111.5</v>
      </c>
      <c r="F402">
        <f>VLOOKUP($B402,Sheet3!$B:$G,6,0)</f>
        <v>87</v>
      </c>
      <c r="G402">
        <f>VLOOKUP($B402,Sheet3!$B:$G,5,0)</f>
        <v>80</v>
      </c>
    </row>
    <row r="403" spans="1:7">
      <c r="A403">
        <v>241035</v>
      </c>
      <c r="B403" t="s">
        <v>409</v>
      </c>
      <c r="C403">
        <f>VLOOKUP($B403,Sheet3!$B:$G,2,0)</f>
        <v>105</v>
      </c>
      <c r="D403">
        <f>VLOOKUP($B403,Sheet3!$B:$G,3,0)</f>
        <v>100</v>
      </c>
      <c r="E403">
        <f>VLOOKUP($B403,Sheet3!$B:$G,4,0)</f>
        <v>101.5</v>
      </c>
      <c r="F403">
        <f>VLOOKUP($B403,Sheet3!$B:$G,6,0)</f>
        <v>83</v>
      </c>
      <c r="G403">
        <f>VLOOKUP($B403,Sheet3!$B:$G,5,0)</f>
        <v>78</v>
      </c>
    </row>
    <row r="404" spans="1:7">
      <c r="A404">
        <v>241036</v>
      </c>
      <c r="B404" t="s">
        <v>410</v>
      </c>
      <c r="C404">
        <f>VLOOKUP($B404,Sheet3!$B:$G,2,0)</f>
        <v>99</v>
      </c>
      <c r="D404">
        <f>VLOOKUP($B404,Sheet3!$B:$G,3,0)</f>
        <v>87</v>
      </c>
      <c r="E404">
        <f>VLOOKUP($B404,Sheet3!$B:$G,4,0)</f>
        <v>103.5</v>
      </c>
      <c r="F404">
        <f>VLOOKUP($B404,Sheet3!$B:$G,6,0)</f>
        <v>78</v>
      </c>
      <c r="G404">
        <f>VLOOKUP($B404,Sheet3!$B:$G,5,0)</f>
        <v>74</v>
      </c>
    </row>
    <row r="405" spans="1:7">
      <c r="A405">
        <v>241037</v>
      </c>
      <c r="B405" t="s">
        <v>411</v>
      </c>
      <c r="C405">
        <f>VLOOKUP($B405,Sheet3!$B:$G,2,0)</f>
        <v>111</v>
      </c>
      <c r="D405">
        <f>VLOOKUP($B405,Sheet3!$B:$G,3,0)</f>
        <v>101</v>
      </c>
      <c r="E405">
        <f>VLOOKUP($B405,Sheet3!$B:$G,4,0)</f>
        <v>107</v>
      </c>
      <c r="F405">
        <f>VLOOKUP($B405,Sheet3!$B:$G,6,0)</f>
        <v>89</v>
      </c>
      <c r="G405">
        <f>VLOOKUP($B405,Sheet3!$B:$G,5,0)</f>
        <v>74</v>
      </c>
    </row>
    <row r="406" spans="1:7">
      <c r="A406">
        <v>241038</v>
      </c>
      <c r="B406" t="s">
        <v>412</v>
      </c>
      <c r="C406">
        <f>VLOOKUP($B406,Sheet3!$B:$G,2,0)</f>
        <v>93</v>
      </c>
      <c r="D406">
        <f>VLOOKUP($B406,Sheet3!$B:$G,3,0)</f>
        <v>101</v>
      </c>
      <c r="E406">
        <f>VLOOKUP($B406,Sheet3!$B:$G,4,0)</f>
        <v>102</v>
      </c>
      <c r="F406">
        <f>VLOOKUP($B406,Sheet3!$B:$G,6,0)</f>
        <v>72</v>
      </c>
      <c r="G406">
        <f>VLOOKUP($B406,Sheet3!$B:$G,5,0)</f>
        <v>67</v>
      </c>
    </row>
    <row r="407" spans="1:7">
      <c r="A407">
        <v>241039</v>
      </c>
      <c r="B407" t="s">
        <v>413</v>
      </c>
      <c r="C407">
        <f>VLOOKUP($B407,Sheet3!$B:$G,2,0)</f>
        <v>97</v>
      </c>
      <c r="D407">
        <f>VLOOKUP($B407,Sheet3!$B:$G,3,0)</f>
        <v>103</v>
      </c>
      <c r="E407">
        <f>VLOOKUP($B407,Sheet3!$B:$G,4,0)</f>
        <v>106</v>
      </c>
      <c r="F407">
        <f>VLOOKUP($B407,Sheet3!$B:$G,6,0)</f>
        <v>82</v>
      </c>
      <c r="G407">
        <f>VLOOKUP($B407,Sheet3!$B:$G,5,0)</f>
        <v>69</v>
      </c>
    </row>
    <row r="408" spans="1:7">
      <c r="A408">
        <v>241040</v>
      </c>
      <c r="B408" t="s">
        <v>414</v>
      </c>
      <c r="C408">
        <f>VLOOKUP($B408,Sheet3!$B:$G,2,0)</f>
        <v>103</v>
      </c>
      <c r="D408">
        <f>VLOOKUP($B408,Sheet3!$B:$G,3,0)</f>
        <v>84</v>
      </c>
      <c r="E408">
        <f>VLOOKUP($B408,Sheet3!$B:$G,4,0)</f>
        <v>91</v>
      </c>
      <c r="F408">
        <f>VLOOKUP($B408,Sheet3!$B:$G,6,0)</f>
        <v>81</v>
      </c>
      <c r="G408">
        <f>VLOOKUP($B408,Sheet3!$B:$G,5,0)</f>
        <v>77</v>
      </c>
    </row>
    <row r="409" spans="1:7">
      <c r="A409">
        <v>241101</v>
      </c>
      <c r="B409" t="s">
        <v>415</v>
      </c>
      <c r="C409">
        <f>VLOOKUP($B409,Sheet3!$B:$G,2,0)</f>
        <v>95</v>
      </c>
      <c r="D409">
        <f>VLOOKUP($B409,Sheet3!$B:$G,3,0)</f>
        <v>100</v>
      </c>
      <c r="E409">
        <f>VLOOKUP($B409,Sheet3!$B:$G,4,0)</f>
        <v>108</v>
      </c>
      <c r="F409">
        <f>VLOOKUP($B409,Sheet3!$B:$G,6,0)</f>
        <v>80</v>
      </c>
      <c r="G409">
        <f>VLOOKUP($B409,Sheet3!$B:$G,5,0)</f>
        <v>84</v>
      </c>
    </row>
    <row r="410" spans="1:7">
      <c r="A410">
        <v>241102</v>
      </c>
      <c r="B410" t="s">
        <v>416</v>
      </c>
      <c r="C410">
        <f>VLOOKUP($B410,Sheet3!$B:$G,2,0)</f>
        <v>104</v>
      </c>
      <c r="D410">
        <f>VLOOKUP($B410,Sheet3!$B:$G,3,0)</f>
        <v>102</v>
      </c>
      <c r="E410">
        <f>VLOOKUP($B410,Sheet3!$B:$G,4,0)</f>
        <v>118</v>
      </c>
      <c r="F410">
        <f>VLOOKUP($B410,Sheet3!$B:$G,6,0)</f>
        <v>90</v>
      </c>
      <c r="G410">
        <f>VLOOKUP($B410,Sheet3!$B:$G,5,0)</f>
        <v>84</v>
      </c>
    </row>
    <row r="411" spans="1:7">
      <c r="A411">
        <v>241103</v>
      </c>
      <c r="B411" t="s">
        <v>417</v>
      </c>
      <c r="C411">
        <f>VLOOKUP($B411,Sheet3!$B:$G,2,0)</f>
        <v>98</v>
      </c>
      <c r="D411">
        <f>VLOOKUP($B411,Sheet3!$B:$G,3,0)</f>
        <v>97</v>
      </c>
      <c r="E411">
        <f>VLOOKUP($B411,Sheet3!$B:$G,4,0)</f>
        <v>114</v>
      </c>
      <c r="F411">
        <f>VLOOKUP($B411,Sheet3!$B:$G,6,0)</f>
        <v>87</v>
      </c>
      <c r="G411">
        <f>VLOOKUP($B411,Sheet3!$B:$G,5,0)</f>
        <v>81</v>
      </c>
    </row>
    <row r="412" spans="1:7">
      <c r="A412">
        <v>241104</v>
      </c>
      <c r="B412" t="s">
        <v>418</v>
      </c>
      <c r="C412">
        <f>VLOOKUP($B412,Sheet3!$B:$G,2,0)</f>
        <v>94</v>
      </c>
      <c r="D412">
        <f>VLOOKUP($B412,Sheet3!$B:$G,3,0)</f>
        <v>82</v>
      </c>
      <c r="E412">
        <f>VLOOKUP($B412,Sheet3!$B:$G,4,0)</f>
        <v>104</v>
      </c>
      <c r="F412">
        <f>VLOOKUP($B412,Sheet3!$B:$G,6,0)</f>
        <v>85</v>
      </c>
      <c r="G412">
        <f>VLOOKUP($B412,Sheet3!$B:$G,5,0)</f>
        <v>65</v>
      </c>
    </row>
    <row r="413" spans="1:7">
      <c r="A413">
        <v>241105</v>
      </c>
      <c r="B413" t="s">
        <v>419</v>
      </c>
      <c r="C413">
        <f>VLOOKUP($B413,Sheet3!$B:$G,2,0)</f>
        <v>93</v>
      </c>
      <c r="D413">
        <f>VLOOKUP($B413,Sheet3!$B:$G,3,0)</f>
        <v>99</v>
      </c>
      <c r="E413">
        <f>VLOOKUP($B413,Sheet3!$B:$G,4,0)</f>
        <v>116.5</v>
      </c>
      <c r="F413">
        <f>VLOOKUP($B413,Sheet3!$B:$G,6,0)</f>
        <v>74</v>
      </c>
      <c r="G413">
        <f>VLOOKUP($B413,Sheet3!$B:$G,5,0)</f>
        <v>77</v>
      </c>
    </row>
    <row r="414" spans="1:7">
      <c r="A414">
        <v>241106</v>
      </c>
      <c r="B414" t="s">
        <v>420</v>
      </c>
      <c r="C414">
        <f>VLOOKUP($B414,Sheet3!$B:$G,2,0)</f>
        <v>98</v>
      </c>
      <c r="D414">
        <f>VLOOKUP($B414,Sheet3!$B:$G,3,0)</f>
        <v>92</v>
      </c>
      <c r="E414">
        <f>VLOOKUP($B414,Sheet3!$B:$G,4,0)</f>
        <v>111.5</v>
      </c>
      <c r="F414">
        <f>VLOOKUP($B414,Sheet3!$B:$G,6,0)</f>
        <v>85</v>
      </c>
      <c r="G414">
        <f>VLOOKUP($B414,Sheet3!$B:$G,5,0)</f>
        <v>79</v>
      </c>
    </row>
    <row r="415" spans="1:7">
      <c r="A415">
        <v>241107</v>
      </c>
      <c r="B415" t="s">
        <v>421</v>
      </c>
      <c r="C415">
        <f>VLOOKUP($B415,Sheet3!$B:$G,2,0)</f>
        <v>109</v>
      </c>
      <c r="D415">
        <f>VLOOKUP($B415,Sheet3!$B:$G,3,0)</f>
        <v>98</v>
      </c>
      <c r="E415">
        <f>VLOOKUP($B415,Sheet3!$B:$G,4,0)</f>
        <v>114</v>
      </c>
      <c r="F415">
        <f>VLOOKUP($B415,Sheet3!$B:$G,6,0)</f>
        <v>86</v>
      </c>
      <c r="G415">
        <f>VLOOKUP($B415,Sheet3!$B:$G,5,0)</f>
        <v>81</v>
      </c>
    </row>
    <row r="416" spans="1:7">
      <c r="A416">
        <v>241108</v>
      </c>
      <c r="B416" t="s">
        <v>422</v>
      </c>
      <c r="C416">
        <f>VLOOKUP($B416,Sheet3!$B:$G,2,0)</f>
        <v>97</v>
      </c>
      <c r="D416">
        <f>VLOOKUP($B416,Sheet3!$B:$G,3,0)</f>
        <v>93</v>
      </c>
      <c r="E416">
        <f>VLOOKUP($B416,Sheet3!$B:$G,4,0)</f>
        <v>109.5</v>
      </c>
      <c r="F416">
        <f>VLOOKUP($B416,Sheet3!$B:$G,6,0)</f>
        <v>80</v>
      </c>
      <c r="G416">
        <f>VLOOKUP($B416,Sheet3!$B:$G,5,0)</f>
        <v>75</v>
      </c>
    </row>
    <row r="417" spans="1:7">
      <c r="A417">
        <v>241109</v>
      </c>
      <c r="B417" t="s">
        <v>423</v>
      </c>
      <c r="C417" t="str">
        <f>VLOOKUP($B417,Sheet3!$B:$G,2,0)</f>
        <v>未扫，不计排名</v>
      </c>
      <c r="D417" t="str">
        <f>VLOOKUP($B417,Sheet3!$B:$G,3,0)</f>
        <v>未扫，不计排名</v>
      </c>
      <c r="E417">
        <f>VLOOKUP($B417,Sheet3!$B:$G,4,0)</f>
        <v>85.5</v>
      </c>
      <c r="F417">
        <f>VLOOKUP($B417,Sheet3!$B:$G,6,0)</f>
        <v>59</v>
      </c>
      <c r="G417" t="str">
        <f>VLOOKUP($B417,Sheet3!$B:$G,5,0)</f>
        <v>未扫，不计排名</v>
      </c>
    </row>
    <row r="418" spans="1:7">
      <c r="A418">
        <v>241110</v>
      </c>
      <c r="B418" t="s">
        <v>424</v>
      </c>
      <c r="C418">
        <f>VLOOKUP($B418,Sheet3!$B:$G,2,0)</f>
        <v>97</v>
      </c>
      <c r="D418">
        <f>VLOOKUP($B418,Sheet3!$B:$G,3,0)</f>
        <v>101</v>
      </c>
      <c r="E418">
        <f>VLOOKUP($B418,Sheet3!$B:$G,4,0)</f>
        <v>111</v>
      </c>
      <c r="F418">
        <f>VLOOKUP($B418,Sheet3!$B:$G,6,0)</f>
        <v>80</v>
      </c>
      <c r="G418">
        <f>VLOOKUP($B418,Sheet3!$B:$G,5,0)</f>
        <v>78</v>
      </c>
    </row>
    <row r="419" spans="1:7">
      <c r="A419">
        <v>241111</v>
      </c>
      <c r="B419" t="s">
        <v>425</v>
      </c>
      <c r="C419">
        <f>VLOOKUP($B419,Sheet3!$B:$G,2,0)</f>
        <v>98</v>
      </c>
      <c r="D419">
        <f>VLOOKUP($B419,Sheet3!$B:$G,3,0)</f>
        <v>71</v>
      </c>
      <c r="E419">
        <f>VLOOKUP($B419,Sheet3!$B:$G,4,0)</f>
        <v>104</v>
      </c>
      <c r="F419">
        <f>VLOOKUP($B419,Sheet3!$B:$G,6,0)</f>
        <v>78</v>
      </c>
      <c r="G419">
        <f>VLOOKUP($B419,Sheet3!$B:$G,5,0)</f>
        <v>73</v>
      </c>
    </row>
    <row r="420" spans="1:7">
      <c r="A420">
        <v>241112</v>
      </c>
      <c r="B420" t="s">
        <v>426</v>
      </c>
      <c r="C420" t="str">
        <f>VLOOKUP($B420,Sheet3!$B:$G,2,0)</f>
        <v>未扫，不计排名</v>
      </c>
      <c r="D420" t="str">
        <f>VLOOKUP($B420,Sheet3!$B:$G,3,0)</f>
        <v>未扫，不计排名</v>
      </c>
      <c r="E420">
        <f>VLOOKUP($B420,Sheet3!$B:$G,4,0)</f>
        <v>67.5</v>
      </c>
      <c r="F420">
        <f>VLOOKUP($B420,Sheet3!$B:$G,6,0)</f>
        <v>63</v>
      </c>
      <c r="G420" t="str">
        <f>VLOOKUP($B420,Sheet3!$B:$G,5,0)</f>
        <v>未扫，不计排名</v>
      </c>
    </row>
    <row r="421" spans="1:7">
      <c r="A421">
        <v>241113</v>
      </c>
      <c r="B421" t="s">
        <v>427</v>
      </c>
      <c r="C421">
        <f>VLOOKUP($B421,Sheet3!$B:$G,2,0)</f>
        <v>90</v>
      </c>
      <c r="D421">
        <f>VLOOKUP($B421,Sheet3!$B:$G,3,0)</f>
        <v>88</v>
      </c>
      <c r="E421">
        <f>VLOOKUP($B421,Sheet3!$B:$G,4,0)</f>
        <v>109</v>
      </c>
      <c r="F421">
        <f>VLOOKUP($B421,Sheet3!$B:$G,6,0)</f>
        <v>79</v>
      </c>
      <c r="G421">
        <f>VLOOKUP($B421,Sheet3!$B:$G,5,0)</f>
        <v>71</v>
      </c>
    </row>
    <row r="422" spans="1:7">
      <c r="A422">
        <v>241114</v>
      </c>
      <c r="B422" t="s">
        <v>428</v>
      </c>
      <c r="C422">
        <f>VLOOKUP($B422,Sheet3!$B:$G,2,0)</f>
        <v>95</v>
      </c>
      <c r="D422">
        <f>VLOOKUP($B422,Sheet3!$B:$G,3,0)</f>
        <v>97</v>
      </c>
      <c r="E422">
        <f>VLOOKUP($B422,Sheet3!$B:$G,4,0)</f>
        <v>113</v>
      </c>
      <c r="F422">
        <f>VLOOKUP($B422,Sheet3!$B:$G,6,0)</f>
        <v>88</v>
      </c>
      <c r="G422">
        <f>VLOOKUP($B422,Sheet3!$B:$G,5,0)</f>
        <v>77</v>
      </c>
    </row>
    <row r="423" spans="1:7">
      <c r="A423">
        <v>241115</v>
      </c>
      <c r="B423" t="s">
        <v>429</v>
      </c>
      <c r="C423">
        <f>VLOOKUP($B423,Sheet3!$B:$G,2,0)</f>
        <v>96</v>
      </c>
      <c r="D423">
        <f>VLOOKUP($B423,Sheet3!$B:$G,3,0)</f>
        <v>87</v>
      </c>
      <c r="E423">
        <f>VLOOKUP($B423,Sheet3!$B:$G,4,0)</f>
        <v>108</v>
      </c>
      <c r="F423">
        <f>VLOOKUP($B423,Sheet3!$B:$G,6,0)</f>
        <v>85</v>
      </c>
      <c r="G423">
        <f>VLOOKUP($B423,Sheet3!$B:$G,5,0)</f>
        <v>63</v>
      </c>
    </row>
    <row r="424" spans="1:7">
      <c r="A424">
        <v>241116</v>
      </c>
      <c r="B424" t="s">
        <v>430</v>
      </c>
      <c r="C424">
        <f>VLOOKUP($B424,Sheet3!$B:$G,2,0)</f>
        <v>95</v>
      </c>
      <c r="D424">
        <f>VLOOKUP($B424,Sheet3!$B:$G,3,0)</f>
        <v>88</v>
      </c>
      <c r="E424">
        <f>VLOOKUP($B424,Sheet3!$B:$G,4,0)</f>
        <v>111</v>
      </c>
      <c r="F424">
        <f>VLOOKUP($B424,Sheet3!$B:$G,6,0)</f>
        <v>84</v>
      </c>
      <c r="G424">
        <f>VLOOKUP($B424,Sheet3!$B:$G,5,0)</f>
        <v>79</v>
      </c>
    </row>
    <row r="425" spans="1:7">
      <c r="A425">
        <v>241117</v>
      </c>
      <c r="B425" t="s">
        <v>431</v>
      </c>
      <c r="C425">
        <f>VLOOKUP($B425,Sheet3!$B:$G,2,0)</f>
        <v>98</v>
      </c>
      <c r="D425">
        <f>VLOOKUP($B425,Sheet3!$B:$G,3,0)</f>
        <v>97</v>
      </c>
      <c r="E425">
        <f>VLOOKUP($B425,Sheet3!$B:$G,4,0)</f>
        <v>117.5</v>
      </c>
      <c r="F425">
        <f>VLOOKUP($B425,Sheet3!$B:$G,6,0)</f>
        <v>90</v>
      </c>
      <c r="G425">
        <f>VLOOKUP($B425,Sheet3!$B:$G,5,0)</f>
        <v>86</v>
      </c>
    </row>
    <row r="426" spans="1:7">
      <c r="A426">
        <v>241118</v>
      </c>
      <c r="B426" t="s">
        <v>432</v>
      </c>
      <c r="C426">
        <f>VLOOKUP($B426,Sheet3!$B:$G,2,0)</f>
        <v>93</v>
      </c>
      <c r="D426">
        <f>VLOOKUP($B426,Sheet3!$B:$G,3,0)</f>
        <v>100</v>
      </c>
      <c r="E426">
        <f>VLOOKUP($B426,Sheet3!$B:$G,4,0)</f>
        <v>112.5</v>
      </c>
      <c r="F426">
        <f>VLOOKUP($B426,Sheet3!$B:$G,6,0)</f>
        <v>83</v>
      </c>
      <c r="G426">
        <f>VLOOKUP($B426,Sheet3!$B:$G,5,0)</f>
        <v>81</v>
      </c>
    </row>
    <row r="427" spans="1:7">
      <c r="A427">
        <v>241119</v>
      </c>
      <c r="B427" t="s">
        <v>433</v>
      </c>
      <c r="C427">
        <f>VLOOKUP($B427,Sheet3!$B:$G,2,0)</f>
        <v>97</v>
      </c>
      <c r="D427">
        <f>VLOOKUP($B427,Sheet3!$B:$G,3,0)</f>
        <v>98</v>
      </c>
      <c r="E427">
        <f>VLOOKUP($B427,Sheet3!$B:$G,4,0)</f>
        <v>113.5</v>
      </c>
      <c r="F427">
        <f>VLOOKUP($B427,Sheet3!$B:$G,6,0)</f>
        <v>81</v>
      </c>
      <c r="G427">
        <f>VLOOKUP($B427,Sheet3!$B:$G,5,0)</f>
        <v>74</v>
      </c>
    </row>
    <row r="428" spans="1:7">
      <c r="A428">
        <v>241120</v>
      </c>
      <c r="B428" t="s">
        <v>434</v>
      </c>
      <c r="C428">
        <f>VLOOKUP($B428,Sheet3!$B:$G,2,0)</f>
        <v>104</v>
      </c>
      <c r="D428">
        <f>VLOOKUP($B428,Sheet3!$B:$G,3,0)</f>
        <v>101</v>
      </c>
      <c r="E428">
        <f>VLOOKUP($B428,Sheet3!$B:$G,4,0)</f>
        <v>112.5</v>
      </c>
      <c r="F428">
        <f>VLOOKUP($B428,Sheet3!$B:$G,6,0)</f>
        <v>77</v>
      </c>
      <c r="G428">
        <f>VLOOKUP($B428,Sheet3!$B:$G,5,0)</f>
        <v>76</v>
      </c>
    </row>
    <row r="429" spans="1:7">
      <c r="A429">
        <v>241121</v>
      </c>
      <c r="B429" t="s">
        <v>435</v>
      </c>
      <c r="C429">
        <f>VLOOKUP($B429,Sheet3!$B:$G,2,0)</f>
        <v>104</v>
      </c>
      <c r="D429">
        <f>VLOOKUP($B429,Sheet3!$B:$G,3,0)</f>
        <v>102</v>
      </c>
      <c r="E429">
        <f>VLOOKUP($B429,Sheet3!$B:$G,4,0)</f>
        <v>113</v>
      </c>
      <c r="F429">
        <f>VLOOKUP($B429,Sheet3!$B:$G,6,0)</f>
        <v>86</v>
      </c>
      <c r="G429">
        <f>VLOOKUP($B429,Sheet3!$B:$G,5,0)</f>
        <v>73</v>
      </c>
    </row>
    <row r="430" spans="1:7">
      <c r="A430">
        <v>241122</v>
      </c>
      <c r="B430" t="s">
        <v>436</v>
      </c>
      <c r="C430">
        <f>VLOOKUP($B430,Sheet3!$B:$G,2,0)</f>
        <v>103</v>
      </c>
      <c r="D430">
        <f>VLOOKUP($B430,Sheet3!$B:$G,3,0)</f>
        <v>97</v>
      </c>
      <c r="E430">
        <f>VLOOKUP($B430,Sheet3!$B:$G,4,0)</f>
        <v>114</v>
      </c>
      <c r="F430">
        <f>VLOOKUP($B430,Sheet3!$B:$G,6,0)</f>
        <v>85</v>
      </c>
      <c r="G430">
        <f>VLOOKUP($B430,Sheet3!$B:$G,5,0)</f>
        <v>81</v>
      </c>
    </row>
    <row r="431" spans="1:7">
      <c r="A431">
        <v>241123</v>
      </c>
      <c r="B431" t="s">
        <v>437</v>
      </c>
      <c r="C431">
        <f>VLOOKUP($B431,Sheet3!$B:$G,2,0)</f>
        <v>100</v>
      </c>
      <c r="D431">
        <f>VLOOKUP($B431,Sheet3!$B:$G,3,0)</f>
        <v>100</v>
      </c>
      <c r="E431">
        <f>VLOOKUP($B431,Sheet3!$B:$G,4,0)</f>
        <v>112</v>
      </c>
      <c r="F431">
        <f>VLOOKUP($B431,Sheet3!$B:$G,6,0)</f>
        <v>90</v>
      </c>
      <c r="G431">
        <f>VLOOKUP($B431,Sheet3!$B:$G,5,0)</f>
        <v>77</v>
      </c>
    </row>
    <row r="432" spans="1:7">
      <c r="A432">
        <v>241124</v>
      </c>
      <c r="B432" t="s">
        <v>438</v>
      </c>
      <c r="C432">
        <f>VLOOKUP($B432,Sheet3!$B:$G,2,0)</f>
        <v>99</v>
      </c>
      <c r="D432">
        <f>VLOOKUP($B432,Sheet3!$B:$G,3,0)</f>
        <v>98</v>
      </c>
      <c r="E432">
        <f>VLOOKUP($B432,Sheet3!$B:$G,4,0)</f>
        <v>115.5</v>
      </c>
      <c r="F432">
        <f>VLOOKUP($B432,Sheet3!$B:$G,6,0)</f>
        <v>74</v>
      </c>
      <c r="G432">
        <f>VLOOKUP($B432,Sheet3!$B:$G,5,0)</f>
        <v>75</v>
      </c>
    </row>
    <row r="433" spans="1:7">
      <c r="A433">
        <v>241125</v>
      </c>
      <c r="B433" t="s">
        <v>439</v>
      </c>
      <c r="C433">
        <f>VLOOKUP($B433,Sheet3!$B:$G,2,0)</f>
        <v>98</v>
      </c>
      <c r="D433">
        <f>VLOOKUP($B433,Sheet3!$B:$G,3,0)</f>
        <v>100</v>
      </c>
      <c r="E433">
        <f>VLOOKUP($B433,Sheet3!$B:$G,4,0)</f>
        <v>109.5</v>
      </c>
      <c r="F433">
        <f>VLOOKUP($B433,Sheet3!$B:$G,6,0)</f>
        <v>80</v>
      </c>
      <c r="G433">
        <f>VLOOKUP($B433,Sheet3!$B:$G,5,0)</f>
        <v>68</v>
      </c>
    </row>
    <row r="434" spans="1:7">
      <c r="A434">
        <v>241127</v>
      </c>
      <c r="B434" t="s">
        <v>440</v>
      </c>
      <c r="C434">
        <f>VLOOKUP($B434,Sheet3!$B:$G,2,0)</f>
        <v>86</v>
      </c>
      <c r="D434">
        <f>VLOOKUP($B434,Sheet3!$B:$G,3,0)</f>
        <v>96</v>
      </c>
      <c r="E434">
        <f>VLOOKUP($B434,Sheet3!$B:$G,4,0)</f>
        <v>70.5</v>
      </c>
      <c r="F434">
        <f>VLOOKUP($B434,Sheet3!$B:$G,6,0)</f>
        <v>65</v>
      </c>
      <c r="G434">
        <f>VLOOKUP($B434,Sheet3!$B:$G,5,0)</f>
        <v>72</v>
      </c>
    </row>
    <row r="435" spans="1:7">
      <c r="A435">
        <v>241128</v>
      </c>
      <c r="B435" t="s">
        <v>441</v>
      </c>
      <c r="C435">
        <f>VLOOKUP($B435,Sheet3!$B:$G,2,0)</f>
        <v>98</v>
      </c>
      <c r="D435">
        <f>VLOOKUP($B435,Sheet3!$B:$G,3,0)</f>
        <v>104</v>
      </c>
      <c r="E435">
        <f>VLOOKUP($B435,Sheet3!$B:$G,4,0)</f>
        <v>104.5</v>
      </c>
      <c r="F435">
        <f>VLOOKUP($B435,Sheet3!$B:$G,6,0)</f>
        <v>85</v>
      </c>
      <c r="G435">
        <f>VLOOKUP($B435,Sheet3!$B:$G,5,0)</f>
        <v>68</v>
      </c>
    </row>
    <row r="436" spans="1:7">
      <c r="A436">
        <v>241129</v>
      </c>
      <c r="B436" t="s">
        <v>442</v>
      </c>
      <c r="C436">
        <f>VLOOKUP($B436,Sheet3!$B:$G,2,0)</f>
        <v>103</v>
      </c>
      <c r="D436">
        <f>VLOOKUP($B436,Sheet3!$B:$G,3,0)</f>
        <v>107</v>
      </c>
      <c r="E436">
        <f>VLOOKUP($B436,Sheet3!$B:$G,4,0)</f>
        <v>116</v>
      </c>
      <c r="F436">
        <f>VLOOKUP($B436,Sheet3!$B:$G,6,0)</f>
        <v>82</v>
      </c>
      <c r="G436">
        <f>VLOOKUP($B436,Sheet3!$B:$G,5,0)</f>
        <v>73</v>
      </c>
    </row>
    <row r="437" spans="1:7">
      <c r="A437">
        <v>241130</v>
      </c>
      <c r="B437" t="s">
        <v>443</v>
      </c>
      <c r="C437">
        <f>VLOOKUP($B437,Sheet3!$B:$G,2,0)</f>
        <v>94</v>
      </c>
      <c r="D437">
        <f>VLOOKUP($B437,Sheet3!$B:$G,3,0)</f>
        <v>108</v>
      </c>
      <c r="E437">
        <f>VLOOKUP($B437,Sheet3!$B:$G,4,0)</f>
        <v>110</v>
      </c>
      <c r="F437">
        <f>VLOOKUP($B437,Sheet3!$B:$G,6,0)</f>
        <v>71</v>
      </c>
      <c r="G437">
        <f>VLOOKUP($B437,Sheet3!$B:$G,5,0)</f>
        <v>77</v>
      </c>
    </row>
    <row r="438" spans="1:7">
      <c r="A438">
        <v>241131</v>
      </c>
      <c r="B438" t="s">
        <v>444</v>
      </c>
      <c r="C438">
        <f>VLOOKUP($B438,Sheet3!$B:$G,2,0)</f>
        <v>87</v>
      </c>
      <c r="D438">
        <f>VLOOKUP($B438,Sheet3!$B:$G,3,0)</f>
        <v>53</v>
      </c>
      <c r="E438">
        <f>VLOOKUP($B438,Sheet3!$B:$G,4,0)</f>
        <v>99</v>
      </c>
      <c r="F438">
        <f>VLOOKUP($B438,Sheet3!$B:$G,6,0)</f>
        <v>62</v>
      </c>
      <c r="G438">
        <f>VLOOKUP($B438,Sheet3!$B:$G,5,0)</f>
        <v>46</v>
      </c>
    </row>
    <row r="439" spans="1:7">
      <c r="A439">
        <v>241132</v>
      </c>
      <c r="B439" t="s">
        <v>445</v>
      </c>
      <c r="C439">
        <f>VLOOKUP($B439,Sheet3!$B:$G,2,0)</f>
        <v>97</v>
      </c>
      <c r="D439">
        <f>VLOOKUP($B439,Sheet3!$B:$G,3,0)</f>
        <v>108</v>
      </c>
      <c r="E439">
        <f>VLOOKUP($B439,Sheet3!$B:$G,4,0)</f>
        <v>107</v>
      </c>
      <c r="F439">
        <f>VLOOKUP($B439,Sheet3!$B:$G,6,0)</f>
        <v>79</v>
      </c>
      <c r="G439">
        <f>VLOOKUP($B439,Sheet3!$B:$G,5,0)</f>
        <v>68</v>
      </c>
    </row>
    <row r="440" spans="1:7">
      <c r="A440">
        <v>241133</v>
      </c>
      <c r="B440" t="s">
        <v>446</v>
      </c>
      <c r="C440">
        <f>VLOOKUP($B440,Sheet3!$B:$G,2,0)</f>
        <v>102</v>
      </c>
      <c r="D440">
        <f>VLOOKUP($B440,Sheet3!$B:$G,3,0)</f>
        <v>104</v>
      </c>
      <c r="E440">
        <f>VLOOKUP($B440,Sheet3!$B:$G,4,0)</f>
        <v>113.5</v>
      </c>
      <c r="F440">
        <f>VLOOKUP($B440,Sheet3!$B:$G,6,0)</f>
        <v>88</v>
      </c>
      <c r="G440">
        <f>VLOOKUP($B440,Sheet3!$B:$G,5,0)</f>
        <v>80</v>
      </c>
    </row>
    <row r="441" spans="1:7">
      <c r="A441">
        <v>241134</v>
      </c>
      <c r="B441" t="s">
        <v>447</v>
      </c>
      <c r="C441">
        <f>VLOOKUP($B441,Sheet3!$B:$G,2,0)</f>
        <v>113</v>
      </c>
      <c r="D441">
        <f>VLOOKUP($B441,Sheet3!$B:$G,3,0)</f>
        <v>112</v>
      </c>
      <c r="E441">
        <f>VLOOKUP($B441,Sheet3!$B:$G,4,0)</f>
        <v>111</v>
      </c>
      <c r="F441">
        <f>VLOOKUP($B441,Sheet3!$B:$G,6,0)</f>
        <v>90</v>
      </c>
      <c r="G441">
        <f>VLOOKUP($B441,Sheet3!$B:$G,5,0)</f>
        <v>84</v>
      </c>
    </row>
    <row r="442" spans="1:7">
      <c r="A442">
        <v>241135</v>
      </c>
      <c r="B442" t="s">
        <v>448</v>
      </c>
      <c r="C442">
        <f>VLOOKUP($B442,Sheet3!$B:$G,2,0)</f>
        <v>99</v>
      </c>
      <c r="D442">
        <f>VLOOKUP($B442,Sheet3!$B:$G,3,0)</f>
        <v>98</v>
      </c>
      <c r="E442">
        <f>VLOOKUP($B442,Sheet3!$B:$G,4,0)</f>
        <v>110</v>
      </c>
      <c r="F442">
        <f>VLOOKUP($B442,Sheet3!$B:$G,6,0)</f>
        <v>87</v>
      </c>
      <c r="G442">
        <f>VLOOKUP($B442,Sheet3!$B:$G,5,0)</f>
        <v>77</v>
      </c>
    </row>
    <row r="443" spans="1:7">
      <c r="A443">
        <v>241136</v>
      </c>
      <c r="B443" t="s">
        <v>449</v>
      </c>
      <c r="C443">
        <f>VLOOKUP($B443,Sheet3!$B:$G,2,0)</f>
        <v>100</v>
      </c>
      <c r="D443">
        <f>VLOOKUP($B443,Sheet3!$B:$G,3,0)</f>
        <v>86</v>
      </c>
      <c r="E443">
        <f>VLOOKUP($B443,Sheet3!$B:$G,4,0)</f>
        <v>116.5</v>
      </c>
      <c r="F443">
        <f>VLOOKUP($B443,Sheet3!$B:$G,6,0)</f>
        <v>88</v>
      </c>
      <c r="G443">
        <f>VLOOKUP($B443,Sheet3!$B:$G,5,0)</f>
        <v>82</v>
      </c>
    </row>
    <row r="444" spans="1:7">
      <c r="A444">
        <v>241137</v>
      </c>
      <c r="B444" t="s">
        <v>450</v>
      </c>
      <c r="C444">
        <f>VLOOKUP($B444,Sheet3!$B:$G,2,0)</f>
        <v>84</v>
      </c>
      <c r="D444">
        <f>VLOOKUP($B444,Sheet3!$B:$G,3,0)</f>
        <v>86</v>
      </c>
      <c r="E444">
        <f>VLOOKUP($B444,Sheet3!$B:$G,4,0)</f>
        <v>100</v>
      </c>
      <c r="F444">
        <f>VLOOKUP($B444,Sheet3!$B:$G,6,0)</f>
        <v>68</v>
      </c>
      <c r="G444">
        <f>VLOOKUP($B444,Sheet3!$B:$G,5,0)</f>
        <v>69</v>
      </c>
    </row>
    <row r="445" spans="1:7">
      <c r="A445">
        <v>241138</v>
      </c>
      <c r="B445" t="s">
        <v>451</v>
      </c>
      <c r="C445">
        <f>VLOOKUP($B445,Sheet3!$B:$G,2,0)</f>
        <v>80</v>
      </c>
      <c r="D445">
        <f>VLOOKUP($B445,Sheet3!$B:$G,3,0)</f>
        <v>87</v>
      </c>
      <c r="E445">
        <f>VLOOKUP($B445,Sheet3!$B:$G,4,0)</f>
        <v>97.5</v>
      </c>
      <c r="F445">
        <f>VLOOKUP($B445,Sheet3!$B:$G,6,0)</f>
        <v>66</v>
      </c>
      <c r="G445">
        <f>VLOOKUP($B445,Sheet3!$B:$G,5,0)</f>
        <v>61</v>
      </c>
    </row>
    <row r="446" spans="1:7">
      <c r="A446">
        <v>241139</v>
      </c>
      <c r="B446" t="s">
        <v>452</v>
      </c>
      <c r="C446">
        <f>VLOOKUP($B446,Sheet3!$B:$G,2,0)</f>
        <v>103</v>
      </c>
      <c r="D446">
        <f>VLOOKUP($B446,Sheet3!$B:$G,3,0)</f>
        <v>102</v>
      </c>
      <c r="E446">
        <f>VLOOKUP($B446,Sheet3!$B:$G,4,0)</f>
        <v>110</v>
      </c>
      <c r="F446">
        <f>VLOOKUP($B446,Sheet3!$B:$G,6,0)</f>
        <v>84</v>
      </c>
      <c r="G446">
        <f>VLOOKUP($B446,Sheet3!$B:$G,5,0)</f>
        <v>78</v>
      </c>
    </row>
    <row r="447" spans="1:7">
      <c r="A447">
        <v>241140</v>
      </c>
      <c r="B447" t="s">
        <v>453</v>
      </c>
      <c r="C447">
        <f>VLOOKUP($B447,Sheet3!$B:$G,2,0)</f>
        <v>95</v>
      </c>
      <c r="D447">
        <f>VLOOKUP($B447,Sheet3!$B:$G,3,0)</f>
        <v>86</v>
      </c>
      <c r="E447">
        <f>VLOOKUP($B447,Sheet3!$B:$G,4,0)</f>
        <v>113</v>
      </c>
      <c r="F447">
        <f>VLOOKUP($B447,Sheet3!$B:$G,6,0)</f>
        <v>88</v>
      </c>
      <c r="G447">
        <f>VLOOKUP($B447,Sheet3!$B:$G,5,0)</f>
        <v>85</v>
      </c>
    </row>
    <row r="448" spans="1:7">
      <c r="A448">
        <v>241201</v>
      </c>
      <c r="B448" t="s">
        <v>454</v>
      </c>
      <c r="C448">
        <f>VLOOKUP($B448,Sheet3!$B:$G,2,0)</f>
        <v>101</v>
      </c>
      <c r="D448">
        <f>VLOOKUP($B448,Sheet3!$B:$G,3,0)</f>
        <v>100</v>
      </c>
      <c r="E448">
        <f>VLOOKUP($B448,Sheet3!$B:$G,4,0)</f>
        <v>115</v>
      </c>
      <c r="F448">
        <f>VLOOKUP($B448,Sheet3!$B:$G,6,0)</f>
        <v>82</v>
      </c>
      <c r="G448">
        <f>VLOOKUP($B448,Sheet3!$B:$G,5,0)</f>
        <v>68</v>
      </c>
    </row>
    <row r="449" spans="1:7">
      <c r="A449">
        <v>241203</v>
      </c>
      <c r="B449" t="s">
        <v>455</v>
      </c>
      <c r="C449">
        <f>VLOOKUP($B449,Sheet3!$B:$G,2,0)</f>
        <v>82</v>
      </c>
      <c r="D449">
        <f>VLOOKUP($B449,Sheet3!$B:$G,3,0)</f>
        <v>89</v>
      </c>
      <c r="E449">
        <f>VLOOKUP($B449,Sheet3!$B:$G,4,0)</f>
        <v>71.5</v>
      </c>
      <c r="F449">
        <f>VLOOKUP($B449,Sheet3!$B:$G,6,0)</f>
        <v>82</v>
      </c>
      <c r="G449">
        <f>VLOOKUP($B449,Sheet3!$B:$G,5,0)</f>
        <v>78</v>
      </c>
    </row>
    <row r="450" spans="1:7">
      <c r="A450">
        <v>241204</v>
      </c>
      <c r="B450" t="s">
        <v>456</v>
      </c>
      <c r="C450">
        <f>VLOOKUP($B450,Sheet3!$B:$G,2,0)</f>
        <v>89</v>
      </c>
      <c r="D450">
        <f>VLOOKUP($B450,Sheet3!$B:$G,3,0)</f>
        <v>96</v>
      </c>
      <c r="E450">
        <f>VLOOKUP($B450,Sheet3!$B:$G,4,0)</f>
        <v>98</v>
      </c>
      <c r="F450">
        <f>VLOOKUP($B450,Sheet3!$B:$G,6,0)</f>
        <v>79</v>
      </c>
      <c r="G450">
        <f>VLOOKUP($B450,Sheet3!$B:$G,5,0)</f>
        <v>76</v>
      </c>
    </row>
    <row r="451" spans="1:7">
      <c r="A451">
        <v>241205</v>
      </c>
      <c r="B451" t="s">
        <v>457</v>
      </c>
      <c r="C451">
        <f>VLOOKUP($B451,Sheet3!$B:$G,2,0)</f>
        <v>92</v>
      </c>
      <c r="D451">
        <f>VLOOKUP($B451,Sheet3!$B:$G,3,0)</f>
        <v>105</v>
      </c>
      <c r="E451">
        <f>VLOOKUP($B451,Sheet3!$B:$G,4,0)</f>
        <v>94.5</v>
      </c>
      <c r="F451">
        <f>VLOOKUP($B451,Sheet3!$B:$G,6,0)</f>
        <v>74</v>
      </c>
      <c r="G451">
        <f>VLOOKUP($B451,Sheet3!$B:$G,5,0)</f>
        <v>76</v>
      </c>
    </row>
    <row r="452" spans="1:7">
      <c r="A452">
        <v>241206</v>
      </c>
      <c r="B452" t="s">
        <v>458</v>
      </c>
      <c r="C452">
        <f>VLOOKUP($B452,Sheet3!$B:$G,2,0)</f>
        <v>95</v>
      </c>
      <c r="D452">
        <f>VLOOKUP($B452,Sheet3!$B:$G,3,0)</f>
        <v>102</v>
      </c>
      <c r="E452">
        <f>VLOOKUP($B452,Sheet3!$B:$G,4,0)</f>
        <v>109.5</v>
      </c>
      <c r="F452">
        <f>VLOOKUP($B452,Sheet3!$B:$G,6,0)</f>
        <v>78</v>
      </c>
      <c r="G452">
        <f>VLOOKUP($B452,Sheet3!$B:$G,5,0)</f>
        <v>77</v>
      </c>
    </row>
    <row r="453" spans="1:7">
      <c r="A453">
        <v>241207</v>
      </c>
      <c r="B453" t="s">
        <v>459</v>
      </c>
      <c r="C453">
        <f>VLOOKUP($B453,Sheet3!$B:$G,2,0)</f>
        <v>92</v>
      </c>
      <c r="D453">
        <f>VLOOKUP($B453,Sheet3!$B:$G,3,0)</f>
        <v>100</v>
      </c>
      <c r="E453">
        <f>VLOOKUP($B453,Sheet3!$B:$G,4,0)</f>
        <v>107.5</v>
      </c>
      <c r="F453">
        <f>VLOOKUP($B453,Sheet3!$B:$G,6,0)</f>
        <v>89</v>
      </c>
      <c r="G453">
        <f>VLOOKUP($B453,Sheet3!$B:$G,5,0)</f>
        <v>74</v>
      </c>
    </row>
    <row r="454" spans="1:7">
      <c r="A454">
        <v>241208</v>
      </c>
      <c r="B454" t="s">
        <v>460</v>
      </c>
      <c r="C454">
        <f>VLOOKUP($B454,Sheet3!$B:$G,2,0)</f>
        <v>102</v>
      </c>
      <c r="D454">
        <f>VLOOKUP($B454,Sheet3!$B:$G,3,0)</f>
        <v>87</v>
      </c>
      <c r="E454">
        <f>VLOOKUP($B454,Sheet3!$B:$G,4,0)</f>
        <v>110</v>
      </c>
      <c r="F454">
        <f>VLOOKUP($B454,Sheet3!$B:$G,6,0)</f>
        <v>82</v>
      </c>
      <c r="G454">
        <f>VLOOKUP($B454,Sheet3!$B:$G,5,0)</f>
        <v>76</v>
      </c>
    </row>
    <row r="455" spans="1:7">
      <c r="A455">
        <v>241209</v>
      </c>
      <c r="B455" t="s">
        <v>461</v>
      </c>
      <c r="C455">
        <f>VLOOKUP($B455,Sheet3!$B:$G,2,0)</f>
        <v>91</v>
      </c>
      <c r="D455">
        <f>VLOOKUP($B455,Sheet3!$B:$G,3,0)</f>
        <v>98</v>
      </c>
      <c r="E455">
        <f>VLOOKUP($B455,Sheet3!$B:$G,4,0)</f>
        <v>113.5</v>
      </c>
      <c r="F455">
        <f>VLOOKUP($B455,Sheet3!$B:$G,6,0)</f>
        <v>77</v>
      </c>
      <c r="G455">
        <f>VLOOKUP($B455,Sheet3!$B:$G,5,0)</f>
        <v>80</v>
      </c>
    </row>
    <row r="456" spans="1:7">
      <c r="A456">
        <v>241210</v>
      </c>
      <c r="B456" t="s">
        <v>462</v>
      </c>
      <c r="C456">
        <f>VLOOKUP($B456,Sheet3!$B:$G,2,0)</f>
        <v>93</v>
      </c>
      <c r="D456">
        <f>VLOOKUP($B456,Sheet3!$B:$G,3,0)</f>
        <v>105</v>
      </c>
      <c r="E456">
        <f>VLOOKUP($B456,Sheet3!$B:$G,4,0)</f>
        <v>112.5</v>
      </c>
      <c r="F456">
        <f>VLOOKUP($B456,Sheet3!$B:$G,6,0)</f>
        <v>82</v>
      </c>
      <c r="G456">
        <f>VLOOKUP($B456,Sheet3!$B:$G,5,0)</f>
        <v>82</v>
      </c>
    </row>
    <row r="457" spans="1:7">
      <c r="A457">
        <v>241211</v>
      </c>
      <c r="B457" t="s">
        <v>463</v>
      </c>
      <c r="C457">
        <f>VLOOKUP($B457,Sheet3!$B:$G,2,0)</f>
        <v>100</v>
      </c>
      <c r="D457">
        <f>VLOOKUP($B457,Sheet3!$B:$G,3,0)</f>
        <v>107</v>
      </c>
      <c r="E457">
        <f>VLOOKUP($B457,Sheet3!$B:$G,4,0)</f>
        <v>89.5</v>
      </c>
      <c r="F457">
        <f>VLOOKUP($B457,Sheet3!$B:$G,6,0)</f>
        <v>75</v>
      </c>
      <c r="G457">
        <f>VLOOKUP($B457,Sheet3!$B:$G,5,0)</f>
        <v>68</v>
      </c>
    </row>
    <row r="458" spans="1:7">
      <c r="A458">
        <v>241212</v>
      </c>
      <c r="B458" t="s">
        <v>464</v>
      </c>
      <c r="C458">
        <f>VLOOKUP($B458,Sheet3!$B:$G,2,0)</f>
        <v>86</v>
      </c>
      <c r="D458">
        <f>VLOOKUP($B458,Sheet3!$B:$G,3,0)</f>
        <v>99</v>
      </c>
      <c r="E458">
        <f>VLOOKUP($B458,Sheet3!$B:$G,4,0)</f>
        <v>108</v>
      </c>
      <c r="F458">
        <f>VLOOKUP($B458,Sheet3!$B:$G,6,0)</f>
        <v>78</v>
      </c>
      <c r="G458">
        <f>VLOOKUP($B458,Sheet3!$B:$G,5,0)</f>
        <v>77</v>
      </c>
    </row>
    <row r="459" spans="1:7">
      <c r="A459">
        <v>241213</v>
      </c>
      <c r="B459" t="s">
        <v>465</v>
      </c>
      <c r="C459">
        <f>VLOOKUP($B459,Sheet3!$B:$G,2,0)</f>
        <v>93</v>
      </c>
      <c r="D459">
        <f>VLOOKUP($B459,Sheet3!$B:$G,3,0)</f>
        <v>103</v>
      </c>
      <c r="E459">
        <f>VLOOKUP($B459,Sheet3!$B:$G,4,0)</f>
        <v>111.5</v>
      </c>
      <c r="F459">
        <f>VLOOKUP($B459,Sheet3!$B:$G,6,0)</f>
        <v>87</v>
      </c>
      <c r="G459">
        <f>VLOOKUP($B459,Sheet3!$B:$G,5,0)</f>
        <v>69</v>
      </c>
    </row>
    <row r="460" spans="1:7">
      <c r="A460">
        <v>241214</v>
      </c>
      <c r="B460" t="s">
        <v>466</v>
      </c>
      <c r="C460">
        <f>VLOOKUP($B460,Sheet3!$B:$G,2,0)</f>
        <v>81</v>
      </c>
      <c r="D460">
        <f>VLOOKUP($B460,Sheet3!$B:$G,3,0)</f>
        <v>105</v>
      </c>
      <c r="E460">
        <f>VLOOKUP($B460,Sheet3!$B:$G,4,0)</f>
        <v>96</v>
      </c>
      <c r="F460">
        <f>VLOOKUP($B460,Sheet3!$B:$G,6,0)</f>
        <v>79</v>
      </c>
      <c r="G460">
        <f>VLOOKUP($B460,Sheet3!$B:$G,5,0)</f>
        <v>68</v>
      </c>
    </row>
    <row r="461" spans="1:7">
      <c r="A461">
        <v>241215</v>
      </c>
      <c r="B461" t="s">
        <v>467</v>
      </c>
      <c r="C461">
        <f>VLOOKUP($B461,Sheet3!$B:$G,2,0)</f>
        <v>95</v>
      </c>
      <c r="D461">
        <f>VLOOKUP($B461,Sheet3!$B:$G,3,0)</f>
        <v>97</v>
      </c>
      <c r="E461">
        <f>VLOOKUP($B461,Sheet3!$B:$G,4,0)</f>
        <v>107.5</v>
      </c>
      <c r="F461">
        <f>VLOOKUP($B461,Sheet3!$B:$G,6,0)</f>
        <v>89</v>
      </c>
      <c r="G461">
        <f>VLOOKUP($B461,Sheet3!$B:$G,5,0)</f>
        <v>80</v>
      </c>
    </row>
    <row r="462" spans="1:7">
      <c r="A462">
        <v>241216</v>
      </c>
      <c r="B462" t="s">
        <v>468</v>
      </c>
      <c r="C462">
        <f>VLOOKUP($B462,Sheet3!$B:$G,2,0)</f>
        <v>80</v>
      </c>
      <c r="D462">
        <f>VLOOKUP($B462,Sheet3!$B:$G,3,0)</f>
        <v>89</v>
      </c>
      <c r="E462">
        <f>VLOOKUP($B462,Sheet3!$B:$G,4,0)</f>
        <v>96.5</v>
      </c>
      <c r="F462">
        <f>VLOOKUP($B462,Sheet3!$B:$G,6,0)</f>
        <v>63</v>
      </c>
      <c r="G462">
        <f>VLOOKUP($B462,Sheet3!$B:$G,5,0)</f>
        <v>74</v>
      </c>
    </row>
    <row r="463" spans="1:7">
      <c r="A463">
        <v>241217</v>
      </c>
      <c r="B463" t="s">
        <v>469</v>
      </c>
      <c r="C463">
        <f>VLOOKUP($B463,Sheet3!$B:$G,2,0)</f>
        <v>94</v>
      </c>
      <c r="D463">
        <f>VLOOKUP($B463,Sheet3!$B:$G,3,0)</f>
        <v>103</v>
      </c>
      <c r="E463">
        <f>VLOOKUP($B463,Sheet3!$B:$G,4,0)</f>
        <v>115.5</v>
      </c>
      <c r="F463">
        <f>VLOOKUP($B463,Sheet3!$B:$G,6,0)</f>
        <v>86</v>
      </c>
      <c r="G463">
        <f>VLOOKUP($B463,Sheet3!$B:$G,5,0)</f>
        <v>72</v>
      </c>
    </row>
    <row r="464" spans="1:7">
      <c r="A464">
        <v>241218</v>
      </c>
      <c r="B464" t="s">
        <v>470</v>
      </c>
      <c r="C464">
        <f>VLOOKUP($B464,Sheet3!$B:$G,2,0)</f>
        <v>88</v>
      </c>
      <c r="D464">
        <f>VLOOKUP($B464,Sheet3!$B:$G,3,0)</f>
        <v>93</v>
      </c>
      <c r="E464">
        <f>VLOOKUP($B464,Sheet3!$B:$G,4,0)</f>
        <v>105</v>
      </c>
      <c r="F464">
        <f>VLOOKUP($B464,Sheet3!$B:$G,6,0)</f>
        <v>73</v>
      </c>
      <c r="G464">
        <f>VLOOKUP($B464,Sheet3!$B:$G,5,0)</f>
        <v>72</v>
      </c>
    </row>
    <row r="465" spans="1:7">
      <c r="A465">
        <v>241219</v>
      </c>
      <c r="B465" t="s">
        <v>471</v>
      </c>
      <c r="C465">
        <f>VLOOKUP($B465,Sheet3!$B:$G,2,0)</f>
        <v>95</v>
      </c>
      <c r="D465">
        <f>VLOOKUP($B465,Sheet3!$B:$G,3,0)</f>
        <v>106</v>
      </c>
      <c r="E465">
        <f>VLOOKUP($B465,Sheet3!$B:$G,4,0)</f>
        <v>116</v>
      </c>
      <c r="F465">
        <f>VLOOKUP($B465,Sheet3!$B:$G,6,0)</f>
        <v>83</v>
      </c>
      <c r="G465">
        <f>VLOOKUP($B465,Sheet3!$B:$G,5,0)</f>
        <v>81</v>
      </c>
    </row>
    <row r="466" spans="1:7">
      <c r="A466">
        <v>241220</v>
      </c>
      <c r="B466" t="s">
        <v>472</v>
      </c>
      <c r="C466">
        <f>VLOOKUP($B466,Sheet3!$B:$G,2,0)</f>
        <v>88</v>
      </c>
      <c r="D466">
        <f>VLOOKUP($B466,Sheet3!$B:$G,3,0)</f>
        <v>102</v>
      </c>
      <c r="E466">
        <f>VLOOKUP($B466,Sheet3!$B:$G,4,0)</f>
        <v>114</v>
      </c>
      <c r="F466">
        <f>VLOOKUP($B466,Sheet3!$B:$G,6,0)</f>
        <v>89</v>
      </c>
      <c r="G466">
        <f>VLOOKUP($B466,Sheet3!$B:$G,5,0)</f>
        <v>69</v>
      </c>
    </row>
    <row r="467" spans="1:7">
      <c r="A467">
        <v>241221</v>
      </c>
      <c r="B467" t="s">
        <v>473</v>
      </c>
      <c r="C467">
        <f>VLOOKUP($B467,Sheet3!$B:$G,2,0)</f>
        <v>111</v>
      </c>
      <c r="D467">
        <f>VLOOKUP($B467,Sheet3!$B:$G,3,0)</f>
        <v>99</v>
      </c>
      <c r="E467">
        <f>VLOOKUP($B467,Sheet3!$B:$G,4,0)</f>
        <v>115</v>
      </c>
      <c r="F467">
        <f>VLOOKUP($B467,Sheet3!$B:$G,6,0)</f>
        <v>86</v>
      </c>
      <c r="G467">
        <f>VLOOKUP($B467,Sheet3!$B:$G,5,0)</f>
        <v>79</v>
      </c>
    </row>
    <row r="468" spans="1:7">
      <c r="A468">
        <v>241222</v>
      </c>
      <c r="B468" t="s">
        <v>474</v>
      </c>
      <c r="C468">
        <f>VLOOKUP($B468,Sheet3!$B:$G,2,0)</f>
        <v>92</v>
      </c>
      <c r="D468">
        <f>VLOOKUP($B468,Sheet3!$B:$G,3,0)</f>
        <v>106</v>
      </c>
      <c r="E468">
        <f>VLOOKUP($B468,Sheet3!$B:$G,4,0)</f>
        <v>114.5</v>
      </c>
      <c r="F468">
        <f>VLOOKUP($B468,Sheet3!$B:$G,6,0)</f>
        <v>80</v>
      </c>
      <c r="G468">
        <f>VLOOKUP($B468,Sheet3!$B:$G,5,0)</f>
        <v>70</v>
      </c>
    </row>
    <row r="469" spans="1:7">
      <c r="A469">
        <v>241223</v>
      </c>
      <c r="B469" t="s">
        <v>475</v>
      </c>
      <c r="C469">
        <f>VLOOKUP($B469,Sheet3!$B:$G,2,0)</f>
        <v>87</v>
      </c>
      <c r="D469">
        <f>VLOOKUP($B469,Sheet3!$B:$G,3,0)</f>
        <v>94</v>
      </c>
      <c r="E469">
        <f>VLOOKUP($B469,Sheet3!$B:$G,4,0)</f>
        <v>104.5</v>
      </c>
      <c r="F469">
        <f>VLOOKUP($B469,Sheet3!$B:$G,6,0)</f>
        <v>70</v>
      </c>
      <c r="G469">
        <f>VLOOKUP($B469,Sheet3!$B:$G,5,0)</f>
        <v>55</v>
      </c>
    </row>
    <row r="470" spans="1:7">
      <c r="A470">
        <v>241224</v>
      </c>
      <c r="B470" t="s">
        <v>476</v>
      </c>
      <c r="C470">
        <f>VLOOKUP($B470,Sheet3!$B:$G,2,0)</f>
        <v>103</v>
      </c>
      <c r="D470">
        <f>VLOOKUP($B470,Sheet3!$B:$G,3,0)</f>
        <v>93</v>
      </c>
      <c r="E470">
        <f>VLOOKUP($B470,Sheet3!$B:$G,4,0)</f>
        <v>112</v>
      </c>
      <c r="F470">
        <f>VLOOKUP($B470,Sheet3!$B:$G,6,0)</f>
        <v>73</v>
      </c>
      <c r="G470">
        <f>VLOOKUP($B470,Sheet3!$B:$G,5,0)</f>
        <v>76</v>
      </c>
    </row>
    <row r="471" spans="1:7">
      <c r="A471">
        <v>241225</v>
      </c>
      <c r="B471" t="s">
        <v>477</v>
      </c>
      <c r="C471">
        <f>VLOOKUP($B471,Sheet3!$B:$G,2,0)</f>
        <v>91</v>
      </c>
      <c r="D471">
        <f>VLOOKUP($B471,Sheet3!$B:$G,3,0)</f>
        <v>85</v>
      </c>
      <c r="E471">
        <f>VLOOKUP($B471,Sheet3!$B:$G,4,0)</f>
        <v>109</v>
      </c>
      <c r="F471">
        <f>VLOOKUP($B471,Sheet3!$B:$G,6,0)</f>
        <v>81</v>
      </c>
      <c r="G471">
        <f>VLOOKUP($B471,Sheet3!$B:$G,5,0)</f>
        <v>82</v>
      </c>
    </row>
    <row r="472" spans="1:7">
      <c r="A472">
        <v>241226</v>
      </c>
      <c r="B472" t="s">
        <v>478</v>
      </c>
      <c r="C472">
        <f>VLOOKUP($B472,Sheet3!$B:$G,2,0)</f>
        <v>86</v>
      </c>
      <c r="D472">
        <f>VLOOKUP($B472,Sheet3!$B:$G,3,0)</f>
        <v>87</v>
      </c>
      <c r="E472">
        <f>VLOOKUP($B472,Sheet3!$B:$G,4,0)</f>
        <v>114.5</v>
      </c>
      <c r="F472">
        <f>VLOOKUP($B472,Sheet3!$B:$G,6,0)</f>
        <v>78</v>
      </c>
      <c r="G472">
        <f>VLOOKUP($B472,Sheet3!$B:$G,5,0)</f>
        <v>72</v>
      </c>
    </row>
    <row r="473" spans="1:7">
      <c r="A473">
        <v>241227</v>
      </c>
      <c r="B473" t="s">
        <v>479</v>
      </c>
      <c r="C473">
        <f>VLOOKUP($B473,Sheet3!$B:$G,2,0)</f>
        <v>81</v>
      </c>
      <c r="D473">
        <f>VLOOKUP($B473,Sheet3!$B:$G,3,0)</f>
        <v>91</v>
      </c>
      <c r="E473">
        <f>VLOOKUP($B473,Sheet3!$B:$G,4,0)</f>
        <v>107.5</v>
      </c>
      <c r="F473">
        <f>VLOOKUP($B473,Sheet3!$B:$G,6,0)</f>
        <v>80</v>
      </c>
      <c r="G473">
        <f>VLOOKUP($B473,Sheet3!$B:$G,5,0)</f>
        <v>72</v>
      </c>
    </row>
    <row r="474" spans="1:7">
      <c r="A474">
        <v>241228</v>
      </c>
      <c r="B474" t="s">
        <v>480</v>
      </c>
      <c r="C474">
        <f>VLOOKUP($B474,Sheet3!$B:$G,2,0)</f>
        <v>103</v>
      </c>
      <c r="D474">
        <f>VLOOKUP($B474,Sheet3!$B:$G,3,0)</f>
        <v>105</v>
      </c>
      <c r="E474">
        <f>VLOOKUP($B474,Sheet3!$B:$G,4,0)</f>
        <v>108.5</v>
      </c>
      <c r="F474">
        <f>VLOOKUP($B474,Sheet3!$B:$G,6,0)</f>
        <v>88</v>
      </c>
      <c r="G474">
        <f>VLOOKUP($B474,Sheet3!$B:$G,5,0)</f>
        <v>72</v>
      </c>
    </row>
    <row r="475" spans="1:7">
      <c r="A475">
        <v>241229</v>
      </c>
      <c r="B475" t="s">
        <v>481</v>
      </c>
      <c r="C475">
        <f>VLOOKUP($B475,Sheet3!$B:$G,2,0)</f>
        <v>94</v>
      </c>
      <c r="D475">
        <f>VLOOKUP($B475,Sheet3!$B:$G,3,0)</f>
        <v>97</v>
      </c>
      <c r="E475">
        <f>VLOOKUP($B475,Sheet3!$B:$G,4,0)</f>
        <v>91.5</v>
      </c>
      <c r="F475">
        <f>VLOOKUP($B475,Sheet3!$B:$G,6,0)</f>
        <v>63</v>
      </c>
      <c r="G475">
        <f>VLOOKUP($B475,Sheet3!$B:$G,5,0)</f>
        <v>76</v>
      </c>
    </row>
    <row r="476" spans="1:7">
      <c r="A476">
        <v>241230</v>
      </c>
      <c r="B476" t="s">
        <v>482</v>
      </c>
      <c r="C476">
        <f>VLOOKUP($B476,Sheet3!$B:$G,2,0)</f>
        <v>102</v>
      </c>
      <c r="D476">
        <f>VLOOKUP($B476,Sheet3!$B:$G,3,0)</f>
        <v>98</v>
      </c>
      <c r="E476">
        <f>VLOOKUP($B476,Sheet3!$B:$G,4,0)</f>
        <v>109.5</v>
      </c>
      <c r="F476">
        <f>VLOOKUP($B476,Sheet3!$B:$G,6,0)</f>
        <v>69</v>
      </c>
      <c r="G476">
        <f>VLOOKUP($B476,Sheet3!$B:$G,5,0)</f>
        <v>74</v>
      </c>
    </row>
    <row r="477" spans="1:7">
      <c r="A477">
        <v>241231</v>
      </c>
      <c r="B477" t="s">
        <v>483</v>
      </c>
      <c r="C477">
        <f>VLOOKUP($B477,Sheet3!$B:$G,2,0)</f>
        <v>94</v>
      </c>
      <c r="D477">
        <f>VLOOKUP($B477,Sheet3!$B:$G,3,0)</f>
        <v>108</v>
      </c>
      <c r="E477">
        <f>VLOOKUP($B477,Sheet3!$B:$G,4,0)</f>
        <v>109.5</v>
      </c>
      <c r="F477">
        <f>VLOOKUP($B477,Sheet3!$B:$G,6,0)</f>
        <v>79</v>
      </c>
      <c r="G477">
        <f>VLOOKUP($B477,Sheet3!$B:$G,5,0)</f>
        <v>81</v>
      </c>
    </row>
    <row r="478" spans="1:7">
      <c r="A478">
        <v>241232</v>
      </c>
      <c r="B478" t="s">
        <v>484</v>
      </c>
      <c r="C478">
        <f>VLOOKUP($B478,Sheet3!$B:$G,2,0)</f>
        <v>110</v>
      </c>
      <c r="D478">
        <f>VLOOKUP($B478,Sheet3!$B:$G,3,0)</f>
        <v>106</v>
      </c>
      <c r="E478">
        <f>VLOOKUP($B478,Sheet3!$B:$G,4,0)</f>
        <v>117</v>
      </c>
      <c r="F478">
        <f>VLOOKUP($B478,Sheet3!$B:$G,6,0)</f>
        <v>88</v>
      </c>
      <c r="G478">
        <f>VLOOKUP($B478,Sheet3!$B:$G,5,0)</f>
        <v>83</v>
      </c>
    </row>
    <row r="479" spans="1:7">
      <c r="A479">
        <v>241233</v>
      </c>
      <c r="B479" t="s">
        <v>485</v>
      </c>
      <c r="C479">
        <f>VLOOKUP($B479,Sheet3!$B:$G,2,0)</f>
        <v>94</v>
      </c>
      <c r="D479">
        <f>VLOOKUP($B479,Sheet3!$B:$G,3,0)</f>
        <v>75</v>
      </c>
      <c r="E479">
        <f>VLOOKUP($B479,Sheet3!$B:$G,4,0)</f>
        <v>98.5</v>
      </c>
      <c r="F479">
        <f>VLOOKUP($B479,Sheet3!$B:$G,6,0)</f>
        <v>70</v>
      </c>
      <c r="G479">
        <f>VLOOKUP($B479,Sheet3!$B:$G,5,0)</f>
        <v>58</v>
      </c>
    </row>
    <row r="480" spans="1:7">
      <c r="A480">
        <v>241234</v>
      </c>
      <c r="B480" t="s">
        <v>486</v>
      </c>
      <c r="C480">
        <f>VLOOKUP($B480,Sheet3!$B:$G,2,0)</f>
        <v>90</v>
      </c>
      <c r="D480">
        <f>VLOOKUP($B480,Sheet3!$B:$G,3,0)</f>
        <v>110</v>
      </c>
      <c r="E480">
        <f>VLOOKUP($B480,Sheet3!$B:$G,4,0)</f>
        <v>106.5</v>
      </c>
      <c r="F480">
        <f>VLOOKUP($B480,Sheet3!$B:$G,6,0)</f>
        <v>78</v>
      </c>
      <c r="G480">
        <f>VLOOKUP($B480,Sheet3!$B:$G,5,0)</f>
        <v>74</v>
      </c>
    </row>
    <row r="481" spans="1:7">
      <c r="A481">
        <v>241235</v>
      </c>
      <c r="B481" t="s">
        <v>487</v>
      </c>
      <c r="C481">
        <f>VLOOKUP($B481,Sheet3!$B:$G,2,0)</f>
        <v>84</v>
      </c>
      <c r="D481">
        <f>VLOOKUP($B481,Sheet3!$B:$G,3,0)</f>
        <v>91</v>
      </c>
      <c r="E481">
        <f>VLOOKUP($B481,Sheet3!$B:$G,4,0)</f>
        <v>110</v>
      </c>
      <c r="F481">
        <f>VLOOKUP($B481,Sheet3!$B:$G,6,0)</f>
        <v>68</v>
      </c>
      <c r="G481">
        <f>VLOOKUP($B481,Sheet3!$B:$G,5,0)</f>
        <v>73</v>
      </c>
    </row>
    <row r="482" spans="1:7">
      <c r="A482">
        <v>241236</v>
      </c>
      <c r="B482" t="s">
        <v>488</v>
      </c>
      <c r="C482">
        <f>VLOOKUP($B482,Sheet3!$B:$G,2,0)</f>
        <v>92</v>
      </c>
      <c r="D482">
        <f>VLOOKUP($B482,Sheet3!$B:$G,3,0)</f>
        <v>94</v>
      </c>
      <c r="E482">
        <f>VLOOKUP($B482,Sheet3!$B:$G,4,0)</f>
        <v>97</v>
      </c>
      <c r="F482">
        <f>VLOOKUP($B482,Sheet3!$B:$G,6,0)</f>
        <v>77</v>
      </c>
      <c r="G482">
        <f>VLOOKUP($B482,Sheet3!$B:$G,5,0)</f>
        <v>61</v>
      </c>
    </row>
    <row r="483" spans="1:7">
      <c r="A483">
        <v>241237</v>
      </c>
      <c r="B483" t="s">
        <v>489</v>
      </c>
      <c r="C483">
        <f>VLOOKUP($B483,Sheet3!$B:$G,2,0)</f>
        <v>105</v>
      </c>
      <c r="D483">
        <f>VLOOKUP($B483,Sheet3!$B:$G,3,0)</f>
        <v>107</v>
      </c>
      <c r="E483">
        <f>VLOOKUP($B483,Sheet3!$B:$G,4,0)</f>
        <v>109.5</v>
      </c>
      <c r="F483">
        <f>VLOOKUP($B483,Sheet3!$B:$G,6,0)</f>
        <v>88</v>
      </c>
      <c r="G483">
        <f>VLOOKUP($B483,Sheet3!$B:$G,5,0)</f>
        <v>83</v>
      </c>
    </row>
    <row r="484" spans="1:7">
      <c r="A484">
        <v>241238</v>
      </c>
      <c r="B484" t="s">
        <v>490</v>
      </c>
      <c r="C484">
        <f>VLOOKUP($B484,Sheet3!$B:$G,2,0)</f>
        <v>93</v>
      </c>
      <c r="D484">
        <f>VLOOKUP($B484,Sheet3!$B:$G,3,0)</f>
        <v>109</v>
      </c>
      <c r="E484">
        <f>VLOOKUP($B484,Sheet3!$B:$G,4,0)</f>
        <v>103.5</v>
      </c>
      <c r="F484">
        <f>VLOOKUP($B484,Sheet3!$B:$G,6,0)</f>
        <v>84</v>
      </c>
      <c r="G484">
        <f>VLOOKUP($B484,Sheet3!$B:$G,5,0)</f>
        <v>76</v>
      </c>
    </row>
    <row r="485" spans="1:7">
      <c r="A485">
        <v>241239</v>
      </c>
      <c r="B485" t="s">
        <v>491</v>
      </c>
      <c r="C485">
        <f>VLOOKUP($B485,Sheet3!$B:$G,2,0)</f>
        <v>88</v>
      </c>
      <c r="D485">
        <f>VLOOKUP($B485,Sheet3!$B:$G,3,0)</f>
        <v>103</v>
      </c>
      <c r="E485">
        <f>VLOOKUP($B485,Sheet3!$B:$G,4,0)</f>
        <v>108.5</v>
      </c>
      <c r="F485">
        <f>VLOOKUP($B485,Sheet3!$B:$G,6,0)</f>
        <v>81</v>
      </c>
      <c r="G485">
        <f>VLOOKUP($B485,Sheet3!$B:$G,5,0)</f>
        <v>80</v>
      </c>
    </row>
    <row r="486" spans="1:7">
      <c r="A486">
        <v>241240</v>
      </c>
      <c r="B486" t="s">
        <v>492</v>
      </c>
      <c r="C486">
        <f>VLOOKUP($B486,Sheet3!$B:$G,2,0)</f>
        <v>64</v>
      </c>
      <c r="D486">
        <f>VLOOKUP($B486,Sheet3!$B:$G,3,0)</f>
        <v>75</v>
      </c>
      <c r="E486">
        <f>VLOOKUP($B486,Sheet3!$B:$G,4,0)</f>
        <v>88.5</v>
      </c>
      <c r="F486">
        <f>VLOOKUP($B486,Sheet3!$B:$G,6,0)</f>
        <v>60</v>
      </c>
      <c r="G486">
        <f>VLOOKUP($B486,Sheet3!$B:$G,5,0)</f>
        <v>57</v>
      </c>
    </row>
    <row r="487" spans="1:7">
      <c r="A487">
        <v>241241</v>
      </c>
      <c r="B487" t="s">
        <v>493</v>
      </c>
      <c r="C487">
        <f>VLOOKUP($B487,Sheet3!$B:$G,2,0)</f>
        <v>88</v>
      </c>
      <c r="D487">
        <f>VLOOKUP($B487,Sheet3!$B:$G,3,0)</f>
        <v>106</v>
      </c>
      <c r="E487">
        <f>VLOOKUP($B487,Sheet3!$B:$G,4,0)</f>
        <v>107</v>
      </c>
      <c r="F487">
        <f>VLOOKUP($B487,Sheet3!$B:$G,6,0)</f>
        <v>81</v>
      </c>
      <c r="G487">
        <f>VLOOKUP($B487,Sheet3!$B:$G,5,0)</f>
        <v>76</v>
      </c>
    </row>
    <row r="488" spans="1:7">
      <c r="A488">
        <v>241301</v>
      </c>
      <c r="B488" t="s">
        <v>494</v>
      </c>
      <c r="C488">
        <f>VLOOKUP($B488,Sheet3!$B:$G,2,0)</f>
        <v>89</v>
      </c>
      <c r="D488">
        <f>VLOOKUP($B488,Sheet3!$B:$G,3,0)</f>
        <v>106</v>
      </c>
      <c r="E488">
        <f>VLOOKUP($B488,Sheet3!$B:$G,4,0)</f>
        <v>109</v>
      </c>
      <c r="F488">
        <f>VLOOKUP($B488,Sheet3!$B:$G,6,0)</f>
        <v>86</v>
      </c>
      <c r="G488">
        <f>VLOOKUP($B488,Sheet3!$B:$G,5,0)</f>
        <v>77</v>
      </c>
    </row>
    <row r="489" spans="1:7">
      <c r="A489">
        <v>241302</v>
      </c>
      <c r="B489" t="s">
        <v>495</v>
      </c>
      <c r="C489">
        <f>VLOOKUP($B489,Sheet3!$B:$G,2,0)</f>
        <v>97</v>
      </c>
      <c r="D489">
        <f>VLOOKUP($B489,Sheet3!$B:$G,3,0)</f>
        <v>104</v>
      </c>
      <c r="E489">
        <f>VLOOKUP($B489,Sheet3!$B:$G,4,0)</f>
        <v>115</v>
      </c>
      <c r="F489">
        <f>VLOOKUP($B489,Sheet3!$B:$G,6,0)</f>
        <v>83</v>
      </c>
      <c r="G489">
        <f>VLOOKUP($B489,Sheet3!$B:$G,5,0)</f>
        <v>81</v>
      </c>
    </row>
    <row r="490" spans="1:7">
      <c r="A490">
        <v>241303</v>
      </c>
      <c r="B490" t="s">
        <v>496</v>
      </c>
      <c r="C490">
        <f>VLOOKUP($B490,Sheet3!$B:$G,2,0)</f>
        <v>100</v>
      </c>
      <c r="D490">
        <f>VLOOKUP($B490,Sheet3!$B:$G,3,0)</f>
        <v>104</v>
      </c>
      <c r="E490">
        <f>VLOOKUP($B490,Sheet3!$B:$G,4,0)</f>
        <v>111.5</v>
      </c>
      <c r="F490">
        <f>VLOOKUP($B490,Sheet3!$B:$G,6,0)</f>
        <v>90</v>
      </c>
      <c r="G490">
        <f>VLOOKUP($B490,Sheet3!$B:$G,5,0)</f>
        <v>81</v>
      </c>
    </row>
    <row r="491" spans="1:7">
      <c r="A491">
        <v>241304</v>
      </c>
      <c r="B491" t="s">
        <v>497</v>
      </c>
      <c r="C491">
        <f>VLOOKUP($B491,Sheet3!$B:$G,2,0)</f>
        <v>85</v>
      </c>
      <c r="D491">
        <f>VLOOKUP($B491,Sheet3!$B:$G,3,0)</f>
        <v>93</v>
      </c>
      <c r="E491">
        <f>VLOOKUP($B491,Sheet3!$B:$G,4,0)</f>
        <v>108</v>
      </c>
      <c r="F491">
        <f>VLOOKUP($B491,Sheet3!$B:$G,6,0)</f>
        <v>76</v>
      </c>
      <c r="G491">
        <f>VLOOKUP($B491,Sheet3!$B:$G,5,0)</f>
        <v>80</v>
      </c>
    </row>
    <row r="492" spans="1:7">
      <c r="A492">
        <v>241305</v>
      </c>
      <c r="B492" t="s">
        <v>498</v>
      </c>
      <c r="C492">
        <f>VLOOKUP($B492,Sheet3!$B:$G,2,0)</f>
        <v>99</v>
      </c>
      <c r="D492">
        <f>VLOOKUP($B492,Sheet3!$B:$G,3,0)</f>
        <v>110</v>
      </c>
      <c r="E492">
        <f>VLOOKUP($B492,Sheet3!$B:$G,4,0)</f>
        <v>116.5</v>
      </c>
      <c r="F492">
        <f>VLOOKUP($B492,Sheet3!$B:$G,6,0)</f>
        <v>87</v>
      </c>
      <c r="G492">
        <f>VLOOKUP($B492,Sheet3!$B:$G,5,0)</f>
        <v>77</v>
      </c>
    </row>
    <row r="493" spans="1:7">
      <c r="A493">
        <v>241306</v>
      </c>
      <c r="B493" t="s">
        <v>499</v>
      </c>
      <c r="C493">
        <f>VLOOKUP($B493,Sheet3!$B:$G,2,0)</f>
        <v>100</v>
      </c>
      <c r="D493">
        <f>VLOOKUP($B493,Sheet3!$B:$G,3,0)</f>
        <v>114</v>
      </c>
      <c r="E493">
        <f>VLOOKUP($B493,Sheet3!$B:$G,4,0)</f>
        <v>112.5</v>
      </c>
      <c r="F493">
        <f>VLOOKUP($B493,Sheet3!$B:$G,6,0)</f>
        <v>90</v>
      </c>
      <c r="G493">
        <f>VLOOKUP($B493,Sheet3!$B:$G,5,0)</f>
        <v>77</v>
      </c>
    </row>
    <row r="494" spans="1:7">
      <c r="A494">
        <v>241307</v>
      </c>
      <c r="B494" t="s">
        <v>500</v>
      </c>
      <c r="C494">
        <f>VLOOKUP($B494,Sheet3!$B:$G,2,0)</f>
        <v>100</v>
      </c>
      <c r="D494">
        <f>VLOOKUP($B494,Sheet3!$B:$G,3,0)</f>
        <v>101</v>
      </c>
      <c r="E494">
        <f>VLOOKUP($B494,Sheet3!$B:$G,4,0)</f>
        <v>115.5</v>
      </c>
      <c r="F494">
        <f>VLOOKUP($B494,Sheet3!$B:$G,6,0)</f>
        <v>77</v>
      </c>
      <c r="G494">
        <f>VLOOKUP($B494,Sheet3!$B:$G,5,0)</f>
        <v>72</v>
      </c>
    </row>
    <row r="495" spans="1:7">
      <c r="A495">
        <v>241308</v>
      </c>
      <c r="B495" t="s">
        <v>501</v>
      </c>
      <c r="C495" t="str">
        <f>VLOOKUP($B495,Sheet3!$B:$G,2,0)</f>
        <v>未扫，不计排名</v>
      </c>
      <c r="D495" t="str">
        <f>VLOOKUP($B495,Sheet3!$B:$G,3,0)</f>
        <v>未扫，不计排名</v>
      </c>
      <c r="E495" t="str">
        <f>VLOOKUP($B495,Sheet3!$B:$G,4,0)</f>
        <v>未扫，不计排名</v>
      </c>
      <c r="F495" t="str">
        <f>VLOOKUP($B495,Sheet3!$B:$G,6,0)</f>
        <v>未扫，不计排名</v>
      </c>
      <c r="G495" t="str">
        <f>VLOOKUP($B495,Sheet3!$B:$G,5,0)</f>
        <v>未扫，不计排名</v>
      </c>
    </row>
    <row r="496" spans="1:7">
      <c r="A496">
        <v>241309</v>
      </c>
      <c r="B496" t="s">
        <v>502</v>
      </c>
      <c r="C496">
        <f>VLOOKUP($B496,Sheet3!$B:$G,2,0)</f>
        <v>98</v>
      </c>
      <c r="D496">
        <f>VLOOKUP($B496,Sheet3!$B:$G,3,0)</f>
        <v>95</v>
      </c>
      <c r="E496">
        <f>VLOOKUP($B496,Sheet3!$B:$G,4,0)</f>
        <v>113</v>
      </c>
      <c r="F496">
        <f>VLOOKUP($B496,Sheet3!$B:$G,6,0)</f>
        <v>87</v>
      </c>
      <c r="G496">
        <f>VLOOKUP($B496,Sheet3!$B:$G,5,0)</f>
        <v>83</v>
      </c>
    </row>
    <row r="497" spans="1:7">
      <c r="A497">
        <v>241310</v>
      </c>
      <c r="B497" t="s">
        <v>503</v>
      </c>
      <c r="C497">
        <f>VLOOKUP($B497,Sheet3!$B:$G,2,0)</f>
        <v>91</v>
      </c>
      <c r="D497">
        <f>VLOOKUP($B497,Sheet3!$B:$G,3,0)</f>
        <v>84</v>
      </c>
      <c r="E497">
        <f>VLOOKUP($B497,Sheet3!$B:$G,4,0)</f>
        <v>89.5</v>
      </c>
      <c r="F497">
        <f>VLOOKUP($B497,Sheet3!$B:$G,6,0)</f>
        <v>80</v>
      </c>
      <c r="G497">
        <f>VLOOKUP($B497,Sheet3!$B:$G,5,0)</f>
        <v>80</v>
      </c>
    </row>
    <row r="498" spans="1:7">
      <c r="A498">
        <v>241311</v>
      </c>
      <c r="B498" t="s">
        <v>504</v>
      </c>
      <c r="C498">
        <f>VLOOKUP($B498,Sheet3!$B:$G,2,0)</f>
        <v>104</v>
      </c>
      <c r="D498">
        <f>VLOOKUP($B498,Sheet3!$B:$G,3,0)</f>
        <v>110</v>
      </c>
      <c r="E498">
        <f>VLOOKUP($B498,Sheet3!$B:$G,4,0)</f>
        <v>115.5</v>
      </c>
      <c r="F498">
        <f>VLOOKUP($B498,Sheet3!$B:$G,6,0)</f>
        <v>88</v>
      </c>
      <c r="G498">
        <f>VLOOKUP($B498,Sheet3!$B:$G,5,0)</f>
        <v>82</v>
      </c>
    </row>
    <row r="499" spans="1:7">
      <c r="A499">
        <v>241312</v>
      </c>
      <c r="B499" t="s">
        <v>505</v>
      </c>
      <c r="C499">
        <f>VLOOKUP($B499,Sheet3!$B:$G,2,0)</f>
        <v>99</v>
      </c>
      <c r="D499">
        <f>VLOOKUP($B499,Sheet3!$B:$G,3,0)</f>
        <v>103</v>
      </c>
      <c r="E499">
        <f>VLOOKUP($B499,Sheet3!$B:$G,4,0)</f>
        <v>113</v>
      </c>
      <c r="F499">
        <f>VLOOKUP($B499,Sheet3!$B:$G,6,0)</f>
        <v>85</v>
      </c>
      <c r="G499">
        <f>VLOOKUP($B499,Sheet3!$B:$G,5,0)</f>
        <v>78</v>
      </c>
    </row>
    <row r="500" spans="1:7">
      <c r="A500">
        <v>241313</v>
      </c>
      <c r="B500" t="s">
        <v>506</v>
      </c>
      <c r="C500">
        <f>VLOOKUP($B500,Sheet3!$B:$G,2,0)</f>
        <v>101</v>
      </c>
      <c r="D500">
        <f>VLOOKUP($B500,Sheet3!$B:$G,3,0)</f>
        <v>103</v>
      </c>
      <c r="E500">
        <f>VLOOKUP($B500,Sheet3!$B:$G,4,0)</f>
        <v>114.5</v>
      </c>
      <c r="F500">
        <f>VLOOKUP($B500,Sheet3!$B:$G,6,0)</f>
        <v>82</v>
      </c>
      <c r="G500">
        <f>VLOOKUP($B500,Sheet3!$B:$G,5,0)</f>
        <v>79</v>
      </c>
    </row>
    <row r="501" spans="1:7">
      <c r="A501">
        <v>241314</v>
      </c>
      <c r="B501" t="s">
        <v>507</v>
      </c>
      <c r="C501">
        <f>VLOOKUP($B501,Sheet3!$B:$G,2,0)</f>
        <v>95</v>
      </c>
      <c r="D501">
        <f>VLOOKUP($B501,Sheet3!$B:$G,3,0)</f>
        <v>91</v>
      </c>
      <c r="E501">
        <f>VLOOKUP($B501,Sheet3!$B:$G,4,0)</f>
        <v>106</v>
      </c>
      <c r="F501">
        <f>VLOOKUP($B501,Sheet3!$B:$G,6,0)</f>
        <v>77</v>
      </c>
      <c r="G501">
        <f>VLOOKUP($B501,Sheet3!$B:$G,5,0)</f>
        <v>71</v>
      </c>
    </row>
    <row r="502" spans="1:7">
      <c r="A502">
        <v>241315</v>
      </c>
      <c r="B502" t="s">
        <v>508</v>
      </c>
      <c r="C502">
        <f>VLOOKUP($B502,Sheet3!$B:$G,2,0)</f>
        <v>91</v>
      </c>
      <c r="D502">
        <f>VLOOKUP($B502,Sheet3!$B:$G,3,0)</f>
        <v>101</v>
      </c>
      <c r="E502">
        <f>VLOOKUP($B502,Sheet3!$B:$G,4,0)</f>
        <v>106</v>
      </c>
      <c r="F502">
        <f>VLOOKUP($B502,Sheet3!$B:$G,6,0)</f>
        <v>86</v>
      </c>
      <c r="G502">
        <f>VLOOKUP($B502,Sheet3!$B:$G,5,0)</f>
        <v>72</v>
      </c>
    </row>
    <row r="503" spans="1:7">
      <c r="A503">
        <v>241316</v>
      </c>
      <c r="B503" t="s">
        <v>509</v>
      </c>
      <c r="C503">
        <f>VLOOKUP($B503,Sheet3!$B:$G,2,0)</f>
        <v>80</v>
      </c>
      <c r="D503">
        <f>VLOOKUP($B503,Sheet3!$B:$G,3,0)</f>
        <v>93</v>
      </c>
      <c r="E503">
        <f>VLOOKUP($B503,Sheet3!$B:$G,4,0)</f>
        <v>69</v>
      </c>
      <c r="F503">
        <f>VLOOKUP($B503,Sheet3!$B:$G,6,0)</f>
        <v>73</v>
      </c>
      <c r="G503">
        <f>VLOOKUP($B503,Sheet3!$B:$G,5,0)</f>
        <v>70</v>
      </c>
    </row>
    <row r="504" spans="1:7">
      <c r="A504">
        <v>241318</v>
      </c>
      <c r="B504" t="s">
        <v>510</v>
      </c>
      <c r="C504">
        <f>VLOOKUP($B504,Sheet3!$B:$G,2,0)</f>
        <v>82</v>
      </c>
      <c r="D504">
        <f>VLOOKUP($B504,Sheet3!$B:$G,3,0)</f>
        <v>51</v>
      </c>
      <c r="E504">
        <f>VLOOKUP($B504,Sheet3!$B:$G,4,0)</f>
        <v>96.5</v>
      </c>
      <c r="F504">
        <f>VLOOKUP($B504,Sheet3!$B:$G,6,0)</f>
        <v>60</v>
      </c>
      <c r="G504">
        <f>VLOOKUP($B504,Sheet3!$B:$G,5,0)</f>
        <v>62</v>
      </c>
    </row>
    <row r="505" spans="1:7">
      <c r="A505">
        <v>241319</v>
      </c>
      <c r="B505" t="s">
        <v>511</v>
      </c>
      <c r="C505">
        <f>VLOOKUP($B505,Sheet3!$B:$G,2,0)</f>
        <v>89</v>
      </c>
      <c r="D505">
        <f>VLOOKUP($B505,Sheet3!$B:$G,3,0)</f>
        <v>91</v>
      </c>
      <c r="E505">
        <f>VLOOKUP($B505,Sheet3!$B:$G,4,0)</f>
        <v>108.5</v>
      </c>
      <c r="F505">
        <f>VLOOKUP($B505,Sheet3!$B:$G,6,0)</f>
        <v>86</v>
      </c>
      <c r="G505">
        <f>VLOOKUP($B505,Sheet3!$B:$G,5,0)</f>
        <v>62</v>
      </c>
    </row>
    <row r="506" spans="1:7">
      <c r="A506">
        <v>241320</v>
      </c>
      <c r="B506" t="s">
        <v>512</v>
      </c>
      <c r="C506">
        <f>VLOOKUP($B506,Sheet3!$B:$G,2,0)</f>
        <v>106</v>
      </c>
      <c r="D506">
        <f>VLOOKUP($B506,Sheet3!$B:$G,3,0)</f>
        <v>96</v>
      </c>
      <c r="E506">
        <f>VLOOKUP($B506,Sheet3!$B:$G,4,0)</f>
        <v>113</v>
      </c>
      <c r="F506">
        <f>VLOOKUP($B506,Sheet3!$B:$G,6,0)</f>
        <v>82</v>
      </c>
      <c r="G506">
        <f>VLOOKUP($B506,Sheet3!$B:$G,5,0)</f>
        <v>85</v>
      </c>
    </row>
    <row r="507" spans="1:7">
      <c r="A507">
        <v>241321</v>
      </c>
      <c r="B507" t="s">
        <v>513</v>
      </c>
      <c r="C507">
        <f>VLOOKUP($B507,Sheet3!$B:$G,2,0)</f>
        <v>104</v>
      </c>
      <c r="D507">
        <f>VLOOKUP($B507,Sheet3!$B:$G,3,0)</f>
        <v>104</v>
      </c>
      <c r="E507">
        <f>VLOOKUP($B507,Sheet3!$B:$G,4,0)</f>
        <v>98.5</v>
      </c>
      <c r="F507">
        <f>VLOOKUP($B507,Sheet3!$B:$G,6,0)</f>
        <v>76</v>
      </c>
      <c r="G507">
        <f>VLOOKUP($B507,Sheet3!$B:$G,5,0)</f>
        <v>71</v>
      </c>
    </row>
    <row r="508" spans="1:7">
      <c r="A508">
        <v>241322</v>
      </c>
      <c r="B508" t="s">
        <v>514</v>
      </c>
      <c r="C508">
        <f>VLOOKUP($B508,Sheet3!$B:$G,2,0)</f>
        <v>95</v>
      </c>
      <c r="D508">
        <f>VLOOKUP($B508,Sheet3!$B:$G,3,0)</f>
        <v>91</v>
      </c>
      <c r="E508">
        <f>VLOOKUP($B508,Sheet3!$B:$G,4,0)</f>
        <v>97.5</v>
      </c>
      <c r="F508">
        <f>VLOOKUP($B508,Sheet3!$B:$G,6,0)</f>
        <v>72</v>
      </c>
      <c r="G508">
        <f>VLOOKUP($B508,Sheet3!$B:$G,5,0)</f>
        <v>54</v>
      </c>
    </row>
    <row r="509" spans="1:7">
      <c r="A509">
        <v>241323</v>
      </c>
      <c r="B509" t="s">
        <v>515</v>
      </c>
      <c r="C509">
        <f>VLOOKUP($B509,Sheet3!$B:$G,2,0)</f>
        <v>102</v>
      </c>
      <c r="D509">
        <f>VLOOKUP($B509,Sheet3!$B:$G,3,0)</f>
        <v>109</v>
      </c>
      <c r="E509">
        <f>VLOOKUP($B509,Sheet3!$B:$G,4,0)</f>
        <v>113</v>
      </c>
      <c r="F509">
        <f>VLOOKUP($B509,Sheet3!$B:$G,6,0)</f>
        <v>87</v>
      </c>
      <c r="G509">
        <f>VLOOKUP($B509,Sheet3!$B:$G,5,0)</f>
        <v>87</v>
      </c>
    </row>
    <row r="510" spans="1:7">
      <c r="A510">
        <v>241324</v>
      </c>
      <c r="B510" t="s">
        <v>516</v>
      </c>
      <c r="C510">
        <f>VLOOKUP($B510,Sheet3!$B:$G,2,0)</f>
        <v>112</v>
      </c>
      <c r="D510">
        <f>VLOOKUP($B510,Sheet3!$B:$G,3,0)</f>
        <v>90</v>
      </c>
      <c r="E510">
        <f>VLOOKUP($B510,Sheet3!$B:$G,4,0)</f>
        <v>113</v>
      </c>
      <c r="F510">
        <f>VLOOKUP($B510,Sheet3!$B:$G,6,0)</f>
        <v>84</v>
      </c>
      <c r="G510">
        <f>VLOOKUP($B510,Sheet3!$B:$G,5,0)</f>
        <v>76</v>
      </c>
    </row>
    <row r="511" spans="1:7">
      <c r="A511">
        <v>241325</v>
      </c>
      <c r="B511" t="s">
        <v>517</v>
      </c>
      <c r="C511">
        <f>VLOOKUP($B511,Sheet3!$B:$G,2,0)</f>
        <v>107</v>
      </c>
      <c r="D511">
        <f>VLOOKUP($B511,Sheet3!$B:$G,3,0)</f>
        <v>101</v>
      </c>
      <c r="E511">
        <f>VLOOKUP($B511,Sheet3!$B:$G,4,0)</f>
        <v>101</v>
      </c>
      <c r="F511">
        <f>VLOOKUP($B511,Sheet3!$B:$G,6,0)</f>
        <v>78</v>
      </c>
      <c r="G511">
        <f>VLOOKUP($B511,Sheet3!$B:$G,5,0)</f>
        <v>72</v>
      </c>
    </row>
    <row r="512" spans="1:7">
      <c r="A512">
        <v>241326</v>
      </c>
      <c r="B512" t="s">
        <v>518</v>
      </c>
      <c r="C512">
        <f>VLOOKUP($B512,Sheet3!$B:$G,2,0)</f>
        <v>103</v>
      </c>
      <c r="D512">
        <f>VLOOKUP($B512,Sheet3!$B:$G,3,0)</f>
        <v>81</v>
      </c>
      <c r="E512">
        <f>VLOOKUP($B512,Sheet3!$B:$G,4,0)</f>
        <v>108.5</v>
      </c>
      <c r="F512">
        <f>VLOOKUP($B512,Sheet3!$B:$G,6,0)</f>
        <v>86</v>
      </c>
      <c r="G512">
        <f>VLOOKUP($B512,Sheet3!$B:$G,5,0)</f>
        <v>65</v>
      </c>
    </row>
    <row r="513" spans="1:7">
      <c r="A513">
        <v>241327</v>
      </c>
      <c r="B513" t="s">
        <v>519</v>
      </c>
      <c r="C513">
        <f>VLOOKUP($B513,Sheet3!$B:$G,2,0)</f>
        <v>88</v>
      </c>
      <c r="D513">
        <f>VLOOKUP($B513,Sheet3!$B:$G,3,0)</f>
        <v>77</v>
      </c>
      <c r="E513">
        <f>VLOOKUP($B513,Sheet3!$B:$G,4,0)</f>
        <v>106</v>
      </c>
      <c r="F513">
        <f>VLOOKUP($B513,Sheet3!$B:$G,6,0)</f>
        <v>58</v>
      </c>
      <c r="G513">
        <f>VLOOKUP($B513,Sheet3!$B:$G,5,0)</f>
        <v>75</v>
      </c>
    </row>
    <row r="514" spans="1:7">
      <c r="A514">
        <v>241328</v>
      </c>
      <c r="B514" t="s">
        <v>520</v>
      </c>
      <c r="C514">
        <f>VLOOKUP($B514,Sheet3!$B:$G,2,0)</f>
        <v>100</v>
      </c>
      <c r="D514">
        <f>VLOOKUP($B514,Sheet3!$B:$G,3,0)</f>
        <v>100</v>
      </c>
      <c r="E514">
        <f>VLOOKUP($B514,Sheet3!$B:$G,4,0)</f>
        <v>118.5</v>
      </c>
      <c r="F514">
        <f>VLOOKUP($B514,Sheet3!$B:$G,6,0)</f>
        <v>88</v>
      </c>
      <c r="G514">
        <f>VLOOKUP($B514,Sheet3!$B:$G,5,0)</f>
        <v>81</v>
      </c>
    </row>
    <row r="515" spans="1:7">
      <c r="A515">
        <v>241329</v>
      </c>
      <c r="B515" t="s">
        <v>521</v>
      </c>
      <c r="C515">
        <f>VLOOKUP($B515,Sheet3!$B:$G,2,0)</f>
        <v>92</v>
      </c>
      <c r="D515">
        <f>VLOOKUP($B515,Sheet3!$B:$G,3,0)</f>
        <v>92</v>
      </c>
      <c r="E515">
        <f>VLOOKUP($B515,Sheet3!$B:$G,4,0)</f>
        <v>100</v>
      </c>
      <c r="F515">
        <f>VLOOKUP($B515,Sheet3!$B:$G,6,0)</f>
        <v>84</v>
      </c>
      <c r="G515">
        <f>VLOOKUP($B515,Sheet3!$B:$G,5,0)</f>
        <v>71</v>
      </c>
    </row>
    <row r="516" spans="1:7">
      <c r="A516">
        <v>241330</v>
      </c>
      <c r="B516" t="s">
        <v>522</v>
      </c>
      <c r="C516">
        <f>VLOOKUP($B516,Sheet3!$B:$G,2,0)</f>
        <v>97</v>
      </c>
      <c r="D516">
        <f>VLOOKUP($B516,Sheet3!$B:$G,3,0)</f>
        <v>101</v>
      </c>
      <c r="E516">
        <f>VLOOKUP($B516,Sheet3!$B:$G,4,0)</f>
        <v>112</v>
      </c>
      <c r="F516">
        <f>VLOOKUP($B516,Sheet3!$B:$G,6,0)</f>
        <v>79</v>
      </c>
      <c r="G516">
        <f>VLOOKUP($B516,Sheet3!$B:$G,5,0)</f>
        <v>81</v>
      </c>
    </row>
    <row r="517" spans="1:7">
      <c r="A517">
        <v>241331</v>
      </c>
      <c r="B517" t="s">
        <v>523</v>
      </c>
      <c r="C517">
        <f>VLOOKUP($B517,Sheet3!$B:$G,2,0)</f>
        <v>101</v>
      </c>
      <c r="D517">
        <f>VLOOKUP($B517,Sheet3!$B:$G,3,0)</f>
        <v>101</v>
      </c>
      <c r="E517">
        <f>VLOOKUP($B517,Sheet3!$B:$G,4,0)</f>
        <v>105.5</v>
      </c>
      <c r="F517">
        <f>VLOOKUP($B517,Sheet3!$B:$G,6,0)</f>
        <v>88</v>
      </c>
      <c r="G517">
        <f>VLOOKUP($B517,Sheet3!$B:$G,5,0)</f>
        <v>79</v>
      </c>
    </row>
    <row r="518" spans="1:7">
      <c r="A518">
        <v>241332</v>
      </c>
      <c r="B518" t="s">
        <v>524</v>
      </c>
      <c r="C518">
        <f>VLOOKUP($B518,Sheet3!$B:$G,2,0)</f>
        <v>112</v>
      </c>
      <c r="D518">
        <f>VLOOKUP($B518,Sheet3!$B:$G,3,0)</f>
        <v>96</v>
      </c>
      <c r="E518">
        <f>VLOOKUP($B518,Sheet3!$B:$G,4,0)</f>
        <v>114</v>
      </c>
      <c r="F518">
        <f>VLOOKUP($B518,Sheet3!$B:$G,6,0)</f>
        <v>87</v>
      </c>
      <c r="G518">
        <f>VLOOKUP($B518,Sheet3!$B:$G,5,0)</f>
        <v>80</v>
      </c>
    </row>
    <row r="519" spans="1:7">
      <c r="A519">
        <v>241333</v>
      </c>
      <c r="B519" t="s">
        <v>525</v>
      </c>
      <c r="C519">
        <f>VLOOKUP($B519,Sheet3!$B:$G,2,0)</f>
        <v>99</v>
      </c>
      <c r="D519">
        <f>VLOOKUP($B519,Sheet3!$B:$G,3,0)</f>
        <v>103</v>
      </c>
      <c r="E519">
        <f>VLOOKUP($B519,Sheet3!$B:$G,4,0)</f>
        <v>110</v>
      </c>
      <c r="F519">
        <f>VLOOKUP($B519,Sheet3!$B:$G,6,0)</f>
        <v>75</v>
      </c>
      <c r="G519">
        <f>VLOOKUP($B519,Sheet3!$B:$G,5,0)</f>
        <v>79</v>
      </c>
    </row>
    <row r="520" spans="1:7">
      <c r="A520">
        <v>241334</v>
      </c>
      <c r="B520" t="s">
        <v>526</v>
      </c>
      <c r="C520">
        <f>VLOOKUP($B520,Sheet3!$B:$G,2,0)</f>
        <v>90</v>
      </c>
      <c r="D520">
        <f>VLOOKUP($B520,Sheet3!$B:$G,3,0)</f>
        <v>97</v>
      </c>
      <c r="E520">
        <f>VLOOKUP($B520,Sheet3!$B:$G,4,0)</f>
        <v>108</v>
      </c>
      <c r="F520">
        <f>VLOOKUP($B520,Sheet3!$B:$G,6,0)</f>
        <v>84</v>
      </c>
      <c r="G520">
        <f>VLOOKUP($B520,Sheet3!$B:$G,5,0)</f>
        <v>70</v>
      </c>
    </row>
    <row r="521" spans="1:7">
      <c r="A521">
        <v>241335</v>
      </c>
      <c r="B521" t="s">
        <v>527</v>
      </c>
      <c r="C521">
        <f>VLOOKUP($B521,Sheet3!$B:$G,2,0)</f>
        <v>98</v>
      </c>
      <c r="D521">
        <f>VLOOKUP($B521,Sheet3!$B:$G,3,0)</f>
        <v>103</v>
      </c>
      <c r="E521">
        <f>VLOOKUP($B521,Sheet3!$B:$G,4,0)</f>
        <v>114</v>
      </c>
      <c r="F521">
        <f>VLOOKUP($B521,Sheet3!$B:$G,6,0)</f>
        <v>80</v>
      </c>
      <c r="G521">
        <f>VLOOKUP($B521,Sheet3!$B:$G,5,0)</f>
        <v>80</v>
      </c>
    </row>
    <row r="522" spans="1:7">
      <c r="A522">
        <v>241336</v>
      </c>
      <c r="B522" t="s">
        <v>528</v>
      </c>
      <c r="C522">
        <f>VLOOKUP($B522,Sheet3!$B:$G,2,0)</f>
        <v>94</v>
      </c>
      <c r="D522">
        <f>VLOOKUP($B522,Sheet3!$B:$G,3,0)</f>
        <v>87</v>
      </c>
      <c r="E522">
        <f>VLOOKUP($B522,Sheet3!$B:$G,4,0)</f>
        <v>100.5</v>
      </c>
      <c r="F522">
        <f>VLOOKUP($B522,Sheet3!$B:$G,6,0)</f>
        <v>80</v>
      </c>
      <c r="G522">
        <f>VLOOKUP($B522,Sheet3!$B:$G,5,0)</f>
        <v>66</v>
      </c>
    </row>
    <row r="523" spans="1:7">
      <c r="A523">
        <v>241337</v>
      </c>
      <c r="B523" t="s">
        <v>529</v>
      </c>
      <c r="C523">
        <f>VLOOKUP($B523,Sheet3!$B:$G,2,0)</f>
        <v>98</v>
      </c>
      <c r="D523">
        <f>VLOOKUP($B523,Sheet3!$B:$G,3,0)</f>
        <v>98</v>
      </c>
      <c r="E523">
        <f>VLOOKUP($B523,Sheet3!$B:$G,4,0)</f>
        <v>103.5</v>
      </c>
      <c r="F523">
        <f>VLOOKUP($B523,Sheet3!$B:$G,6,0)</f>
        <v>83</v>
      </c>
      <c r="G523">
        <f>VLOOKUP($B523,Sheet3!$B:$G,5,0)</f>
        <v>76</v>
      </c>
    </row>
    <row r="524" spans="1:7">
      <c r="A524">
        <v>241338</v>
      </c>
      <c r="B524" t="s">
        <v>530</v>
      </c>
      <c r="C524">
        <f>VLOOKUP($B524,Sheet3!$B:$G,2,0)</f>
        <v>101</v>
      </c>
      <c r="D524">
        <f>VLOOKUP($B524,Sheet3!$B:$G,3,0)</f>
        <v>102</v>
      </c>
      <c r="E524">
        <f>VLOOKUP($B524,Sheet3!$B:$G,4,0)</f>
        <v>117.5</v>
      </c>
      <c r="F524">
        <f>VLOOKUP($B524,Sheet3!$B:$G,6,0)</f>
        <v>84</v>
      </c>
      <c r="G524">
        <f>VLOOKUP($B524,Sheet3!$B:$G,5,0)</f>
        <v>78</v>
      </c>
    </row>
    <row r="525" spans="1:7">
      <c r="A525">
        <v>241339</v>
      </c>
      <c r="B525" t="s">
        <v>531</v>
      </c>
      <c r="C525">
        <f>VLOOKUP($B525,Sheet3!$B:$G,2,0)</f>
        <v>104</v>
      </c>
      <c r="D525">
        <f>VLOOKUP($B525,Sheet3!$B:$G,3,0)</f>
        <v>101</v>
      </c>
      <c r="E525">
        <f>VLOOKUP($B525,Sheet3!$B:$G,4,0)</f>
        <v>111</v>
      </c>
      <c r="F525">
        <f>VLOOKUP($B525,Sheet3!$B:$G,6,0)</f>
        <v>86</v>
      </c>
      <c r="G525">
        <f>VLOOKUP($B525,Sheet3!$B:$G,5,0)</f>
        <v>77</v>
      </c>
    </row>
    <row r="526" spans="1:7">
      <c r="A526">
        <v>241340</v>
      </c>
      <c r="B526" t="s">
        <v>532</v>
      </c>
      <c r="C526">
        <f>VLOOKUP($B526,Sheet3!$B:$G,2,0)</f>
        <v>101</v>
      </c>
      <c r="D526">
        <f>VLOOKUP($B526,Sheet3!$B:$G,3,0)</f>
        <v>90</v>
      </c>
      <c r="E526">
        <f>VLOOKUP($B526,Sheet3!$B:$G,4,0)</f>
        <v>109</v>
      </c>
      <c r="F526">
        <f>VLOOKUP($B526,Sheet3!$B:$G,6,0)</f>
        <v>82</v>
      </c>
      <c r="G526">
        <f>VLOOKUP($B526,Sheet3!$B:$G,5,0)</f>
        <v>68</v>
      </c>
    </row>
    <row r="527" spans="1:7">
      <c r="A527">
        <v>240507</v>
      </c>
      <c r="B527" t="s">
        <v>533</v>
      </c>
      <c r="C527">
        <f>VLOOKUP($B527,Sheet3!$B:$G,2,0)</f>
        <v>105</v>
      </c>
      <c r="D527">
        <f>VLOOKUP($B527,Sheet3!$B:$G,3,0)</f>
        <v>102</v>
      </c>
      <c r="E527">
        <f>VLOOKUP($B527,Sheet3!$B:$G,4,0)</f>
        <v>111</v>
      </c>
      <c r="F527">
        <f>VLOOKUP($B527,Sheet3!$B:$G,6,0)</f>
        <v>89</v>
      </c>
      <c r="G527">
        <f>VLOOKUP($B527,Sheet3!$B:$G,5,0)</f>
        <v>81</v>
      </c>
    </row>
    <row r="528" spans="1:7">
      <c r="A528">
        <v>241401</v>
      </c>
      <c r="B528" t="s">
        <v>534</v>
      </c>
      <c r="C528">
        <f>VLOOKUP($B528,Sheet3!$B:$G,2,0)</f>
        <v>92</v>
      </c>
      <c r="D528">
        <f>VLOOKUP($B528,Sheet3!$B:$G,3,0)</f>
        <v>75</v>
      </c>
      <c r="E528">
        <f>VLOOKUP($B528,Sheet3!$B:$G,4,0)</f>
        <v>71.5</v>
      </c>
      <c r="F528">
        <f>VLOOKUP($B528,Sheet3!$B:$G,6,0)</f>
        <v>87</v>
      </c>
      <c r="G528">
        <f>VLOOKUP($B528,Sheet3!$B:$G,5,0)</f>
        <v>77</v>
      </c>
    </row>
    <row r="529" spans="1:7">
      <c r="A529">
        <v>241402</v>
      </c>
      <c r="B529" t="s">
        <v>535</v>
      </c>
      <c r="C529">
        <f>VLOOKUP($B529,Sheet3!$B:$G,2,0)</f>
        <v>84</v>
      </c>
      <c r="D529">
        <f>VLOOKUP($B529,Sheet3!$B:$G,3,0)</f>
        <v>88</v>
      </c>
      <c r="E529">
        <f>VLOOKUP($B529,Sheet3!$B:$G,4,0)</f>
        <v>109.5</v>
      </c>
      <c r="F529">
        <f>VLOOKUP($B529,Sheet3!$B:$G,6,0)</f>
        <v>65</v>
      </c>
      <c r="G529">
        <f>VLOOKUP($B529,Sheet3!$B:$G,5,0)</f>
        <v>64</v>
      </c>
    </row>
    <row r="530" spans="1:7">
      <c r="A530">
        <v>241403</v>
      </c>
      <c r="B530" t="s">
        <v>536</v>
      </c>
      <c r="C530">
        <f>VLOOKUP($B530,Sheet3!$B:$G,2,0)</f>
        <v>69</v>
      </c>
      <c r="D530">
        <f>VLOOKUP($B530,Sheet3!$B:$G,3,0)</f>
        <v>21</v>
      </c>
      <c r="E530">
        <f>VLOOKUP($B530,Sheet3!$B:$G,4,0)</f>
        <v>49</v>
      </c>
      <c r="F530">
        <f>VLOOKUP($B530,Sheet3!$B:$G,6,0)</f>
        <v>51</v>
      </c>
      <c r="G530">
        <f>VLOOKUP($B530,Sheet3!$B:$G,5,0)</f>
        <v>50</v>
      </c>
    </row>
    <row r="531" spans="1:7">
      <c r="A531">
        <v>241405</v>
      </c>
      <c r="B531" t="s">
        <v>537</v>
      </c>
      <c r="C531">
        <f>VLOOKUP($B531,Sheet3!$B:$G,2,0)</f>
        <v>95</v>
      </c>
      <c r="D531">
        <f>VLOOKUP($B531,Sheet3!$B:$G,3,0)</f>
        <v>57</v>
      </c>
      <c r="E531">
        <f>VLOOKUP($B531,Sheet3!$B:$G,4,0)</f>
        <v>69</v>
      </c>
      <c r="F531">
        <f>VLOOKUP($B531,Sheet3!$B:$G,6,0)</f>
        <v>64</v>
      </c>
      <c r="G531">
        <f>VLOOKUP($B531,Sheet3!$B:$G,5,0)</f>
        <v>57</v>
      </c>
    </row>
    <row r="532" spans="1:7">
      <c r="A532">
        <v>241406</v>
      </c>
      <c r="B532" t="s">
        <v>538</v>
      </c>
      <c r="C532">
        <f>VLOOKUP($B532,Sheet3!$B:$G,2,0)</f>
        <v>89</v>
      </c>
      <c r="D532">
        <f>VLOOKUP($B532,Sheet3!$B:$G,3,0)</f>
        <v>81</v>
      </c>
      <c r="E532">
        <f>VLOOKUP($B532,Sheet3!$B:$G,4,0)</f>
        <v>71.5</v>
      </c>
      <c r="F532">
        <f>VLOOKUP($B532,Sheet3!$B:$G,6,0)</f>
        <v>77</v>
      </c>
      <c r="G532">
        <f>VLOOKUP($B532,Sheet3!$B:$G,5,0)</f>
        <v>69</v>
      </c>
    </row>
    <row r="533" spans="1:7">
      <c r="A533">
        <v>241407</v>
      </c>
      <c r="B533" t="s">
        <v>539</v>
      </c>
      <c r="C533">
        <f>VLOOKUP($B533,Sheet3!$B:$G,2,0)</f>
        <v>70</v>
      </c>
      <c r="D533">
        <f>VLOOKUP($B533,Sheet3!$B:$G,3,0)</f>
        <v>51</v>
      </c>
      <c r="E533">
        <f>VLOOKUP($B533,Sheet3!$B:$G,4,0)</f>
        <v>78.5</v>
      </c>
      <c r="F533">
        <f>VLOOKUP($B533,Sheet3!$B:$G,6,0)</f>
        <v>56</v>
      </c>
      <c r="G533">
        <f>VLOOKUP($B533,Sheet3!$B:$G,5,0)</f>
        <v>58</v>
      </c>
    </row>
    <row r="534" spans="1:7">
      <c r="A534">
        <v>241408</v>
      </c>
      <c r="B534" t="s">
        <v>540</v>
      </c>
      <c r="C534">
        <f>VLOOKUP($B534,Sheet3!$B:$G,2,0)</f>
        <v>96</v>
      </c>
      <c r="D534">
        <f>VLOOKUP($B534,Sheet3!$B:$G,3,0)</f>
        <v>38</v>
      </c>
      <c r="E534">
        <f>VLOOKUP($B534,Sheet3!$B:$G,4,0)</f>
        <v>87</v>
      </c>
      <c r="F534">
        <f>VLOOKUP($B534,Sheet3!$B:$G,6,0)</f>
        <v>68</v>
      </c>
      <c r="G534">
        <f>VLOOKUP($B534,Sheet3!$B:$G,5,0)</f>
        <v>72</v>
      </c>
    </row>
    <row r="535" spans="1:7">
      <c r="A535">
        <v>241409</v>
      </c>
      <c r="B535" t="s">
        <v>541</v>
      </c>
      <c r="C535">
        <f>VLOOKUP($B535,Sheet3!$B:$G,2,0)</f>
        <v>88</v>
      </c>
      <c r="D535">
        <f>VLOOKUP($B535,Sheet3!$B:$G,3,0)</f>
        <v>47</v>
      </c>
      <c r="E535">
        <f>VLOOKUP($B535,Sheet3!$B:$G,4,0)</f>
        <v>73</v>
      </c>
      <c r="F535">
        <f>VLOOKUP($B535,Sheet3!$B:$G,6,0)</f>
        <v>66</v>
      </c>
      <c r="G535">
        <f>VLOOKUP($B535,Sheet3!$B:$G,5,0)</f>
        <v>58</v>
      </c>
    </row>
    <row r="536" spans="1:7">
      <c r="A536">
        <v>241410</v>
      </c>
      <c r="B536" t="s">
        <v>542</v>
      </c>
      <c r="C536">
        <f>VLOOKUP($B536,Sheet3!$B:$G,2,0)</f>
        <v>89</v>
      </c>
      <c r="D536">
        <f>VLOOKUP($B536,Sheet3!$B:$G,3,0)</f>
        <v>73</v>
      </c>
      <c r="E536">
        <f>VLOOKUP($B536,Sheet3!$B:$G,4,0)</f>
        <v>85.5</v>
      </c>
      <c r="F536">
        <f>VLOOKUP($B536,Sheet3!$B:$G,6,0)</f>
        <v>82</v>
      </c>
      <c r="G536">
        <f>VLOOKUP($B536,Sheet3!$B:$G,5,0)</f>
        <v>57</v>
      </c>
    </row>
    <row r="537" spans="1:7">
      <c r="A537">
        <v>241412</v>
      </c>
      <c r="B537" t="s">
        <v>543</v>
      </c>
      <c r="C537">
        <f>VLOOKUP($B537,Sheet3!$B:$G,2,0)</f>
        <v>51</v>
      </c>
      <c r="D537">
        <f>VLOOKUP($B537,Sheet3!$B:$G,3,0)</f>
        <v>39</v>
      </c>
      <c r="E537">
        <f>VLOOKUP($B537,Sheet3!$B:$G,4,0)</f>
        <v>48.5</v>
      </c>
      <c r="F537">
        <f>VLOOKUP($B537,Sheet3!$B:$G,6,0)</f>
        <v>53</v>
      </c>
      <c r="G537">
        <f>VLOOKUP($B537,Sheet3!$B:$G,5,0)</f>
        <v>39</v>
      </c>
    </row>
    <row r="538" spans="1:7">
      <c r="A538">
        <v>241413</v>
      </c>
      <c r="B538" t="s">
        <v>544</v>
      </c>
      <c r="C538">
        <f>VLOOKUP($B538,Sheet3!$B:$G,2,0)</f>
        <v>95</v>
      </c>
      <c r="D538">
        <f>VLOOKUP($B538,Sheet3!$B:$G,3,0)</f>
        <v>56</v>
      </c>
      <c r="E538">
        <f>VLOOKUP($B538,Sheet3!$B:$G,4,0)</f>
        <v>58</v>
      </c>
      <c r="F538">
        <f>VLOOKUP($B538,Sheet3!$B:$G,6,0)</f>
        <v>76</v>
      </c>
      <c r="G538">
        <f>VLOOKUP($B538,Sheet3!$B:$G,5,0)</f>
        <v>67</v>
      </c>
    </row>
    <row r="539" spans="1:7">
      <c r="A539">
        <v>241414</v>
      </c>
      <c r="B539" t="s">
        <v>545</v>
      </c>
      <c r="C539">
        <f>VLOOKUP($B539,Sheet3!$B:$G,2,0)</f>
        <v>77</v>
      </c>
      <c r="D539">
        <f>VLOOKUP($B539,Sheet3!$B:$G,3,0)</f>
        <v>42</v>
      </c>
      <c r="E539">
        <f>VLOOKUP($B539,Sheet3!$B:$G,4,0)</f>
        <v>71</v>
      </c>
      <c r="F539">
        <f>VLOOKUP($B539,Sheet3!$B:$G,6,0)</f>
        <v>52</v>
      </c>
      <c r="G539">
        <f>VLOOKUP($B539,Sheet3!$B:$G,5,0)</f>
        <v>47</v>
      </c>
    </row>
    <row r="540" spans="1:7">
      <c r="A540">
        <v>241415</v>
      </c>
      <c r="B540" t="s">
        <v>546</v>
      </c>
      <c r="C540">
        <f>VLOOKUP($B540,Sheet3!$B:$G,2,0)</f>
        <v>67</v>
      </c>
      <c r="D540">
        <f>VLOOKUP($B540,Sheet3!$B:$G,3,0)</f>
        <v>53</v>
      </c>
      <c r="E540">
        <f>VLOOKUP($B540,Sheet3!$B:$G,4,0)</f>
        <v>64</v>
      </c>
      <c r="F540">
        <f>VLOOKUP($B540,Sheet3!$B:$G,6,0)</f>
        <v>56</v>
      </c>
      <c r="G540">
        <f>VLOOKUP($B540,Sheet3!$B:$G,5,0)</f>
        <v>48</v>
      </c>
    </row>
    <row r="541" spans="1:7">
      <c r="A541">
        <v>241416</v>
      </c>
      <c r="B541" t="s">
        <v>547</v>
      </c>
      <c r="C541">
        <f>VLOOKUP($B541,Sheet3!$B:$G,2,0)</f>
        <v>86</v>
      </c>
      <c r="D541">
        <f>VLOOKUP($B541,Sheet3!$B:$G,3,0)</f>
        <v>37</v>
      </c>
      <c r="E541">
        <f>VLOOKUP($B541,Sheet3!$B:$G,4,0)</f>
        <v>59.5</v>
      </c>
      <c r="F541">
        <f>VLOOKUP($B541,Sheet3!$B:$G,6,0)</f>
        <v>64</v>
      </c>
      <c r="G541">
        <f>VLOOKUP($B541,Sheet3!$B:$G,5,0)</f>
        <v>63</v>
      </c>
    </row>
    <row r="542" spans="1:7">
      <c r="A542">
        <v>241417</v>
      </c>
      <c r="B542" t="s">
        <v>548</v>
      </c>
      <c r="C542">
        <f>VLOOKUP($B542,Sheet3!$B:$G,2,0)</f>
        <v>80</v>
      </c>
      <c r="D542">
        <f>VLOOKUP($B542,Sheet3!$B:$G,3,0)</f>
        <v>65</v>
      </c>
      <c r="E542">
        <f>VLOOKUP($B542,Sheet3!$B:$G,4,0)</f>
        <v>85.5</v>
      </c>
      <c r="F542">
        <f>VLOOKUP($B542,Sheet3!$B:$G,6,0)</f>
        <v>76</v>
      </c>
      <c r="G542">
        <f>VLOOKUP($B542,Sheet3!$B:$G,5,0)</f>
        <v>65</v>
      </c>
    </row>
    <row r="543" spans="1:7">
      <c r="A543">
        <v>241418</v>
      </c>
      <c r="B543" t="s">
        <v>549</v>
      </c>
      <c r="C543">
        <f>VLOOKUP($B543,Sheet3!$B:$G,2,0)</f>
        <v>89</v>
      </c>
      <c r="D543">
        <f>VLOOKUP($B543,Sheet3!$B:$G,3,0)</f>
        <v>77</v>
      </c>
      <c r="E543">
        <f>VLOOKUP($B543,Sheet3!$B:$G,4,0)</f>
        <v>72.5</v>
      </c>
      <c r="F543">
        <f>VLOOKUP($B543,Sheet3!$B:$G,6,0)</f>
        <v>73</v>
      </c>
      <c r="G543">
        <f>VLOOKUP($B543,Sheet3!$B:$G,5,0)</f>
        <v>59</v>
      </c>
    </row>
    <row r="544" spans="1:7">
      <c r="A544">
        <v>241419</v>
      </c>
      <c r="B544" t="s">
        <v>550</v>
      </c>
      <c r="C544">
        <f>VLOOKUP($B544,Sheet3!$B:$G,2,0)</f>
        <v>70</v>
      </c>
      <c r="D544">
        <f>VLOOKUP($B544,Sheet3!$B:$G,3,0)</f>
        <v>30</v>
      </c>
      <c r="E544">
        <f>VLOOKUP($B544,Sheet3!$B:$G,4,0)</f>
        <v>27</v>
      </c>
      <c r="F544">
        <f>VLOOKUP($B544,Sheet3!$B:$G,6,0)</f>
        <v>37</v>
      </c>
      <c r="G544">
        <f>VLOOKUP($B544,Sheet3!$B:$G,5,0)</f>
        <v>30</v>
      </c>
    </row>
    <row r="545" spans="1:7">
      <c r="A545">
        <v>241420</v>
      </c>
      <c r="B545" t="s">
        <v>551</v>
      </c>
      <c r="C545">
        <f>VLOOKUP($B545,Sheet3!$B:$G,2,0)</f>
        <v>66</v>
      </c>
      <c r="D545">
        <f>VLOOKUP($B545,Sheet3!$B:$G,3,0)</f>
        <v>27</v>
      </c>
      <c r="E545">
        <f>VLOOKUP($B545,Sheet3!$B:$G,4,0)</f>
        <v>50</v>
      </c>
      <c r="F545">
        <f>VLOOKUP($B545,Sheet3!$B:$G,6,0)</f>
        <v>66</v>
      </c>
      <c r="G545">
        <f>VLOOKUP($B545,Sheet3!$B:$G,5,0)</f>
        <v>46</v>
      </c>
    </row>
    <row r="546" spans="1:7">
      <c r="A546">
        <v>241422</v>
      </c>
      <c r="B546" t="s">
        <v>552</v>
      </c>
      <c r="C546">
        <f>VLOOKUP($B546,Sheet3!$B:$G,2,0)</f>
        <v>80</v>
      </c>
      <c r="D546">
        <f>VLOOKUP($B546,Sheet3!$B:$G,3,0)</f>
        <v>65</v>
      </c>
      <c r="E546">
        <f>VLOOKUP($B546,Sheet3!$B:$G,4,0)</f>
        <v>56</v>
      </c>
      <c r="F546">
        <f>VLOOKUP($B546,Sheet3!$B:$G,6,0)</f>
        <v>64</v>
      </c>
      <c r="G546">
        <f>VLOOKUP($B546,Sheet3!$B:$G,5,0)</f>
        <v>68</v>
      </c>
    </row>
    <row r="547" spans="1:7">
      <c r="A547">
        <v>241424</v>
      </c>
      <c r="B547" t="s">
        <v>553</v>
      </c>
      <c r="C547">
        <f>VLOOKUP($B547,Sheet3!$B:$G,2,0)</f>
        <v>61</v>
      </c>
      <c r="D547">
        <f>VLOOKUP($B547,Sheet3!$B:$G,3,0)</f>
        <v>42</v>
      </c>
      <c r="E547">
        <f>VLOOKUP($B547,Sheet3!$B:$G,4,0)</f>
        <v>77</v>
      </c>
      <c r="F547">
        <f>VLOOKUP($B547,Sheet3!$B:$G,6,0)</f>
        <v>34</v>
      </c>
      <c r="G547">
        <f>VLOOKUP($B547,Sheet3!$B:$G,5,0)</f>
        <v>45</v>
      </c>
    </row>
    <row r="548" spans="1:7">
      <c r="A548">
        <v>241425</v>
      </c>
      <c r="B548" t="s">
        <v>554</v>
      </c>
      <c r="C548" t="str">
        <f>VLOOKUP($B548,Sheet3!$B:$G,2,0)</f>
        <v>未扫，不计排名</v>
      </c>
      <c r="D548" t="str">
        <f>VLOOKUP($B548,Sheet3!$B:$G,3,0)</f>
        <v>未扫，不计排名</v>
      </c>
      <c r="E548" t="str">
        <f>VLOOKUP($B548,Sheet3!$B:$G,4,0)</f>
        <v>未扫，不计排名</v>
      </c>
      <c r="F548" t="str">
        <f>VLOOKUP($B548,Sheet3!$B:$G,6,0)</f>
        <v>未扫，不计排名</v>
      </c>
      <c r="G548" t="str">
        <f>VLOOKUP($B548,Sheet3!$B:$G,5,0)</f>
        <v>未扫，不计排名</v>
      </c>
    </row>
    <row r="549" spans="1:7">
      <c r="A549">
        <v>241426</v>
      </c>
      <c r="B549" t="s">
        <v>555</v>
      </c>
      <c r="C549">
        <f>VLOOKUP($B549,Sheet3!$B:$G,2,0)</f>
        <v>102</v>
      </c>
      <c r="D549">
        <f>VLOOKUP($B549,Sheet3!$B:$G,3,0)</f>
        <v>67</v>
      </c>
      <c r="E549">
        <f>VLOOKUP($B549,Sheet3!$B:$G,4,0)</f>
        <v>93.5</v>
      </c>
      <c r="F549">
        <f>VLOOKUP($B549,Sheet3!$B:$G,6,0)</f>
        <v>78</v>
      </c>
      <c r="G549">
        <f>VLOOKUP($B549,Sheet3!$B:$G,5,0)</f>
        <v>66</v>
      </c>
    </row>
    <row r="550" spans="1:7">
      <c r="A550">
        <v>241427</v>
      </c>
      <c r="B550" t="s">
        <v>556</v>
      </c>
      <c r="C550">
        <f>VLOOKUP($B550,Sheet3!$B:$G,2,0)</f>
        <v>71</v>
      </c>
      <c r="D550">
        <f>VLOOKUP($B550,Sheet3!$B:$G,3,0)</f>
        <v>35</v>
      </c>
      <c r="E550">
        <f>VLOOKUP($B550,Sheet3!$B:$G,4,0)</f>
        <v>48</v>
      </c>
      <c r="F550">
        <f>VLOOKUP($B550,Sheet3!$B:$G,6,0)</f>
        <v>55</v>
      </c>
      <c r="G550">
        <f>VLOOKUP($B550,Sheet3!$B:$G,5,0)</f>
        <v>33</v>
      </c>
    </row>
    <row r="551" spans="1:7">
      <c r="A551">
        <v>241428</v>
      </c>
      <c r="B551" t="s">
        <v>557</v>
      </c>
      <c r="C551">
        <f>VLOOKUP($B551,Sheet3!$B:$G,2,0)</f>
        <v>83</v>
      </c>
      <c r="D551">
        <f>VLOOKUP($B551,Sheet3!$B:$G,3,0)</f>
        <v>82</v>
      </c>
      <c r="E551">
        <f>VLOOKUP($B551,Sheet3!$B:$G,4,0)</f>
        <v>99</v>
      </c>
      <c r="F551">
        <f>VLOOKUP($B551,Sheet3!$B:$G,6,0)</f>
        <v>64</v>
      </c>
      <c r="G551">
        <f>VLOOKUP($B551,Sheet3!$B:$G,5,0)</f>
        <v>45</v>
      </c>
    </row>
    <row r="552" spans="1:7">
      <c r="A552">
        <v>241429</v>
      </c>
      <c r="B552" t="s">
        <v>558</v>
      </c>
      <c r="C552">
        <f>VLOOKUP($B552,Sheet3!$B:$G,2,0)</f>
        <v>86</v>
      </c>
      <c r="D552">
        <f>VLOOKUP($B552,Sheet3!$B:$G,3,0)</f>
        <v>92</v>
      </c>
      <c r="E552">
        <f>VLOOKUP($B552,Sheet3!$B:$G,4,0)</f>
        <v>84</v>
      </c>
      <c r="F552">
        <f>VLOOKUP($B552,Sheet3!$B:$G,6,0)</f>
        <v>59</v>
      </c>
      <c r="G552">
        <f>VLOOKUP($B552,Sheet3!$B:$G,5,0)</f>
        <v>73</v>
      </c>
    </row>
    <row r="553" spans="1:7">
      <c r="A553">
        <v>241430</v>
      </c>
      <c r="B553" t="s">
        <v>559</v>
      </c>
      <c r="C553">
        <f>VLOOKUP($B553,Sheet3!$B:$G,2,0)</f>
        <v>65</v>
      </c>
      <c r="D553">
        <f>VLOOKUP($B553,Sheet3!$B:$G,3,0)</f>
        <v>58</v>
      </c>
      <c r="E553">
        <f>VLOOKUP($B553,Sheet3!$B:$G,4,0)</f>
        <v>45</v>
      </c>
      <c r="F553">
        <f>VLOOKUP($B553,Sheet3!$B:$G,6,0)</f>
        <v>64</v>
      </c>
      <c r="G553">
        <f>VLOOKUP($B553,Sheet3!$B:$G,5,0)</f>
        <v>62</v>
      </c>
    </row>
    <row r="554" spans="1:7">
      <c r="A554">
        <v>241433</v>
      </c>
      <c r="B554" t="s">
        <v>560</v>
      </c>
      <c r="C554">
        <f>VLOOKUP($B554,Sheet3!$B:$G,2,0)</f>
        <v>87</v>
      </c>
      <c r="D554">
        <f>VLOOKUP($B554,Sheet3!$B:$G,3,0)</f>
        <v>52</v>
      </c>
      <c r="E554">
        <f>VLOOKUP($B554,Sheet3!$B:$G,4,0)</f>
        <v>51</v>
      </c>
      <c r="F554">
        <f>VLOOKUP($B554,Sheet3!$B:$G,6,0)</f>
        <v>77</v>
      </c>
      <c r="G554">
        <f>VLOOKUP($B554,Sheet3!$B:$G,5,0)</f>
        <v>62</v>
      </c>
    </row>
    <row r="555" spans="1:7">
      <c r="A555">
        <v>241434</v>
      </c>
      <c r="B555" t="s">
        <v>561</v>
      </c>
      <c r="C555">
        <f>VLOOKUP($B555,Sheet3!$B:$G,2,0)</f>
        <v>63</v>
      </c>
      <c r="D555">
        <f>VLOOKUP($B555,Sheet3!$B:$G,3,0)</f>
        <v>74</v>
      </c>
      <c r="E555">
        <f>VLOOKUP($B555,Sheet3!$B:$G,4,0)</f>
        <v>106</v>
      </c>
      <c r="F555">
        <f>VLOOKUP($B555,Sheet3!$B:$G,6,0)</f>
        <v>68</v>
      </c>
      <c r="G555">
        <f>VLOOKUP($B555,Sheet3!$B:$G,5,0)</f>
        <v>69</v>
      </c>
    </row>
    <row r="556" spans="1:7">
      <c r="A556">
        <v>241435</v>
      </c>
      <c r="B556" t="s">
        <v>562</v>
      </c>
      <c r="C556" t="str">
        <f>VLOOKUP($B556,Sheet3!$B:$G,2,0)</f>
        <v>未扫，不计排名</v>
      </c>
      <c r="D556" t="str">
        <f>VLOOKUP($B556,Sheet3!$B:$G,3,0)</f>
        <v>未扫，不计排名</v>
      </c>
      <c r="E556" t="str">
        <f>VLOOKUP($B556,Sheet3!$B:$G,4,0)</f>
        <v>未扫，不计排名</v>
      </c>
      <c r="F556" t="str">
        <f>VLOOKUP($B556,Sheet3!$B:$G,6,0)</f>
        <v>未扫，不计排名</v>
      </c>
      <c r="G556" t="str">
        <f>VLOOKUP($B556,Sheet3!$B:$G,5,0)</f>
        <v>未扫，不计排名</v>
      </c>
    </row>
    <row r="557" spans="1:7">
      <c r="A557">
        <v>241437</v>
      </c>
      <c r="B557" t="s">
        <v>563</v>
      </c>
      <c r="C557">
        <f>VLOOKUP($B557,Sheet3!$B:$G,2,0)</f>
        <v>86</v>
      </c>
      <c r="D557">
        <f>VLOOKUP($B557,Sheet3!$B:$G,3,0)</f>
        <v>50</v>
      </c>
      <c r="E557">
        <f>VLOOKUP($B557,Sheet3!$B:$G,4,0)</f>
        <v>74</v>
      </c>
      <c r="F557">
        <f>VLOOKUP($B557,Sheet3!$B:$G,6,0)</f>
        <v>57</v>
      </c>
      <c r="G557">
        <f>VLOOKUP($B557,Sheet3!$B:$G,5,0)</f>
        <v>61</v>
      </c>
    </row>
    <row r="558" spans="1:7">
      <c r="A558">
        <v>241438</v>
      </c>
      <c r="B558" t="s">
        <v>564</v>
      </c>
      <c r="C558">
        <f>VLOOKUP($B558,Sheet3!$B:$G,2,0)</f>
        <v>90</v>
      </c>
      <c r="D558">
        <f>VLOOKUP($B558,Sheet3!$B:$G,3,0)</f>
        <v>52</v>
      </c>
      <c r="E558">
        <f>VLOOKUP($B558,Sheet3!$B:$G,4,0)</f>
        <v>47</v>
      </c>
      <c r="F558">
        <f>VLOOKUP($B558,Sheet3!$B:$G,6,0)</f>
        <v>64</v>
      </c>
      <c r="G558">
        <f>VLOOKUP($B558,Sheet3!$B:$G,5,0)</f>
        <v>41</v>
      </c>
    </row>
    <row r="559" spans="1:7">
      <c r="A559">
        <v>241439</v>
      </c>
      <c r="B559" t="s">
        <v>565</v>
      </c>
      <c r="C559">
        <f>VLOOKUP($B559,Sheet3!$B:$G,2,0)</f>
        <v>65</v>
      </c>
      <c r="D559">
        <f>VLOOKUP($B559,Sheet3!$B:$G,3,0)</f>
        <v>48</v>
      </c>
      <c r="E559">
        <f>VLOOKUP($B559,Sheet3!$B:$G,4,0)</f>
        <v>51.5</v>
      </c>
      <c r="F559">
        <f>VLOOKUP($B559,Sheet3!$B:$G,6,0)</f>
        <v>65</v>
      </c>
      <c r="G559">
        <f>VLOOKUP($B559,Sheet3!$B:$G,5,0)</f>
        <v>65</v>
      </c>
    </row>
    <row r="560" spans="1:7">
      <c r="A560">
        <v>241440</v>
      </c>
      <c r="B560" t="s">
        <v>566</v>
      </c>
      <c r="C560">
        <f>VLOOKUP($B560,Sheet3!$B:$G,2,0)</f>
        <v>87</v>
      </c>
      <c r="D560">
        <f>VLOOKUP($B560,Sheet3!$B:$G,3,0)</f>
        <v>51</v>
      </c>
      <c r="E560">
        <f>VLOOKUP($B560,Sheet3!$B:$G,4,0)</f>
        <v>71.5</v>
      </c>
      <c r="F560">
        <f>VLOOKUP($B560,Sheet3!$B:$G,6,0)</f>
        <v>62</v>
      </c>
      <c r="G560">
        <f>VLOOKUP($B560,Sheet3!$B:$G,5,0)</f>
        <v>50</v>
      </c>
    </row>
    <row r="561" spans="1:7">
      <c r="A561">
        <v>241441</v>
      </c>
      <c r="B561" t="s">
        <v>567</v>
      </c>
      <c r="C561">
        <f>VLOOKUP($B561,Sheet3!$B:$G,2,0)</f>
        <v>92</v>
      </c>
      <c r="D561">
        <f>VLOOKUP($B561,Sheet3!$B:$G,3,0)</f>
        <v>65</v>
      </c>
      <c r="E561">
        <f>VLOOKUP($B561,Sheet3!$B:$G,4,0)</f>
        <v>63</v>
      </c>
      <c r="F561">
        <f>VLOOKUP($B561,Sheet3!$B:$G,6,0)</f>
        <v>68</v>
      </c>
      <c r="G561">
        <f>VLOOKUP($B561,Sheet3!$B:$G,5,0)</f>
        <v>48</v>
      </c>
    </row>
    <row r="562" spans="1:7">
      <c r="A562">
        <v>241442</v>
      </c>
      <c r="B562" t="s">
        <v>568</v>
      </c>
      <c r="C562">
        <f>VLOOKUP($B562,Sheet3!$B:$G,2,0)</f>
        <v>52</v>
      </c>
      <c r="D562">
        <f>VLOOKUP($B562,Sheet3!$B:$G,3,0)</f>
        <v>58</v>
      </c>
      <c r="E562">
        <f>VLOOKUP($B562,Sheet3!$B:$G,4,0)</f>
        <v>58.5</v>
      </c>
      <c r="F562">
        <f>VLOOKUP($B562,Sheet3!$B:$G,6,0)</f>
        <v>53</v>
      </c>
      <c r="G562">
        <f>VLOOKUP($B562,Sheet3!$B:$G,5,0)</f>
        <v>47</v>
      </c>
    </row>
    <row r="563" spans="1:7">
      <c r="A563">
        <v>241444</v>
      </c>
      <c r="B563" t="s">
        <v>569</v>
      </c>
      <c r="C563" t="e">
        <f>VLOOKUP($B563,Sheet3!$B:$G,2,0)</f>
        <v>#N/A</v>
      </c>
      <c r="D563" t="e">
        <f>VLOOKUP($B563,Sheet3!$B:$G,3,0)</f>
        <v>#N/A</v>
      </c>
      <c r="E563" t="e">
        <f>VLOOKUP($B563,Sheet3!$B:$G,4,0)</f>
        <v>#N/A</v>
      </c>
      <c r="F563" t="e">
        <f>VLOOKUP($B563,Sheet3!$B:$G,6,0)</f>
        <v>#N/A</v>
      </c>
      <c r="G563" t="e">
        <f>VLOOKUP($B563,Sheet3!$B:$G,5,0)</f>
        <v>#N/A</v>
      </c>
    </row>
    <row r="564" spans="1:7">
      <c r="A564">
        <v>241445</v>
      </c>
      <c r="B564" t="s">
        <v>570</v>
      </c>
      <c r="C564" t="e">
        <f>VLOOKUP($B564,Sheet3!$B:$G,2,0)</f>
        <v>#N/A</v>
      </c>
      <c r="D564" t="e">
        <f>VLOOKUP($B564,Sheet3!$B:$G,3,0)</f>
        <v>#N/A</v>
      </c>
      <c r="E564" t="e">
        <f>VLOOKUP($B564,Sheet3!$B:$G,4,0)</f>
        <v>#N/A</v>
      </c>
      <c r="F564" t="e">
        <f>VLOOKUP($B564,Sheet3!$B:$G,6,0)</f>
        <v>#N/A</v>
      </c>
      <c r="G564" t="e">
        <f>VLOOKUP($B564,Sheet3!$B:$G,5,0)</f>
        <v>#N/A</v>
      </c>
    </row>
    <row r="565" spans="1:7">
      <c r="A565">
        <v>241447</v>
      </c>
      <c r="B565" t="s">
        <v>571</v>
      </c>
      <c r="C565" t="e">
        <f>VLOOKUP($B565,Sheet3!$B:$G,2,0)</f>
        <v>#N/A</v>
      </c>
      <c r="D565" t="e">
        <f>VLOOKUP($B565,Sheet3!$B:$G,3,0)</f>
        <v>#N/A</v>
      </c>
      <c r="E565" t="e">
        <f>VLOOKUP($B565,Sheet3!$B:$G,4,0)</f>
        <v>#N/A</v>
      </c>
      <c r="F565" t="e">
        <f>VLOOKUP($B565,Sheet3!$B:$G,6,0)</f>
        <v>#N/A</v>
      </c>
      <c r="G565" t="e">
        <f>VLOOKUP($B565,Sheet3!$B:$G,5,0)</f>
        <v>#N/A</v>
      </c>
    </row>
    <row r="566" spans="1:7">
      <c r="A566">
        <v>241448</v>
      </c>
      <c r="B566" t="s">
        <v>572</v>
      </c>
      <c r="C566" t="e">
        <f>VLOOKUP($B566,Sheet3!$B:$G,2,0)</f>
        <v>#N/A</v>
      </c>
      <c r="D566" t="e">
        <f>VLOOKUP($B566,Sheet3!$B:$G,3,0)</f>
        <v>#N/A</v>
      </c>
      <c r="E566" t="e">
        <f>VLOOKUP($B566,Sheet3!$B:$G,4,0)</f>
        <v>#N/A</v>
      </c>
      <c r="F566" t="e">
        <f>VLOOKUP($B566,Sheet3!$B:$G,6,0)</f>
        <v>#N/A</v>
      </c>
      <c r="G566" t="e">
        <f>VLOOKUP($B566,Sheet3!$B:$G,5,0)</f>
        <v>#N/A</v>
      </c>
    </row>
    <row r="567" spans="1:7">
      <c r="A567">
        <v>241501</v>
      </c>
      <c r="B567" t="s">
        <v>573</v>
      </c>
      <c r="C567">
        <f>VLOOKUP($B567,Sheet3!$B:$G,2,0)</f>
        <v>76</v>
      </c>
      <c r="D567">
        <f>VLOOKUP($B567,Sheet3!$B:$G,3,0)</f>
        <v>84</v>
      </c>
      <c r="E567">
        <f>VLOOKUP($B567,Sheet3!$B:$G,4,0)</f>
        <v>58.5</v>
      </c>
      <c r="F567">
        <f>VLOOKUP($B567,Sheet3!$B:$G,6,0)</f>
        <v>66</v>
      </c>
      <c r="G567">
        <f>VLOOKUP($B567,Sheet3!$B:$G,5,0)</f>
        <v>68</v>
      </c>
    </row>
    <row r="568" spans="1:7">
      <c r="A568">
        <v>241502</v>
      </c>
      <c r="B568" t="s">
        <v>574</v>
      </c>
      <c r="C568">
        <f>VLOOKUP($B568,Sheet3!$B:$G,2,0)</f>
        <v>85</v>
      </c>
      <c r="D568">
        <f>VLOOKUP($B568,Sheet3!$B:$G,3,0)</f>
        <v>60</v>
      </c>
      <c r="E568">
        <f>VLOOKUP($B568,Sheet3!$B:$G,4,0)</f>
        <v>80.5</v>
      </c>
      <c r="F568">
        <f>VLOOKUP($B568,Sheet3!$B:$G,6,0)</f>
        <v>72</v>
      </c>
      <c r="G568">
        <f>VLOOKUP($B568,Sheet3!$B:$G,5,0)</f>
        <v>52</v>
      </c>
    </row>
    <row r="569" spans="1:7">
      <c r="A569">
        <v>241503</v>
      </c>
      <c r="B569" t="s">
        <v>575</v>
      </c>
      <c r="C569">
        <f>VLOOKUP($B569,Sheet3!$B:$G,2,0)</f>
        <v>77</v>
      </c>
      <c r="D569">
        <f>VLOOKUP($B569,Sheet3!$B:$G,3,0)</f>
        <v>84</v>
      </c>
      <c r="E569">
        <f>VLOOKUP($B569,Sheet3!$B:$G,4,0)</f>
        <v>50.5</v>
      </c>
      <c r="F569">
        <f>VLOOKUP($B569,Sheet3!$B:$G,6,0)</f>
        <v>71</v>
      </c>
      <c r="G569">
        <f>VLOOKUP($B569,Sheet3!$B:$G,5,0)</f>
        <v>48</v>
      </c>
    </row>
    <row r="570" spans="1:7">
      <c r="A570">
        <v>241504</v>
      </c>
      <c r="B570" t="s">
        <v>576</v>
      </c>
      <c r="C570">
        <f>VLOOKUP($B570,Sheet3!$B:$G,2,0)</f>
        <v>90</v>
      </c>
      <c r="D570">
        <f>VLOOKUP($B570,Sheet3!$B:$G,3,0)</f>
        <v>83</v>
      </c>
      <c r="E570">
        <f>VLOOKUP($B570,Sheet3!$B:$G,4,0)</f>
        <v>92</v>
      </c>
      <c r="F570">
        <f>VLOOKUP($B570,Sheet3!$B:$G,6,0)</f>
        <v>77</v>
      </c>
      <c r="G570">
        <f>VLOOKUP($B570,Sheet3!$B:$G,5,0)</f>
        <v>74</v>
      </c>
    </row>
    <row r="571" spans="1:7">
      <c r="A571">
        <v>241505</v>
      </c>
      <c r="B571" t="s">
        <v>577</v>
      </c>
      <c r="C571">
        <f>VLOOKUP($B571,Sheet3!$B:$G,2,0)</f>
        <v>71</v>
      </c>
      <c r="D571">
        <f>VLOOKUP($B571,Sheet3!$B:$G,3,0)</f>
        <v>92</v>
      </c>
      <c r="E571">
        <f>VLOOKUP($B571,Sheet3!$B:$G,4,0)</f>
        <v>42.5</v>
      </c>
      <c r="F571">
        <f>VLOOKUP($B571,Sheet3!$B:$G,6,0)</f>
        <v>62</v>
      </c>
      <c r="G571">
        <f>VLOOKUP($B571,Sheet3!$B:$G,5,0)</f>
        <v>69</v>
      </c>
    </row>
    <row r="572" spans="1:7">
      <c r="A572">
        <v>241506</v>
      </c>
      <c r="B572" t="s">
        <v>578</v>
      </c>
      <c r="C572">
        <f>VLOOKUP($B572,Sheet3!$B:$G,2,0)</f>
        <v>79</v>
      </c>
      <c r="D572">
        <f>VLOOKUP($B572,Sheet3!$B:$G,3,0)</f>
        <v>48</v>
      </c>
      <c r="E572">
        <f>VLOOKUP($B572,Sheet3!$B:$G,4,0)</f>
        <v>65.5</v>
      </c>
      <c r="F572">
        <f>VLOOKUP($B572,Sheet3!$B:$G,6,0)</f>
        <v>84</v>
      </c>
      <c r="G572">
        <f>VLOOKUP($B572,Sheet3!$B:$G,5,0)</f>
        <v>57</v>
      </c>
    </row>
    <row r="573" spans="1:7">
      <c r="A573">
        <v>241508</v>
      </c>
      <c r="B573" t="s">
        <v>579</v>
      </c>
      <c r="C573">
        <f>VLOOKUP($B573,Sheet3!$B:$G,2,0)</f>
        <v>78</v>
      </c>
      <c r="D573">
        <f>VLOOKUP($B573,Sheet3!$B:$G,3,0)</f>
        <v>88</v>
      </c>
      <c r="E573">
        <f>VLOOKUP($B573,Sheet3!$B:$G,4,0)</f>
        <v>83.5</v>
      </c>
      <c r="F573">
        <f>VLOOKUP($B573,Sheet3!$B:$G,6,0)</f>
        <v>72</v>
      </c>
      <c r="G573">
        <f>VLOOKUP($B573,Sheet3!$B:$G,5,0)</f>
        <v>71</v>
      </c>
    </row>
    <row r="574" spans="1:7">
      <c r="A574">
        <v>241509</v>
      </c>
      <c r="B574" t="s">
        <v>580</v>
      </c>
      <c r="C574">
        <f>VLOOKUP($B574,Sheet3!$B:$G,2,0)</f>
        <v>92</v>
      </c>
      <c r="D574">
        <f>VLOOKUP($B574,Sheet3!$B:$G,3,0)</f>
        <v>99</v>
      </c>
      <c r="E574">
        <f>VLOOKUP($B574,Sheet3!$B:$G,4,0)</f>
        <v>87.5</v>
      </c>
      <c r="F574">
        <f>VLOOKUP($B574,Sheet3!$B:$G,6,0)</f>
        <v>77</v>
      </c>
      <c r="G574">
        <f>VLOOKUP($B574,Sheet3!$B:$G,5,0)</f>
        <v>66</v>
      </c>
    </row>
    <row r="575" spans="1:7">
      <c r="A575">
        <v>241510</v>
      </c>
      <c r="B575" t="s">
        <v>581</v>
      </c>
      <c r="C575">
        <f>VLOOKUP($B575,Sheet3!$B:$G,2,0)</f>
        <v>77</v>
      </c>
      <c r="D575">
        <f>VLOOKUP($B575,Sheet3!$B:$G,3,0)</f>
        <v>47</v>
      </c>
      <c r="E575">
        <f>VLOOKUP($B575,Sheet3!$B:$G,4,0)</f>
        <v>79</v>
      </c>
      <c r="F575">
        <f>VLOOKUP($B575,Sheet3!$B:$G,6,0)</f>
        <v>81</v>
      </c>
      <c r="G575">
        <f>VLOOKUP($B575,Sheet3!$B:$G,5,0)</f>
        <v>62</v>
      </c>
    </row>
    <row r="576" spans="1:7">
      <c r="A576">
        <v>241511</v>
      </c>
      <c r="B576" t="s">
        <v>582</v>
      </c>
      <c r="C576">
        <f>VLOOKUP($B576,Sheet3!$B:$G,2,0)</f>
        <v>73</v>
      </c>
      <c r="D576">
        <f>VLOOKUP($B576,Sheet3!$B:$G,3,0)</f>
        <v>64</v>
      </c>
      <c r="E576">
        <f>VLOOKUP($B576,Sheet3!$B:$G,4,0)</f>
        <v>77.5</v>
      </c>
      <c r="F576">
        <f>VLOOKUP($B576,Sheet3!$B:$G,6,0)</f>
        <v>67</v>
      </c>
      <c r="G576">
        <f>VLOOKUP($B576,Sheet3!$B:$G,5,0)</f>
        <v>70</v>
      </c>
    </row>
    <row r="577" spans="1:7">
      <c r="A577">
        <v>241513</v>
      </c>
      <c r="B577" t="s">
        <v>583</v>
      </c>
      <c r="C577">
        <f>VLOOKUP($B577,Sheet3!$B:$G,2,0)</f>
        <v>75</v>
      </c>
      <c r="D577">
        <f>VLOOKUP($B577,Sheet3!$B:$G,3,0)</f>
        <v>70</v>
      </c>
      <c r="E577">
        <f>VLOOKUP($B577,Sheet3!$B:$G,4,0)</f>
        <v>73.5</v>
      </c>
      <c r="F577">
        <f>VLOOKUP($B577,Sheet3!$B:$G,6,0)</f>
        <v>66</v>
      </c>
      <c r="G577">
        <f>VLOOKUP($B577,Sheet3!$B:$G,5,0)</f>
        <v>57</v>
      </c>
    </row>
    <row r="578" spans="1:7">
      <c r="A578">
        <v>241514</v>
      </c>
      <c r="B578" t="s">
        <v>584</v>
      </c>
      <c r="C578">
        <f>VLOOKUP($B578,Sheet3!$B:$G,2,0)</f>
        <v>75</v>
      </c>
      <c r="D578">
        <f>VLOOKUP($B578,Sheet3!$B:$G,3,0)</f>
        <v>88</v>
      </c>
      <c r="E578">
        <f>VLOOKUP($B578,Sheet3!$B:$G,4,0)</f>
        <v>80.5</v>
      </c>
      <c r="F578">
        <f>VLOOKUP($B578,Sheet3!$B:$G,6,0)</f>
        <v>74</v>
      </c>
      <c r="G578">
        <f>VLOOKUP($B578,Sheet3!$B:$G,5,0)</f>
        <v>57</v>
      </c>
    </row>
    <row r="579" spans="1:7">
      <c r="A579">
        <v>241515</v>
      </c>
      <c r="B579" t="s">
        <v>585</v>
      </c>
      <c r="C579">
        <f>VLOOKUP($B579,Sheet3!$B:$G,2,0)</f>
        <v>80</v>
      </c>
      <c r="D579">
        <f>VLOOKUP($B579,Sheet3!$B:$G,3,0)</f>
        <v>74</v>
      </c>
      <c r="E579">
        <f>VLOOKUP($B579,Sheet3!$B:$G,4,0)</f>
        <v>80.5</v>
      </c>
      <c r="F579">
        <f>VLOOKUP($B579,Sheet3!$B:$G,6,0)</f>
        <v>84</v>
      </c>
      <c r="G579">
        <f>VLOOKUP($B579,Sheet3!$B:$G,5,0)</f>
        <v>58</v>
      </c>
    </row>
    <row r="580" spans="1:7">
      <c r="A580">
        <v>241516</v>
      </c>
      <c r="B580" t="s">
        <v>586</v>
      </c>
      <c r="C580">
        <f>VLOOKUP($B580,Sheet3!$B:$G,2,0)</f>
        <v>70</v>
      </c>
      <c r="D580">
        <f>VLOOKUP($B580,Sheet3!$B:$G,3,0)</f>
        <v>66</v>
      </c>
      <c r="E580">
        <f>VLOOKUP($B580,Sheet3!$B:$G,4,0)</f>
        <v>74</v>
      </c>
      <c r="F580">
        <f>VLOOKUP($B580,Sheet3!$B:$G,6,0)</f>
        <v>51</v>
      </c>
      <c r="G580">
        <f>VLOOKUP($B580,Sheet3!$B:$G,5,0)</f>
        <v>56</v>
      </c>
    </row>
    <row r="581" spans="1:7">
      <c r="A581">
        <v>241517</v>
      </c>
      <c r="B581" t="s">
        <v>587</v>
      </c>
      <c r="C581">
        <f>VLOOKUP($B581,Sheet3!$B:$G,2,0)</f>
        <v>51</v>
      </c>
      <c r="D581">
        <f>VLOOKUP($B581,Sheet3!$B:$G,3,0)</f>
        <v>5</v>
      </c>
      <c r="E581" t="str">
        <f>VLOOKUP($B581,Sheet3!$B:$G,4,0)</f>
        <v>未扫，不计排名</v>
      </c>
      <c r="F581" t="str">
        <f>VLOOKUP($B581,Sheet3!$B:$G,6,0)</f>
        <v>未扫，不计排名</v>
      </c>
      <c r="G581">
        <f>VLOOKUP($B581,Sheet3!$B:$G,5,0)</f>
        <v>27</v>
      </c>
    </row>
    <row r="582" spans="1:7">
      <c r="A582">
        <v>241518</v>
      </c>
      <c r="B582" t="s">
        <v>588</v>
      </c>
      <c r="C582">
        <f>VLOOKUP($B582,Sheet3!$B:$G,2,0)</f>
        <v>86</v>
      </c>
      <c r="D582">
        <f>VLOOKUP($B582,Sheet3!$B:$G,3,0)</f>
        <v>63</v>
      </c>
      <c r="E582">
        <f>VLOOKUP($B582,Sheet3!$B:$G,4,0)</f>
        <v>61.5</v>
      </c>
      <c r="F582">
        <f>VLOOKUP($B582,Sheet3!$B:$G,6,0)</f>
        <v>66</v>
      </c>
      <c r="G582">
        <f>VLOOKUP($B582,Sheet3!$B:$G,5,0)</f>
        <v>63</v>
      </c>
    </row>
    <row r="583" spans="1:7">
      <c r="A583">
        <v>241519</v>
      </c>
      <c r="B583" t="s">
        <v>589</v>
      </c>
      <c r="C583">
        <f>VLOOKUP($B583,Sheet3!$B:$G,2,0)</f>
        <v>86</v>
      </c>
      <c r="D583">
        <f>VLOOKUP($B583,Sheet3!$B:$G,3,0)</f>
        <v>58</v>
      </c>
      <c r="E583">
        <f>VLOOKUP($B583,Sheet3!$B:$G,4,0)</f>
        <v>92.5</v>
      </c>
      <c r="F583">
        <f>VLOOKUP($B583,Sheet3!$B:$G,6,0)</f>
        <v>75</v>
      </c>
      <c r="G583">
        <f>VLOOKUP($B583,Sheet3!$B:$G,5,0)</f>
        <v>79</v>
      </c>
    </row>
    <row r="584" spans="1:7">
      <c r="A584">
        <v>241520</v>
      </c>
      <c r="B584" t="s">
        <v>590</v>
      </c>
      <c r="C584">
        <f>VLOOKUP($B584,Sheet3!$B:$G,2,0)</f>
        <v>88</v>
      </c>
      <c r="D584">
        <f>VLOOKUP($B584,Sheet3!$B:$G,3,0)</f>
        <v>68</v>
      </c>
      <c r="E584">
        <f>VLOOKUP($B584,Sheet3!$B:$G,4,0)</f>
        <v>82</v>
      </c>
      <c r="F584">
        <f>VLOOKUP($B584,Sheet3!$B:$G,6,0)</f>
        <v>60</v>
      </c>
      <c r="G584">
        <f>VLOOKUP($B584,Sheet3!$B:$G,5,0)</f>
        <v>46</v>
      </c>
    </row>
    <row r="585" spans="1:7">
      <c r="A585">
        <v>241521</v>
      </c>
      <c r="B585" t="s">
        <v>591</v>
      </c>
      <c r="C585">
        <f>VLOOKUP($B585,Sheet3!$B:$G,2,0)</f>
        <v>74</v>
      </c>
      <c r="D585">
        <f>VLOOKUP($B585,Sheet3!$B:$G,3,0)</f>
        <v>29</v>
      </c>
      <c r="E585">
        <f>VLOOKUP($B585,Sheet3!$B:$G,4,0)</f>
        <v>29.5</v>
      </c>
      <c r="F585">
        <f>VLOOKUP($B585,Sheet3!$B:$G,6,0)</f>
        <v>57</v>
      </c>
      <c r="G585">
        <f>VLOOKUP($B585,Sheet3!$B:$G,5,0)</f>
        <v>48</v>
      </c>
    </row>
    <row r="586" spans="1:7">
      <c r="A586">
        <v>241522</v>
      </c>
      <c r="B586" t="s">
        <v>592</v>
      </c>
      <c r="C586">
        <f>VLOOKUP($B586,Sheet3!$B:$G,2,0)</f>
        <v>69</v>
      </c>
      <c r="D586">
        <f>VLOOKUP($B586,Sheet3!$B:$G,3,0)</f>
        <v>41</v>
      </c>
      <c r="E586">
        <f>VLOOKUP($B586,Sheet3!$B:$G,4,0)</f>
        <v>41</v>
      </c>
      <c r="F586">
        <f>VLOOKUP($B586,Sheet3!$B:$G,6,0)</f>
        <v>79</v>
      </c>
      <c r="G586">
        <f>VLOOKUP($B586,Sheet3!$B:$G,5,0)</f>
        <v>37</v>
      </c>
    </row>
    <row r="587" spans="1:7">
      <c r="A587">
        <v>241523</v>
      </c>
      <c r="B587" t="s">
        <v>593</v>
      </c>
      <c r="C587">
        <f>VLOOKUP($B587,Sheet3!$B:$G,2,0)</f>
        <v>92</v>
      </c>
      <c r="D587">
        <f>VLOOKUP($B587,Sheet3!$B:$G,3,0)</f>
        <v>71</v>
      </c>
      <c r="E587">
        <f>VLOOKUP($B587,Sheet3!$B:$G,4,0)</f>
        <v>112</v>
      </c>
      <c r="F587">
        <f>VLOOKUP($B587,Sheet3!$B:$G,6,0)</f>
        <v>78</v>
      </c>
      <c r="G587">
        <f>VLOOKUP($B587,Sheet3!$B:$G,5,0)</f>
        <v>55</v>
      </c>
    </row>
    <row r="588" spans="1:7">
      <c r="A588">
        <v>241524</v>
      </c>
      <c r="B588" t="s">
        <v>594</v>
      </c>
      <c r="C588">
        <f>VLOOKUP($B588,Sheet3!$B:$G,2,0)</f>
        <v>83</v>
      </c>
      <c r="D588">
        <f>VLOOKUP($B588,Sheet3!$B:$G,3,0)</f>
        <v>70</v>
      </c>
      <c r="E588">
        <f>VLOOKUP($B588,Sheet3!$B:$G,4,0)</f>
        <v>83</v>
      </c>
      <c r="F588">
        <f>VLOOKUP($B588,Sheet3!$B:$G,6,0)</f>
        <v>69</v>
      </c>
      <c r="G588">
        <f>VLOOKUP($B588,Sheet3!$B:$G,5,0)</f>
        <v>62</v>
      </c>
    </row>
    <row r="589" spans="1:7">
      <c r="A589">
        <v>241525</v>
      </c>
      <c r="B589" t="s">
        <v>595</v>
      </c>
      <c r="C589">
        <f>VLOOKUP($B589,Sheet3!$B:$G,2,0)</f>
        <v>92</v>
      </c>
      <c r="D589">
        <f>VLOOKUP($B589,Sheet3!$B:$G,3,0)</f>
        <v>65</v>
      </c>
      <c r="E589">
        <f>VLOOKUP($B589,Sheet3!$B:$G,4,0)</f>
        <v>40.5</v>
      </c>
      <c r="F589">
        <f>VLOOKUP($B589,Sheet3!$B:$G,6,0)</f>
        <v>69</v>
      </c>
      <c r="G589">
        <f>VLOOKUP($B589,Sheet3!$B:$G,5,0)</f>
        <v>72</v>
      </c>
    </row>
    <row r="590" spans="1:7">
      <c r="A590">
        <v>241526</v>
      </c>
      <c r="B590" t="s">
        <v>596</v>
      </c>
      <c r="C590">
        <f>VLOOKUP($B590,Sheet3!$B:$G,2,0)</f>
        <v>85</v>
      </c>
      <c r="D590">
        <f>VLOOKUP($B590,Sheet3!$B:$G,3,0)</f>
        <v>77</v>
      </c>
      <c r="E590">
        <f>VLOOKUP($B590,Sheet3!$B:$G,4,0)</f>
        <v>91.5</v>
      </c>
      <c r="F590">
        <f>VLOOKUP($B590,Sheet3!$B:$G,6,0)</f>
        <v>68</v>
      </c>
      <c r="G590">
        <f>VLOOKUP($B590,Sheet3!$B:$G,5,0)</f>
        <v>59</v>
      </c>
    </row>
    <row r="591" spans="1:7">
      <c r="A591">
        <v>241527</v>
      </c>
      <c r="B591" t="s">
        <v>597</v>
      </c>
      <c r="C591">
        <f>VLOOKUP($B591,Sheet3!$B:$G,2,0)</f>
        <v>82</v>
      </c>
      <c r="D591">
        <f>VLOOKUP($B591,Sheet3!$B:$G,3,0)</f>
        <v>45</v>
      </c>
      <c r="E591">
        <f>VLOOKUP($B591,Sheet3!$B:$G,4,0)</f>
        <v>57</v>
      </c>
      <c r="F591">
        <f>VLOOKUP($B591,Sheet3!$B:$G,6,0)</f>
        <v>64</v>
      </c>
      <c r="G591">
        <f>VLOOKUP($B591,Sheet3!$B:$G,5,0)</f>
        <v>31</v>
      </c>
    </row>
    <row r="592" spans="1:7">
      <c r="A592">
        <v>241528</v>
      </c>
      <c r="B592" t="s">
        <v>598</v>
      </c>
      <c r="C592">
        <f>VLOOKUP($B592,Sheet3!$B:$G,2,0)</f>
        <v>67</v>
      </c>
      <c r="D592">
        <f>VLOOKUP($B592,Sheet3!$B:$G,3,0)</f>
        <v>55</v>
      </c>
      <c r="E592">
        <f>VLOOKUP($B592,Sheet3!$B:$G,4,0)</f>
        <v>43.5</v>
      </c>
      <c r="F592">
        <f>VLOOKUP($B592,Sheet3!$B:$G,6,0)</f>
        <v>44</v>
      </c>
      <c r="G592">
        <f>VLOOKUP($B592,Sheet3!$B:$G,5,0)</f>
        <v>48</v>
      </c>
    </row>
    <row r="593" spans="1:7">
      <c r="A593">
        <v>241529</v>
      </c>
      <c r="B593" t="s">
        <v>599</v>
      </c>
      <c r="C593">
        <f>VLOOKUP($B593,Sheet3!$B:$G,2,0)</f>
        <v>84</v>
      </c>
      <c r="D593">
        <f>VLOOKUP($B593,Sheet3!$B:$G,3,0)</f>
        <v>77</v>
      </c>
      <c r="E593">
        <f>VLOOKUP($B593,Sheet3!$B:$G,4,0)</f>
        <v>77</v>
      </c>
      <c r="F593">
        <f>VLOOKUP($B593,Sheet3!$B:$G,6,0)</f>
        <v>58</v>
      </c>
      <c r="G593">
        <f>VLOOKUP($B593,Sheet3!$B:$G,5,0)</f>
        <v>60</v>
      </c>
    </row>
    <row r="594" spans="1:7">
      <c r="A594">
        <v>241530</v>
      </c>
      <c r="B594" t="s">
        <v>600</v>
      </c>
      <c r="C594">
        <f>VLOOKUP($B594,Sheet3!$B:$G,2,0)</f>
        <v>94</v>
      </c>
      <c r="D594">
        <f>VLOOKUP($B594,Sheet3!$B:$G,3,0)</f>
        <v>86</v>
      </c>
      <c r="E594">
        <f>VLOOKUP($B594,Sheet3!$B:$G,4,0)</f>
        <v>97</v>
      </c>
      <c r="F594">
        <f>VLOOKUP($B594,Sheet3!$B:$G,6,0)</f>
        <v>82</v>
      </c>
      <c r="G594">
        <f>VLOOKUP($B594,Sheet3!$B:$G,5,0)</f>
        <v>74</v>
      </c>
    </row>
    <row r="595" spans="1:7">
      <c r="A595">
        <v>241531</v>
      </c>
      <c r="B595" t="s">
        <v>601</v>
      </c>
      <c r="C595">
        <f>VLOOKUP($B595,Sheet3!$B:$G,2,0)</f>
        <v>81</v>
      </c>
      <c r="D595">
        <f>VLOOKUP($B595,Sheet3!$B:$G,3,0)</f>
        <v>84</v>
      </c>
      <c r="E595">
        <f>VLOOKUP($B595,Sheet3!$B:$G,4,0)</f>
        <v>90</v>
      </c>
      <c r="F595">
        <f>VLOOKUP($B595,Sheet3!$B:$G,6,0)</f>
        <v>77</v>
      </c>
      <c r="G595">
        <f>VLOOKUP($B595,Sheet3!$B:$G,5,0)</f>
        <v>50</v>
      </c>
    </row>
    <row r="596" spans="1:7">
      <c r="A596">
        <v>241532</v>
      </c>
      <c r="B596" t="s">
        <v>602</v>
      </c>
      <c r="C596">
        <f>VLOOKUP($B596,Sheet3!$B:$G,2,0)</f>
        <v>88</v>
      </c>
      <c r="D596">
        <f>VLOOKUP($B596,Sheet3!$B:$G,3,0)</f>
        <v>93</v>
      </c>
      <c r="E596">
        <f>VLOOKUP($B596,Sheet3!$B:$G,4,0)</f>
        <v>93.5</v>
      </c>
      <c r="F596">
        <f>VLOOKUP($B596,Sheet3!$B:$G,6,0)</f>
        <v>59</v>
      </c>
      <c r="G596">
        <f>VLOOKUP($B596,Sheet3!$B:$G,5,0)</f>
        <v>55</v>
      </c>
    </row>
    <row r="597" spans="1:7">
      <c r="A597">
        <v>241533</v>
      </c>
      <c r="B597" t="s">
        <v>603</v>
      </c>
      <c r="C597">
        <f>VLOOKUP($B597,Sheet3!$B:$G,2,0)</f>
        <v>44</v>
      </c>
      <c r="D597">
        <f>VLOOKUP($B597,Sheet3!$B:$G,3,0)</f>
        <v>24</v>
      </c>
      <c r="E597">
        <f>VLOOKUP($B597,Sheet3!$B:$G,4,0)</f>
        <v>37.5</v>
      </c>
      <c r="F597">
        <f>VLOOKUP($B597,Sheet3!$B:$G,6,0)</f>
        <v>48</v>
      </c>
      <c r="G597">
        <f>VLOOKUP($B597,Sheet3!$B:$G,5,0)</f>
        <v>39</v>
      </c>
    </row>
    <row r="598" spans="1:7">
      <c r="A598">
        <v>241534</v>
      </c>
      <c r="B598" t="s">
        <v>604</v>
      </c>
      <c r="C598">
        <f>VLOOKUP($B598,Sheet3!$B:$G,2,0)</f>
        <v>85</v>
      </c>
      <c r="D598">
        <f>VLOOKUP($B598,Sheet3!$B:$G,3,0)</f>
        <v>72</v>
      </c>
      <c r="E598">
        <f>VLOOKUP($B598,Sheet3!$B:$G,4,0)</f>
        <v>76</v>
      </c>
      <c r="F598">
        <f>VLOOKUP($B598,Sheet3!$B:$G,6,0)</f>
        <v>70</v>
      </c>
      <c r="G598">
        <f>VLOOKUP($B598,Sheet3!$B:$G,5,0)</f>
        <v>50</v>
      </c>
    </row>
    <row r="599" spans="1:7">
      <c r="A599">
        <v>241535</v>
      </c>
      <c r="B599" t="s">
        <v>605</v>
      </c>
      <c r="C599">
        <f>VLOOKUP($B599,Sheet3!$B:$G,2,0)</f>
        <v>71</v>
      </c>
      <c r="D599">
        <f>VLOOKUP($B599,Sheet3!$B:$G,3,0)</f>
        <v>68</v>
      </c>
      <c r="E599">
        <f>VLOOKUP($B599,Sheet3!$B:$G,4,0)</f>
        <v>43.5</v>
      </c>
      <c r="F599">
        <f>VLOOKUP($B599,Sheet3!$B:$G,6,0)</f>
        <v>59</v>
      </c>
      <c r="G599">
        <f>VLOOKUP($B599,Sheet3!$B:$G,5,0)</f>
        <v>61</v>
      </c>
    </row>
    <row r="600" spans="1:7">
      <c r="A600">
        <v>241536</v>
      </c>
      <c r="B600" t="s">
        <v>606</v>
      </c>
      <c r="C600">
        <f>VLOOKUP($B600,Sheet3!$B:$G,2,0)</f>
        <v>78</v>
      </c>
      <c r="D600">
        <f>VLOOKUP($B600,Sheet3!$B:$G,3,0)</f>
        <v>54</v>
      </c>
      <c r="E600">
        <f>VLOOKUP($B600,Sheet3!$B:$G,4,0)</f>
        <v>66</v>
      </c>
      <c r="F600">
        <f>VLOOKUP($B600,Sheet3!$B:$G,6,0)</f>
        <v>58</v>
      </c>
      <c r="G600">
        <f>VLOOKUP($B600,Sheet3!$B:$G,5,0)</f>
        <v>53</v>
      </c>
    </row>
    <row r="601" spans="1:7">
      <c r="A601">
        <v>241537</v>
      </c>
      <c r="B601" t="s">
        <v>607</v>
      </c>
      <c r="C601">
        <f>VLOOKUP($B601,Sheet3!$B:$G,2,0)</f>
        <v>94</v>
      </c>
      <c r="D601">
        <f>VLOOKUP($B601,Sheet3!$B:$G,3,0)</f>
        <v>71</v>
      </c>
      <c r="E601">
        <f>VLOOKUP($B601,Sheet3!$B:$G,4,0)</f>
        <v>92.5</v>
      </c>
      <c r="F601">
        <f>VLOOKUP($B601,Sheet3!$B:$G,6,0)</f>
        <v>76</v>
      </c>
      <c r="G601">
        <f>VLOOKUP($B601,Sheet3!$B:$G,5,0)</f>
        <v>77</v>
      </c>
    </row>
    <row r="602" spans="1:7">
      <c r="A602">
        <v>241538</v>
      </c>
      <c r="B602" t="s">
        <v>608</v>
      </c>
      <c r="C602">
        <f>VLOOKUP($B602,Sheet3!$B:$G,2,0)</f>
        <v>44</v>
      </c>
      <c r="D602">
        <f>VLOOKUP($B602,Sheet3!$B:$G,3,0)</f>
        <v>12</v>
      </c>
      <c r="E602">
        <f>VLOOKUP($B602,Sheet3!$B:$G,4,0)</f>
        <v>44</v>
      </c>
      <c r="F602">
        <f>VLOOKUP($B602,Sheet3!$B:$G,6,0)</f>
        <v>48</v>
      </c>
      <c r="G602">
        <f>VLOOKUP($B602,Sheet3!$B:$G,5,0)</f>
        <v>46</v>
      </c>
    </row>
    <row r="603" spans="1:7">
      <c r="A603">
        <v>241539</v>
      </c>
      <c r="B603" t="s">
        <v>609</v>
      </c>
      <c r="C603">
        <f>VLOOKUP($B603,Sheet3!$B:$G,2,0)</f>
        <v>66</v>
      </c>
      <c r="D603">
        <f>VLOOKUP($B603,Sheet3!$B:$G,3,0)</f>
        <v>53</v>
      </c>
      <c r="E603">
        <f>VLOOKUP($B603,Sheet3!$B:$G,4,0)</f>
        <v>55</v>
      </c>
      <c r="F603">
        <f>VLOOKUP($B603,Sheet3!$B:$G,6,0)</f>
        <v>64</v>
      </c>
      <c r="G603">
        <f>VLOOKUP($B603,Sheet3!$B:$G,5,0)</f>
        <v>52</v>
      </c>
    </row>
    <row r="604" spans="1:7">
      <c r="A604">
        <v>241540</v>
      </c>
      <c r="B604" t="s">
        <v>610</v>
      </c>
      <c r="C604">
        <f>VLOOKUP($B604,Sheet3!$B:$G,2,0)</f>
        <v>84</v>
      </c>
      <c r="D604">
        <f>VLOOKUP($B604,Sheet3!$B:$G,3,0)</f>
        <v>72</v>
      </c>
      <c r="E604">
        <f>VLOOKUP($B604,Sheet3!$B:$G,4,0)</f>
        <v>84</v>
      </c>
      <c r="F604">
        <f>VLOOKUP($B604,Sheet3!$B:$G,6,0)</f>
        <v>64</v>
      </c>
      <c r="G604">
        <f>VLOOKUP($B604,Sheet3!$B:$G,5,0)</f>
        <v>69</v>
      </c>
    </row>
    <row r="605" spans="1:7">
      <c r="A605">
        <v>241541</v>
      </c>
      <c r="B605" t="s">
        <v>611</v>
      </c>
      <c r="C605">
        <f>VLOOKUP($B605,Sheet3!$B:$G,2,0)</f>
        <v>81</v>
      </c>
      <c r="D605">
        <f>VLOOKUP($B605,Sheet3!$B:$G,3,0)</f>
        <v>87</v>
      </c>
      <c r="E605">
        <f>VLOOKUP($B605,Sheet3!$B:$G,4,0)</f>
        <v>74.5</v>
      </c>
      <c r="F605">
        <f>VLOOKUP($B605,Sheet3!$B:$G,6,0)</f>
        <v>80</v>
      </c>
      <c r="G605">
        <f>VLOOKUP($B605,Sheet3!$B:$G,5,0)</f>
        <v>65</v>
      </c>
    </row>
    <row r="606" spans="1:7">
      <c r="A606">
        <v>241542</v>
      </c>
      <c r="B606" t="s">
        <v>612</v>
      </c>
      <c r="C606">
        <f>VLOOKUP($B606,Sheet3!$B:$G,2,0)</f>
        <v>87</v>
      </c>
      <c r="D606">
        <f>VLOOKUP($B606,Sheet3!$B:$G,3,0)</f>
        <v>47</v>
      </c>
      <c r="E606">
        <f>VLOOKUP($B606,Sheet3!$B:$G,4,0)</f>
        <v>68</v>
      </c>
      <c r="F606">
        <f>VLOOKUP($B606,Sheet3!$B:$G,6,0)</f>
        <v>62</v>
      </c>
      <c r="G606">
        <f>VLOOKUP($B606,Sheet3!$B:$G,5,0)</f>
        <v>58</v>
      </c>
    </row>
    <row r="607" spans="1:7">
      <c r="A607">
        <v>241543</v>
      </c>
      <c r="B607" t="s">
        <v>613</v>
      </c>
      <c r="C607">
        <f>VLOOKUP($B607,Sheet3!$B:$G,2,0)</f>
        <v>98</v>
      </c>
      <c r="D607">
        <f>VLOOKUP($B607,Sheet3!$B:$G,3,0)</f>
        <v>80</v>
      </c>
      <c r="E607">
        <f>VLOOKUP($B607,Sheet3!$B:$G,4,0)</f>
        <v>89.5</v>
      </c>
      <c r="F607">
        <f>VLOOKUP($B607,Sheet3!$B:$G,6,0)</f>
        <v>77</v>
      </c>
      <c r="G607">
        <f>VLOOKUP($B607,Sheet3!$B:$G,5,0)</f>
        <v>65</v>
      </c>
    </row>
    <row r="608" spans="1:7">
      <c r="A608">
        <v>241544</v>
      </c>
      <c r="B608" t="s">
        <v>614</v>
      </c>
      <c r="C608">
        <f>VLOOKUP($B608,Sheet3!$B:$G,2,0)</f>
        <v>76</v>
      </c>
      <c r="D608">
        <f>VLOOKUP($B608,Sheet3!$B:$G,3,0)</f>
        <v>85</v>
      </c>
      <c r="E608">
        <f>VLOOKUP($B608,Sheet3!$B:$G,4,0)</f>
        <v>93</v>
      </c>
      <c r="F608">
        <f>VLOOKUP($B608,Sheet3!$B:$G,6,0)</f>
        <v>55</v>
      </c>
      <c r="G608">
        <f>VLOOKUP($B608,Sheet3!$B:$G,5,0)</f>
        <v>61</v>
      </c>
    </row>
    <row r="609" spans="1:7">
      <c r="A609">
        <v>241601</v>
      </c>
      <c r="B609" t="s">
        <v>615</v>
      </c>
      <c r="C609">
        <f>VLOOKUP($B609,Sheet3!$B:$G,2,0)</f>
        <v>78</v>
      </c>
      <c r="D609">
        <f>VLOOKUP($B609,Sheet3!$B:$G,3,0)</f>
        <v>72</v>
      </c>
      <c r="E609">
        <f>VLOOKUP($B609,Sheet3!$B:$G,4,0)</f>
        <v>84</v>
      </c>
      <c r="F609">
        <f>VLOOKUP($B609,Sheet3!$B:$G,6,0)</f>
        <v>64</v>
      </c>
      <c r="G609">
        <f>VLOOKUP($B609,Sheet3!$B:$G,5,0)</f>
        <v>60</v>
      </c>
    </row>
    <row r="610" spans="1:7">
      <c r="A610">
        <v>241602</v>
      </c>
      <c r="B610" t="s">
        <v>616</v>
      </c>
      <c r="C610">
        <f>VLOOKUP($B610,Sheet3!$B:$G,2,0)</f>
        <v>82</v>
      </c>
      <c r="D610">
        <f>VLOOKUP($B610,Sheet3!$B:$G,3,0)</f>
        <v>88</v>
      </c>
      <c r="E610">
        <f>VLOOKUP($B610,Sheet3!$B:$G,4,0)</f>
        <v>70.5</v>
      </c>
      <c r="F610">
        <f>VLOOKUP($B610,Sheet3!$B:$G,6,0)</f>
        <v>76</v>
      </c>
      <c r="G610">
        <f>VLOOKUP($B610,Sheet3!$B:$G,5,0)</f>
        <v>62</v>
      </c>
    </row>
    <row r="611" spans="1:7">
      <c r="A611">
        <v>241603</v>
      </c>
      <c r="B611" t="s">
        <v>617</v>
      </c>
      <c r="C611">
        <f>VLOOKUP($B611,Sheet3!$B:$G,2,0)</f>
        <v>76</v>
      </c>
      <c r="D611">
        <f>VLOOKUP($B611,Sheet3!$B:$G,3,0)</f>
        <v>21</v>
      </c>
      <c r="E611">
        <f>VLOOKUP($B611,Sheet3!$B:$G,4,0)</f>
        <v>34</v>
      </c>
      <c r="F611">
        <f>VLOOKUP($B611,Sheet3!$B:$G,6,0)</f>
        <v>54</v>
      </c>
      <c r="G611">
        <f>VLOOKUP($B611,Sheet3!$B:$G,5,0)</f>
        <v>53</v>
      </c>
    </row>
    <row r="612" spans="1:7">
      <c r="A612">
        <v>241604</v>
      </c>
      <c r="B612" t="s">
        <v>618</v>
      </c>
      <c r="C612">
        <f>VLOOKUP($B612,Sheet3!$B:$G,2,0)</f>
        <v>83</v>
      </c>
      <c r="D612">
        <f>VLOOKUP($B612,Sheet3!$B:$G,3,0)</f>
        <v>51</v>
      </c>
      <c r="E612">
        <f>VLOOKUP($B612,Sheet3!$B:$G,4,0)</f>
        <v>100</v>
      </c>
      <c r="F612">
        <f>VLOOKUP($B612,Sheet3!$B:$G,6,0)</f>
        <v>77</v>
      </c>
      <c r="G612">
        <f>VLOOKUP($B612,Sheet3!$B:$G,5,0)</f>
        <v>67</v>
      </c>
    </row>
    <row r="613" spans="1:7">
      <c r="A613">
        <v>241605</v>
      </c>
      <c r="B613" t="s">
        <v>619</v>
      </c>
      <c r="C613">
        <f>VLOOKUP($B613,Sheet3!$B:$G,2,0)</f>
        <v>62</v>
      </c>
      <c r="D613">
        <f>VLOOKUP($B613,Sheet3!$B:$G,3,0)</f>
        <v>45</v>
      </c>
      <c r="E613">
        <f>VLOOKUP($B613,Sheet3!$B:$G,4,0)</f>
        <v>45</v>
      </c>
      <c r="F613">
        <f>VLOOKUP($B613,Sheet3!$B:$G,6,0)</f>
        <v>52</v>
      </c>
      <c r="G613">
        <f>VLOOKUP($B613,Sheet3!$B:$G,5,0)</f>
        <v>46</v>
      </c>
    </row>
    <row r="614" spans="1:7">
      <c r="A614">
        <v>241606</v>
      </c>
      <c r="B614" t="s">
        <v>620</v>
      </c>
      <c r="C614">
        <f>VLOOKUP($B614,Sheet3!$B:$G,2,0)</f>
        <v>72</v>
      </c>
      <c r="D614">
        <f>VLOOKUP($B614,Sheet3!$B:$G,3,0)</f>
        <v>83</v>
      </c>
      <c r="E614">
        <f>VLOOKUP($B614,Sheet3!$B:$G,4,0)</f>
        <v>57</v>
      </c>
      <c r="F614">
        <f>VLOOKUP($B614,Sheet3!$B:$G,6,0)</f>
        <v>69</v>
      </c>
      <c r="G614">
        <f>VLOOKUP($B614,Sheet3!$B:$G,5,0)</f>
        <v>56</v>
      </c>
    </row>
    <row r="615" spans="1:7">
      <c r="A615">
        <v>241607</v>
      </c>
      <c r="B615" t="s">
        <v>621</v>
      </c>
      <c r="C615">
        <f>VLOOKUP($B615,Sheet3!$B:$G,2,0)</f>
        <v>65</v>
      </c>
      <c r="D615">
        <f>VLOOKUP($B615,Sheet3!$B:$G,3,0)</f>
        <v>13</v>
      </c>
      <c r="E615">
        <f>VLOOKUP($B615,Sheet3!$B:$G,4,0)</f>
        <v>44</v>
      </c>
      <c r="F615">
        <f>VLOOKUP($B615,Sheet3!$B:$G,6,0)</f>
        <v>53</v>
      </c>
      <c r="G615">
        <f>VLOOKUP($B615,Sheet3!$B:$G,5,0)</f>
        <v>35</v>
      </c>
    </row>
    <row r="616" spans="1:7">
      <c r="A616">
        <v>241608</v>
      </c>
      <c r="B616" t="s">
        <v>622</v>
      </c>
      <c r="C616">
        <f>VLOOKUP($B616,Sheet3!$B:$G,2,0)</f>
        <v>87</v>
      </c>
      <c r="D616">
        <f>VLOOKUP($B616,Sheet3!$B:$G,3,0)</f>
        <v>78</v>
      </c>
      <c r="E616">
        <f>VLOOKUP($B616,Sheet3!$B:$G,4,0)</f>
        <v>87.5</v>
      </c>
      <c r="F616">
        <f>VLOOKUP($B616,Sheet3!$B:$G,6,0)</f>
        <v>68</v>
      </c>
      <c r="G616">
        <f>VLOOKUP($B616,Sheet3!$B:$G,5,0)</f>
        <v>79</v>
      </c>
    </row>
    <row r="617" spans="1:7">
      <c r="A617">
        <v>241610</v>
      </c>
      <c r="B617" t="s">
        <v>623</v>
      </c>
      <c r="C617" t="str">
        <f>VLOOKUP($B617,Sheet3!$B:$G,2,0)</f>
        <v>未扫，不计排名</v>
      </c>
      <c r="D617" t="str">
        <f>VLOOKUP($B617,Sheet3!$B:$G,3,0)</f>
        <v>未扫，不计排名</v>
      </c>
      <c r="E617" t="str">
        <f>VLOOKUP($B617,Sheet3!$B:$G,4,0)</f>
        <v>未扫，不计排名</v>
      </c>
      <c r="F617" t="str">
        <f>VLOOKUP($B617,Sheet3!$B:$G,6,0)</f>
        <v>未扫，不计排名</v>
      </c>
      <c r="G617" t="str">
        <f>VLOOKUP($B617,Sheet3!$B:$G,5,0)</f>
        <v>未扫，不计排名</v>
      </c>
    </row>
    <row r="618" spans="1:7">
      <c r="A618">
        <v>241611</v>
      </c>
      <c r="B618" t="s">
        <v>624</v>
      </c>
      <c r="C618">
        <f>VLOOKUP($B618,Sheet3!$B:$G,2,0)</f>
        <v>74</v>
      </c>
      <c r="D618">
        <f>VLOOKUP($B618,Sheet3!$B:$G,3,0)</f>
        <v>64</v>
      </c>
      <c r="E618">
        <f>VLOOKUP($B618,Sheet3!$B:$G,4,0)</f>
        <v>87.5</v>
      </c>
      <c r="F618">
        <f>VLOOKUP($B618,Sheet3!$B:$G,6,0)</f>
        <v>64</v>
      </c>
      <c r="G618">
        <f>VLOOKUP($B618,Sheet3!$B:$G,5,0)</f>
        <v>53</v>
      </c>
    </row>
    <row r="619" spans="1:7">
      <c r="A619">
        <v>241612</v>
      </c>
      <c r="B619" t="s">
        <v>625</v>
      </c>
      <c r="C619">
        <f>VLOOKUP($B619,Sheet3!$B:$G,2,0)</f>
        <v>86</v>
      </c>
      <c r="D619">
        <f>VLOOKUP($B619,Sheet3!$B:$G,3,0)</f>
        <v>81</v>
      </c>
      <c r="E619">
        <f>VLOOKUP($B619,Sheet3!$B:$G,4,0)</f>
        <v>84.5</v>
      </c>
      <c r="F619">
        <f>VLOOKUP($B619,Sheet3!$B:$G,6,0)</f>
        <v>77</v>
      </c>
      <c r="G619">
        <f>VLOOKUP($B619,Sheet3!$B:$G,5,0)</f>
        <v>57</v>
      </c>
    </row>
    <row r="620" spans="1:7">
      <c r="A620">
        <v>241613</v>
      </c>
      <c r="B620" t="s">
        <v>626</v>
      </c>
      <c r="C620">
        <f>VLOOKUP($B620,Sheet3!$B:$G,2,0)</f>
        <v>73</v>
      </c>
      <c r="D620">
        <f>VLOOKUP($B620,Sheet3!$B:$G,3,0)</f>
        <v>71</v>
      </c>
      <c r="E620">
        <f>VLOOKUP($B620,Sheet3!$B:$G,4,0)</f>
        <v>48.5</v>
      </c>
      <c r="F620">
        <f>VLOOKUP($B620,Sheet3!$B:$G,6,0)</f>
        <v>62</v>
      </c>
      <c r="G620">
        <f>VLOOKUP($B620,Sheet3!$B:$G,5,0)</f>
        <v>47</v>
      </c>
    </row>
    <row r="621" spans="1:7">
      <c r="A621">
        <v>241614</v>
      </c>
      <c r="B621" t="s">
        <v>627</v>
      </c>
      <c r="C621">
        <f>VLOOKUP($B621,Sheet3!$B:$G,2,0)</f>
        <v>71</v>
      </c>
      <c r="D621">
        <f>VLOOKUP($B621,Sheet3!$B:$G,3,0)</f>
        <v>42</v>
      </c>
      <c r="E621">
        <f>VLOOKUP($B621,Sheet3!$B:$G,4,0)</f>
        <v>56</v>
      </c>
      <c r="F621">
        <f>VLOOKUP($B621,Sheet3!$B:$G,6,0)</f>
        <v>54</v>
      </c>
      <c r="G621">
        <f>VLOOKUP($B621,Sheet3!$B:$G,5,0)</f>
        <v>51</v>
      </c>
    </row>
    <row r="622" spans="1:7">
      <c r="A622">
        <v>241615</v>
      </c>
      <c r="B622" t="s">
        <v>628</v>
      </c>
      <c r="C622">
        <f>VLOOKUP($B622,Sheet3!$B:$G,2,0)</f>
        <v>66</v>
      </c>
      <c r="D622">
        <f>VLOOKUP($B622,Sheet3!$B:$G,3,0)</f>
        <v>61</v>
      </c>
      <c r="E622">
        <f>VLOOKUP($B622,Sheet3!$B:$G,4,0)</f>
        <v>78</v>
      </c>
      <c r="F622">
        <f>VLOOKUP($B622,Sheet3!$B:$G,6,0)</f>
        <v>63</v>
      </c>
      <c r="G622">
        <f>VLOOKUP($B622,Sheet3!$B:$G,5,0)</f>
        <v>55</v>
      </c>
    </row>
    <row r="623" spans="1:7">
      <c r="A623">
        <v>241616</v>
      </c>
      <c r="B623" t="s">
        <v>629</v>
      </c>
      <c r="C623">
        <f>VLOOKUP($B623,Sheet3!$B:$G,2,0)</f>
        <v>74</v>
      </c>
      <c r="D623">
        <f>VLOOKUP($B623,Sheet3!$B:$G,3,0)</f>
        <v>66</v>
      </c>
      <c r="E623">
        <f>VLOOKUP($B623,Sheet3!$B:$G,4,0)</f>
        <v>71.5</v>
      </c>
      <c r="F623">
        <f>VLOOKUP($B623,Sheet3!$B:$G,6,0)</f>
        <v>61</v>
      </c>
      <c r="G623">
        <f>VLOOKUP($B623,Sheet3!$B:$G,5,0)</f>
        <v>59</v>
      </c>
    </row>
    <row r="624" spans="1:7">
      <c r="A624">
        <v>241619</v>
      </c>
      <c r="B624" t="s">
        <v>630</v>
      </c>
      <c r="C624">
        <f>VLOOKUP($B624,Sheet3!$B:$G,2,0)</f>
        <v>93</v>
      </c>
      <c r="D624">
        <f>VLOOKUP($B624,Sheet3!$B:$G,3,0)</f>
        <v>76</v>
      </c>
      <c r="E624">
        <f>VLOOKUP($B624,Sheet3!$B:$G,4,0)</f>
        <v>94.5</v>
      </c>
      <c r="F624">
        <f>VLOOKUP($B624,Sheet3!$B:$G,6,0)</f>
        <v>76</v>
      </c>
      <c r="G624">
        <f>VLOOKUP($B624,Sheet3!$B:$G,5,0)</f>
        <v>67</v>
      </c>
    </row>
    <row r="625" spans="1:7">
      <c r="A625">
        <v>241620</v>
      </c>
      <c r="B625" t="s">
        <v>631</v>
      </c>
      <c r="C625">
        <f>VLOOKUP($B625,Sheet3!$B:$G,2,0)</f>
        <v>55</v>
      </c>
      <c r="D625">
        <f>VLOOKUP($B625,Sheet3!$B:$G,3,0)</f>
        <v>34</v>
      </c>
      <c r="E625">
        <f>VLOOKUP($B625,Sheet3!$B:$G,4,0)</f>
        <v>34.5</v>
      </c>
      <c r="F625">
        <f>VLOOKUP($B625,Sheet3!$B:$G,6,0)</f>
        <v>57</v>
      </c>
      <c r="G625">
        <f>VLOOKUP($B625,Sheet3!$B:$G,5,0)</f>
        <v>59</v>
      </c>
    </row>
    <row r="626" spans="1:7">
      <c r="A626">
        <v>241621</v>
      </c>
      <c r="B626" t="s">
        <v>632</v>
      </c>
      <c r="C626">
        <f>VLOOKUP($B626,Sheet3!$B:$G,2,0)</f>
        <v>87</v>
      </c>
      <c r="D626">
        <f>VLOOKUP($B626,Sheet3!$B:$G,3,0)</f>
        <v>81</v>
      </c>
      <c r="E626">
        <f>VLOOKUP($B626,Sheet3!$B:$G,4,0)</f>
        <v>93</v>
      </c>
      <c r="F626">
        <f>VLOOKUP($B626,Sheet3!$B:$G,6,0)</f>
        <v>73</v>
      </c>
      <c r="G626">
        <f>VLOOKUP($B626,Sheet3!$B:$G,5,0)</f>
        <v>74</v>
      </c>
    </row>
    <row r="627" spans="1:7">
      <c r="A627">
        <v>241622</v>
      </c>
      <c r="B627" t="s">
        <v>633</v>
      </c>
      <c r="C627">
        <f>VLOOKUP($B627,Sheet3!$B:$G,2,0)</f>
        <v>91</v>
      </c>
      <c r="D627">
        <f>VLOOKUP($B627,Sheet3!$B:$G,3,0)</f>
        <v>98</v>
      </c>
      <c r="E627">
        <f>VLOOKUP($B627,Sheet3!$B:$G,4,0)</f>
        <v>73</v>
      </c>
      <c r="F627">
        <f>VLOOKUP($B627,Sheet3!$B:$G,6,0)</f>
        <v>77</v>
      </c>
      <c r="G627">
        <f>VLOOKUP($B627,Sheet3!$B:$G,5,0)</f>
        <v>76</v>
      </c>
    </row>
    <row r="628" spans="1:7">
      <c r="A628">
        <v>241623</v>
      </c>
      <c r="B628" t="s">
        <v>634</v>
      </c>
      <c r="C628">
        <f>VLOOKUP($B628,Sheet3!$B:$G,2,0)</f>
        <v>77</v>
      </c>
      <c r="D628">
        <f>VLOOKUP($B628,Sheet3!$B:$G,3,0)</f>
        <v>68</v>
      </c>
      <c r="E628">
        <f>VLOOKUP($B628,Sheet3!$B:$G,4,0)</f>
        <v>70.5</v>
      </c>
      <c r="F628">
        <f>VLOOKUP($B628,Sheet3!$B:$G,6,0)</f>
        <v>58</v>
      </c>
      <c r="G628">
        <f>VLOOKUP($B628,Sheet3!$B:$G,5,0)</f>
        <v>59</v>
      </c>
    </row>
    <row r="629" spans="1:7">
      <c r="A629">
        <v>241624</v>
      </c>
      <c r="B629" t="s">
        <v>635</v>
      </c>
      <c r="C629">
        <f>VLOOKUP($B629,Sheet3!$B:$G,2,0)</f>
        <v>71</v>
      </c>
      <c r="D629">
        <f>VLOOKUP($B629,Sheet3!$B:$G,3,0)</f>
        <v>44</v>
      </c>
      <c r="E629">
        <f>VLOOKUP($B629,Sheet3!$B:$G,4,0)</f>
        <v>57</v>
      </c>
      <c r="F629">
        <f>VLOOKUP($B629,Sheet3!$B:$G,6,0)</f>
        <v>50</v>
      </c>
      <c r="G629">
        <f>VLOOKUP($B629,Sheet3!$B:$G,5,0)</f>
        <v>54</v>
      </c>
    </row>
    <row r="630" spans="1:7">
      <c r="A630">
        <v>241625</v>
      </c>
      <c r="B630" t="s">
        <v>636</v>
      </c>
      <c r="C630">
        <f>VLOOKUP($B630,Sheet3!$B:$G,2,0)</f>
        <v>70</v>
      </c>
      <c r="D630">
        <f>VLOOKUP($B630,Sheet3!$B:$G,3,0)</f>
        <v>59</v>
      </c>
      <c r="E630">
        <f>VLOOKUP($B630,Sheet3!$B:$G,4,0)</f>
        <v>65.5</v>
      </c>
      <c r="F630">
        <f>VLOOKUP($B630,Sheet3!$B:$G,6,0)</f>
        <v>65</v>
      </c>
      <c r="G630">
        <f>VLOOKUP($B630,Sheet3!$B:$G,5,0)</f>
        <v>69</v>
      </c>
    </row>
    <row r="631" spans="1:7">
      <c r="A631">
        <v>241626</v>
      </c>
      <c r="B631" t="s">
        <v>637</v>
      </c>
      <c r="C631">
        <f>VLOOKUP($B631,Sheet3!$B:$G,2,0)</f>
        <v>89</v>
      </c>
      <c r="D631">
        <f>VLOOKUP($B631,Sheet3!$B:$G,3,0)</f>
        <v>99</v>
      </c>
      <c r="E631">
        <f>VLOOKUP($B631,Sheet3!$B:$G,4,0)</f>
        <v>71.5</v>
      </c>
      <c r="F631">
        <f>VLOOKUP($B631,Sheet3!$B:$G,6,0)</f>
        <v>68</v>
      </c>
      <c r="G631">
        <f>VLOOKUP($B631,Sheet3!$B:$G,5,0)</f>
        <v>74</v>
      </c>
    </row>
    <row r="632" spans="1:7">
      <c r="A632">
        <v>241627</v>
      </c>
      <c r="B632" t="s">
        <v>638</v>
      </c>
      <c r="C632">
        <f>VLOOKUP($B632,Sheet3!$B:$G,2,0)</f>
        <v>64</v>
      </c>
      <c r="D632">
        <f>VLOOKUP($B632,Sheet3!$B:$G,3,0)</f>
        <v>38</v>
      </c>
      <c r="E632">
        <f>VLOOKUP($B632,Sheet3!$B:$G,4,0)</f>
        <v>70</v>
      </c>
      <c r="F632">
        <f>VLOOKUP($B632,Sheet3!$B:$G,6,0)</f>
        <v>49</v>
      </c>
      <c r="G632">
        <f>VLOOKUP($B632,Sheet3!$B:$G,5,0)</f>
        <v>30</v>
      </c>
    </row>
    <row r="633" spans="1:7">
      <c r="A633">
        <v>241628</v>
      </c>
      <c r="B633" t="s">
        <v>639</v>
      </c>
      <c r="C633">
        <f>VLOOKUP($B633,Sheet3!$B:$G,2,0)</f>
        <v>56</v>
      </c>
      <c r="D633">
        <f>VLOOKUP($B633,Sheet3!$B:$G,3,0)</f>
        <v>75</v>
      </c>
      <c r="E633">
        <f>VLOOKUP($B633,Sheet3!$B:$G,4,0)</f>
        <v>38.5</v>
      </c>
      <c r="F633">
        <f>VLOOKUP($B633,Sheet3!$B:$G,6,0)</f>
        <v>48</v>
      </c>
      <c r="G633">
        <f>VLOOKUP($B633,Sheet3!$B:$G,5,0)</f>
        <v>52</v>
      </c>
    </row>
    <row r="634" spans="1:7">
      <c r="A634">
        <v>241629</v>
      </c>
      <c r="B634" t="s">
        <v>640</v>
      </c>
      <c r="C634">
        <f>VLOOKUP($B634,Sheet3!$B:$G,2,0)</f>
        <v>87</v>
      </c>
      <c r="D634">
        <f>VLOOKUP($B634,Sheet3!$B:$G,3,0)</f>
        <v>97</v>
      </c>
      <c r="E634">
        <f>VLOOKUP($B634,Sheet3!$B:$G,4,0)</f>
        <v>104.5</v>
      </c>
      <c r="F634">
        <f>VLOOKUP($B634,Sheet3!$B:$G,6,0)</f>
        <v>73</v>
      </c>
      <c r="G634">
        <f>VLOOKUP($B634,Sheet3!$B:$G,5,0)</f>
        <v>60</v>
      </c>
    </row>
    <row r="635" spans="1:7">
      <c r="A635">
        <v>241630</v>
      </c>
      <c r="B635" t="s">
        <v>641</v>
      </c>
      <c r="C635">
        <f>VLOOKUP($B635,Sheet3!$B:$G,2,0)</f>
        <v>91</v>
      </c>
      <c r="D635">
        <f>VLOOKUP($B635,Sheet3!$B:$G,3,0)</f>
        <v>53</v>
      </c>
      <c r="E635">
        <f>VLOOKUP($B635,Sheet3!$B:$G,4,0)</f>
        <v>65.5</v>
      </c>
      <c r="F635">
        <f>VLOOKUP($B635,Sheet3!$B:$G,6,0)</f>
        <v>69</v>
      </c>
      <c r="G635">
        <f>VLOOKUP($B635,Sheet3!$B:$G,5,0)</f>
        <v>59</v>
      </c>
    </row>
    <row r="636" spans="1:7">
      <c r="A636">
        <v>241631</v>
      </c>
      <c r="B636" t="s">
        <v>642</v>
      </c>
      <c r="C636">
        <f>VLOOKUP($B636,Sheet3!$B:$G,2,0)</f>
        <v>62</v>
      </c>
      <c r="D636">
        <f>VLOOKUP($B636,Sheet3!$B:$G,3,0)</f>
        <v>49</v>
      </c>
      <c r="E636">
        <f>VLOOKUP($B636,Sheet3!$B:$G,4,0)</f>
        <v>33.5</v>
      </c>
      <c r="F636">
        <f>VLOOKUP($B636,Sheet3!$B:$G,6,0)</f>
        <v>41</v>
      </c>
      <c r="G636">
        <f>VLOOKUP($B636,Sheet3!$B:$G,5,0)</f>
        <v>36</v>
      </c>
    </row>
    <row r="637" spans="1:7">
      <c r="A637">
        <v>241632</v>
      </c>
      <c r="B637" t="s">
        <v>643</v>
      </c>
      <c r="C637">
        <f>VLOOKUP($B637,Sheet3!$B:$G,2,0)</f>
        <v>85</v>
      </c>
      <c r="D637">
        <f>VLOOKUP($B637,Sheet3!$B:$G,3,0)</f>
        <v>78</v>
      </c>
      <c r="E637">
        <f>VLOOKUP($B637,Sheet3!$B:$G,4,0)</f>
        <v>107</v>
      </c>
      <c r="F637">
        <f>VLOOKUP($B637,Sheet3!$B:$G,6,0)</f>
        <v>58</v>
      </c>
      <c r="G637">
        <f>VLOOKUP($B637,Sheet3!$B:$G,5,0)</f>
        <v>55</v>
      </c>
    </row>
    <row r="638" spans="1:7">
      <c r="A638">
        <v>241633</v>
      </c>
      <c r="B638" t="s">
        <v>644</v>
      </c>
      <c r="C638">
        <f>VLOOKUP($B638,Sheet3!$B:$G,2,0)</f>
        <v>82</v>
      </c>
      <c r="D638">
        <f>VLOOKUP($B638,Sheet3!$B:$G,3,0)</f>
        <v>80</v>
      </c>
      <c r="E638">
        <f>VLOOKUP($B638,Sheet3!$B:$G,4,0)</f>
        <v>99.5</v>
      </c>
      <c r="F638">
        <f>VLOOKUP($B638,Sheet3!$B:$G,6,0)</f>
        <v>67</v>
      </c>
      <c r="G638">
        <f>VLOOKUP($B638,Sheet3!$B:$G,5,0)</f>
        <v>54</v>
      </c>
    </row>
    <row r="639" spans="1:7">
      <c r="A639">
        <v>241634</v>
      </c>
      <c r="B639" t="s">
        <v>645</v>
      </c>
      <c r="C639">
        <f>VLOOKUP($B639,Sheet3!$B:$G,2,0)</f>
        <v>85</v>
      </c>
      <c r="D639">
        <f>VLOOKUP($B639,Sheet3!$B:$G,3,0)</f>
        <v>93</v>
      </c>
      <c r="E639">
        <f>VLOOKUP($B639,Sheet3!$B:$G,4,0)</f>
        <v>70</v>
      </c>
      <c r="F639">
        <f>VLOOKUP($B639,Sheet3!$B:$G,6,0)</f>
        <v>66</v>
      </c>
      <c r="G639">
        <f>VLOOKUP($B639,Sheet3!$B:$G,5,0)</f>
        <v>62</v>
      </c>
    </row>
    <row r="640" spans="1:7">
      <c r="A640">
        <v>241635</v>
      </c>
      <c r="B640" t="s">
        <v>646</v>
      </c>
      <c r="C640">
        <f>VLOOKUP($B640,Sheet3!$B:$G,2,0)</f>
        <v>71</v>
      </c>
      <c r="D640">
        <f>VLOOKUP($B640,Sheet3!$B:$G,3,0)</f>
        <v>73</v>
      </c>
      <c r="E640">
        <f>VLOOKUP($B640,Sheet3!$B:$G,4,0)</f>
        <v>71.5</v>
      </c>
      <c r="F640">
        <f>VLOOKUP($B640,Sheet3!$B:$G,6,0)</f>
        <v>62</v>
      </c>
      <c r="G640">
        <f>VLOOKUP($B640,Sheet3!$B:$G,5,0)</f>
        <v>67</v>
      </c>
    </row>
    <row r="641" spans="1:7">
      <c r="A641">
        <v>241636</v>
      </c>
      <c r="B641" t="s">
        <v>647</v>
      </c>
      <c r="C641">
        <f>VLOOKUP($B641,Sheet3!$B:$G,2,0)</f>
        <v>79</v>
      </c>
      <c r="D641">
        <f>VLOOKUP($B641,Sheet3!$B:$G,3,0)</f>
        <v>36</v>
      </c>
      <c r="E641">
        <f>VLOOKUP($B641,Sheet3!$B:$G,4,0)</f>
        <v>49</v>
      </c>
      <c r="F641">
        <f>VLOOKUP($B641,Sheet3!$B:$G,6,0)</f>
        <v>55</v>
      </c>
      <c r="G641">
        <f>VLOOKUP($B641,Sheet3!$B:$G,5,0)</f>
        <v>54</v>
      </c>
    </row>
    <row r="642" spans="1:7">
      <c r="A642">
        <v>241637</v>
      </c>
      <c r="B642" t="s">
        <v>648</v>
      </c>
      <c r="C642">
        <f>VLOOKUP($B642,Sheet3!$B:$G,2,0)</f>
        <v>32</v>
      </c>
      <c r="D642">
        <f>VLOOKUP($B642,Sheet3!$B:$G,3,0)</f>
        <v>20</v>
      </c>
      <c r="E642">
        <f>VLOOKUP($B642,Sheet3!$B:$G,4,0)</f>
        <v>33</v>
      </c>
      <c r="F642">
        <f>VLOOKUP($B642,Sheet3!$B:$G,6,0)</f>
        <v>32</v>
      </c>
      <c r="G642">
        <f>VLOOKUP($B642,Sheet3!$B:$G,5,0)</f>
        <v>33</v>
      </c>
    </row>
    <row r="643" spans="1:7">
      <c r="A643">
        <v>241638</v>
      </c>
      <c r="B643" t="s">
        <v>649</v>
      </c>
      <c r="C643">
        <f>VLOOKUP($B643,Sheet3!$B:$G,2,0)</f>
        <v>83</v>
      </c>
      <c r="D643">
        <f>VLOOKUP($B643,Sheet3!$B:$G,3,0)</f>
        <v>78</v>
      </c>
      <c r="E643">
        <f>VLOOKUP($B643,Sheet3!$B:$G,4,0)</f>
        <v>69.5</v>
      </c>
      <c r="F643">
        <f>VLOOKUP($B643,Sheet3!$B:$G,6,0)</f>
        <v>73</v>
      </c>
      <c r="G643">
        <f>VLOOKUP($B643,Sheet3!$B:$G,5,0)</f>
        <v>73</v>
      </c>
    </row>
    <row r="644" spans="1:7">
      <c r="A644">
        <v>241639</v>
      </c>
      <c r="B644" t="s">
        <v>650</v>
      </c>
      <c r="C644">
        <f>VLOOKUP($B644,Sheet3!$B:$G,2,0)</f>
        <v>84</v>
      </c>
      <c r="D644">
        <f>VLOOKUP($B644,Sheet3!$B:$G,3,0)</f>
        <v>84</v>
      </c>
      <c r="E644">
        <f>VLOOKUP($B644,Sheet3!$B:$G,4,0)</f>
        <v>94</v>
      </c>
      <c r="F644">
        <f>VLOOKUP($B644,Sheet3!$B:$G,6,0)</f>
        <v>73</v>
      </c>
      <c r="G644">
        <f>VLOOKUP($B644,Sheet3!$B:$G,5,0)</f>
        <v>74</v>
      </c>
    </row>
    <row r="645" spans="1:7">
      <c r="A645">
        <v>241640</v>
      </c>
      <c r="B645" t="s">
        <v>651</v>
      </c>
      <c r="C645">
        <f>VLOOKUP($B645,Sheet3!$B:$G,2,0)</f>
        <v>83</v>
      </c>
      <c r="D645">
        <f>VLOOKUP($B645,Sheet3!$B:$G,3,0)</f>
        <v>53</v>
      </c>
      <c r="E645">
        <f>VLOOKUP($B645,Sheet3!$B:$G,4,0)</f>
        <v>81.5</v>
      </c>
      <c r="F645">
        <f>VLOOKUP($B645,Sheet3!$B:$G,6,0)</f>
        <v>71</v>
      </c>
      <c r="G645">
        <f>VLOOKUP($B645,Sheet3!$B:$G,5,0)</f>
        <v>55</v>
      </c>
    </row>
    <row r="646" spans="1:7">
      <c r="A646">
        <v>241641</v>
      </c>
      <c r="B646" t="s">
        <v>652</v>
      </c>
      <c r="C646">
        <f>VLOOKUP($B646,Sheet3!$B:$G,2,0)</f>
        <v>92</v>
      </c>
      <c r="D646">
        <f>VLOOKUP($B646,Sheet3!$B:$G,3,0)</f>
        <v>75</v>
      </c>
      <c r="E646">
        <f>VLOOKUP($B646,Sheet3!$B:$G,4,0)</f>
        <v>98</v>
      </c>
      <c r="F646">
        <f>VLOOKUP($B646,Sheet3!$B:$G,6,0)</f>
        <v>72</v>
      </c>
      <c r="G646">
        <f>VLOOKUP($B646,Sheet3!$B:$G,5,0)</f>
        <v>73</v>
      </c>
    </row>
    <row r="647" spans="1:7">
      <c r="A647">
        <v>241642</v>
      </c>
      <c r="B647" t="s">
        <v>653</v>
      </c>
      <c r="C647">
        <f>VLOOKUP($B647,Sheet3!$B:$G,2,0)</f>
        <v>65</v>
      </c>
      <c r="D647">
        <f>VLOOKUP($B647,Sheet3!$B:$G,3,0)</f>
        <v>49</v>
      </c>
      <c r="E647">
        <f>VLOOKUP($B647,Sheet3!$B:$G,4,0)</f>
        <v>47</v>
      </c>
      <c r="F647">
        <f>VLOOKUP($B647,Sheet3!$B:$G,6,0)</f>
        <v>63</v>
      </c>
      <c r="G647">
        <f>VLOOKUP($B647,Sheet3!$B:$G,5,0)</f>
        <v>58</v>
      </c>
    </row>
    <row r="648" spans="1:7">
      <c r="A648">
        <v>241644</v>
      </c>
      <c r="B648" t="s">
        <v>654</v>
      </c>
      <c r="C648">
        <f>VLOOKUP($B648,Sheet3!$B:$G,2,0)</f>
        <v>54</v>
      </c>
      <c r="D648">
        <f>VLOOKUP($B648,Sheet3!$B:$G,3,0)</f>
        <v>46</v>
      </c>
      <c r="E648">
        <f>VLOOKUP($B648,Sheet3!$B:$G,4,0)</f>
        <v>42.5</v>
      </c>
      <c r="F648">
        <f>VLOOKUP($B648,Sheet3!$B:$G,6,0)</f>
        <v>55</v>
      </c>
      <c r="G648">
        <f>VLOOKUP($B648,Sheet3!$B:$G,5,0)</f>
        <v>59</v>
      </c>
    </row>
    <row r="649" spans="1:7">
      <c r="A649">
        <v>241701</v>
      </c>
      <c r="B649" t="s">
        <v>655</v>
      </c>
      <c r="C649">
        <f>VLOOKUP($B649,Sheet3!$B:$G,2,0)</f>
        <v>84</v>
      </c>
      <c r="D649">
        <f>VLOOKUP($B649,Sheet3!$B:$G,3,0)</f>
        <v>56</v>
      </c>
      <c r="E649">
        <f>VLOOKUP($B649,Sheet3!$B:$G,4,0)</f>
        <v>40</v>
      </c>
      <c r="F649">
        <f>VLOOKUP($B649,Sheet3!$B:$G,6,0)</f>
        <v>57</v>
      </c>
      <c r="G649">
        <f>VLOOKUP($B649,Sheet3!$B:$G,5,0)</f>
        <v>58</v>
      </c>
    </row>
    <row r="650" spans="1:7">
      <c r="A650">
        <v>241702</v>
      </c>
      <c r="B650" t="s">
        <v>656</v>
      </c>
      <c r="C650">
        <f>VLOOKUP($B650,Sheet3!$B:$G,2,0)</f>
        <v>90</v>
      </c>
      <c r="D650">
        <f>VLOOKUP($B650,Sheet3!$B:$G,3,0)</f>
        <v>79</v>
      </c>
      <c r="E650">
        <f>VLOOKUP($B650,Sheet3!$B:$G,4,0)</f>
        <v>95.5</v>
      </c>
      <c r="F650">
        <f>VLOOKUP($B650,Sheet3!$B:$G,6,0)</f>
        <v>78</v>
      </c>
      <c r="G650">
        <f>VLOOKUP($B650,Sheet3!$B:$G,5,0)</f>
        <v>68</v>
      </c>
    </row>
    <row r="651" spans="1:7">
      <c r="A651">
        <v>241703</v>
      </c>
      <c r="B651" t="s">
        <v>657</v>
      </c>
      <c r="C651">
        <f>VLOOKUP($B651,Sheet3!$B:$G,2,0)</f>
        <v>66</v>
      </c>
      <c r="D651">
        <f>VLOOKUP($B651,Sheet3!$B:$G,3,0)</f>
        <v>59</v>
      </c>
      <c r="E651">
        <f>VLOOKUP($B651,Sheet3!$B:$G,4,0)</f>
        <v>23</v>
      </c>
      <c r="F651">
        <f>VLOOKUP($B651,Sheet3!$B:$G,6,0)</f>
        <v>46</v>
      </c>
      <c r="G651">
        <f>VLOOKUP($B651,Sheet3!$B:$G,5,0)</f>
        <v>64</v>
      </c>
    </row>
    <row r="652" spans="1:7">
      <c r="A652">
        <v>241704</v>
      </c>
      <c r="B652" t="s">
        <v>658</v>
      </c>
      <c r="C652">
        <f>VLOOKUP($B652,Sheet3!$B:$G,2,0)</f>
        <v>82</v>
      </c>
      <c r="D652">
        <f>VLOOKUP($B652,Sheet3!$B:$G,3,0)</f>
        <v>60</v>
      </c>
      <c r="E652">
        <f>VLOOKUP($B652,Sheet3!$B:$G,4,0)</f>
        <v>56</v>
      </c>
      <c r="F652">
        <f>VLOOKUP($B652,Sheet3!$B:$G,6,0)</f>
        <v>67</v>
      </c>
      <c r="G652">
        <f>VLOOKUP($B652,Sheet3!$B:$G,5,0)</f>
        <v>82</v>
      </c>
    </row>
    <row r="653" spans="1:7">
      <c r="A653">
        <v>241705</v>
      </c>
      <c r="B653" t="s">
        <v>659</v>
      </c>
      <c r="C653">
        <f>VLOOKUP($B653,Sheet3!$B:$G,2,0)</f>
        <v>85</v>
      </c>
      <c r="D653">
        <f>VLOOKUP($B653,Sheet3!$B:$G,3,0)</f>
        <v>60</v>
      </c>
      <c r="E653">
        <f>VLOOKUP($B653,Sheet3!$B:$G,4,0)</f>
        <v>76</v>
      </c>
      <c r="F653">
        <f>VLOOKUP($B653,Sheet3!$B:$G,6,0)</f>
        <v>74</v>
      </c>
      <c r="G653">
        <f>VLOOKUP($B653,Sheet3!$B:$G,5,0)</f>
        <v>62</v>
      </c>
    </row>
    <row r="654" spans="1:7">
      <c r="A654">
        <v>241706</v>
      </c>
      <c r="B654" t="s">
        <v>660</v>
      </c>
      <c r="C654">
        <f>VLOOKUP($B654,Sheet3!$B:$G,2,0)</f>
        <v>69</v>
      </c>
      <c r="D654">
        <f>VLOOKUP($B654,Sheet3!$B:$G,3,0)</f>
        <v>59</v>
      </c>
      <c r="E654">
        <f>VLOOKUP($B654,Sheet3!$B:$G,4,0)</f>
        <v>31.5</v>
      </c>
      <c r="F654">
        <f>VLOOKUP($B654,Sheet3!$B:$G,6,0)</f>
        <v>56</v>
      </c>
      <c r="G654">
        <f>VLOOKUP($B654,Sheet3!$B:$G,5,0)</f>
        <v>58</v>
      </c>
    </row>
    <row r="655" spans="1:7">
      <c r="A655">
        <v>241708</v>
      </c>
      <c r="B655" t="s">
        <v>661</v>
      </c>
      <c r="C655">
        <f>VLOOKUP($B655,Sheet3!$B:$G,2,0)</f>
        <v>88</v>
      </c>
      <c r="D655">
        <f>VLOOKUP($B655,Sheet3!$B:$G,3,0)</f>
        <v>50</v>
      </c>
      <c r="E655">
        <f>VLOOKUP($B655,Sheet3!$B:$G,4,0)</f>
        <v>75.5</v>
      </c>
      <c r="F655">
        <f>VLOOKUP($B655,Sheet3!$B:$G,6,0)</f>
        <v>61</v>
      </c>
      <c r="G655">
        <f>VLOOKUP($B655,Sheet3!$B:$G,5,0)</f>
        <v>62</v>
      </c>
    </row>
    <row r="656" spans="1:7">
      <c r="A656">
        <v>241709</v>
      </c>
      <c r="B656" t="s">
        <v>662</v>
      </c>
      <c r="C656">
        <f>VLOOKUP($B656,Sheet3!$B:$G,2,0)</f>
        <v>92</v>
      </c>
      <c r="D656">
        <f>VLOOKUP($B656,Sheet3!$B:$G,3,0)</f>
        <v>72</v>
      </c>
      <c r="E656">
        <f>VLOOKUP($B656,Sheet3!$B:$G,4,0)</f>
        <v>81.5</v>
      </c>
      <c r="F656">
        <f>VLOOKUP($B656,Sheet3!$B:$G,6,0)</f>
        <v>79</v>
      </c>
      <c r="G656">
        <f>VLOOKUP($B656,Sheet3!$B:$G,5,0)</f>
        <v>75</v>
      </c>
    </row>
    <row r="657" spans="1:7">
      <c r="A657">
        <v>241710</v>
      </c>
      <c r="B657" t="s">
        <v>663</v>
      </c>
      <c r="C657">
        <f>VLOOKUP($B657,Sheet3!$B:$G,2,0)</f>
        <v>82</v>
      </c>
      <c r="D657">
        <f>VLOOKUP($B657,Sheet3!$B:$G,3,0)</f>
        <v>49</v>
      </c>
      <c r="E657">
        <f>VLOOKUP($B657,Sheet3!$B:$G,4,0)</f>
        <v>101.5</v>
      </c>
      <c r="F657">
        <f>VLOOKUP($B657,Sheet3!$B:$G,6,0)</f>
        <v>67</v>
      </c>
      <c r="G657">
        <f>VLOOKUP($B657,Sheet3!$B:$G,5,0)</f>
        <v>68</v>
      </c>
    </row>
    <row r="658" spans="1:7">
      <c r="A658">
        <v>241711</v>
      </c>
      <c r="B658" t="s">
        <v>664</v>
      </c>
      <c r="C658">
        <f>VLOOKUP($B658,Sheet3!$B:$G,2,0)</f>
        <v>62</v>
      </c>
      <c r="D658">
        <f>VLOOKUP($B658,Sheet3!$B:$G,3,0)</f>
        <v>55</v>
      </c>
      <c r="E658">
        <f>VLOOKUP($B658,Sheet3!$B:$G,4,0)</f>
        <v>64</v>
      </c>
      <c r="F658">
        <f>VLOOKUP($B658,Sheet3!$B:$G,6,0)</f>
        <v>44</v>
      </c>
      <c r="G658">
        <f>VLOOKUP($B658,Sheet3!$B:$G,5,0)</f>
        <v>48</v>
      </c>
    </row>
    <row r="659" spans="1:7">
      <c r="A659">
        <v>241712</v>
      </c>
      <c r="B659" t="s">
        <v>665</v>
      </c>
      <c r="C659">
        <f>VLOOKUP($B659,Sheet3!$B:$G,2,0)</f>
        <v>97</v>
      </c>
      <c r="D659">
        <f>VLOOKUP($B659,Sheet3!$B:$G,3,0)</f>
        <v>88</v>
      </c>
      <c r="E659">
        <f>VLOOKUP($B659,Sheet3!$B:$G,4,0)</f>
        <v>69.5</v>
      </c>
      <c r="F659">
        <f>VLOOKUP($B659,Sheet3!$B:$G,6,0)</f>
        <v>77</v>
      </c>
      <c r="G659">
        <f>VLOOKUP($B659,Sheet3!$B:$G,5,0)</f>
        <v>75</v>
      </c>
    </row>
    <row r="660" spans="1:7">
      <c r="A660">
        <v>241713</v>
      </c>
      <c r="B660" t="s">
        <v>666</v>
      </c>
      <c r="C660">
        <f>VLOOKUP($B660,Sheet3!$B:$G,2,0)</f>
        <v>95</v>
      </c>
      <c r="D660">
        <f>VLOOKUP($B660,Sheet3!$B:$G,3,0)</f>
        <v>93</v>
      </c>
      <c r="E660">
        <f>VLOOKUP($B660,Sheet3!$B:$G,4,0)</f>
        <v>105.5</v>
      </c>
      <c r="F660">
        <f>VLOOKUP($B660,Sheet3!$B:$G,6,0)</f>
        <v>78</v>
      </c>
      <c r="G660">
        <f>VLOOKUP($B660,Sheet3!$B:$G,5,0)</f>
        <v>64</v>
      </c>
    </row>
    <row r="661" spans="1:7">
      <c r="A661">
        <v>241714</v>
      </c>
      <c r="B661" t="s">
        <v>667</v>
      </c>
      <c r="C661">
        <f>VLOOKUP($B661,Sheet3!$B:$G,2,0)</f>
        <v>82</v>
      </c>
      <c r="D661">
        <f>VLOOKUP($B661,Sheet3!$B:$G,3,0)</f>
        <v>83</v>
      </c>
      <c r="E661">
        <f>VLOOKUP($B661,Sheet3!$B:$G,4,0)</f>
        <v>82.5</v>
      </c>
      <c r="F661">
        <f>VLOOKUP($B661,Sheet3!$B:$G,6,0)</f>
        <v>70</v>
      </c>
      <c r="G661">
        <f>VLOOKUP($B661,Sheet3!$B:$G,5,0)</f>
        <v>72</v>
      </c>
    </row>
    <row r="662" spans="1:7">
      <c r="A662">
        <v>241715</v>
      </c>
      <c r="B662" t="s">
        <v>668</v>
      </c>
      <c r="C662">
        <f>VLOOKUP($B662,Sheet3!$B:$G,2,0)</f>
        <v>83</v>
      </c>
      <c r="D662">
        <f>VLOOKUP($B662,Sheet3!$B:$G,3,0)</f>
        <v>32</v>
      </c>
      <c r="E662">
        <f>VLOOKUP($B662,Sheet3!$B:$G,4,0)</f>
        <v>64.5</v>
      </c>
      <c r="F662">
        <f>VLOOKUP($B662,Sheet3!$B:$G,6,0)</f>
        <v>55</v>
      </c>
      <c r="G662">
        <f>VLOOKUP($B662,Sheet3!$B:$G,5,0)</f>
        <v>67</v>
      </c>
    </row>
    <row r="663" spans="1:7">
      <c r="A663">
        <v>241716</v>
      </c>
      <c r="B663" t="s">
        <v>669</v>
      </c>
      <c r="C663">
        <f>VLOOKUP($B663,Sheet3!$B:$G,2,0)</f>
        <v>83</v>
      </c>
      <c r="D663">
        <f>VLOOKUP($B663,Sheet3!$B:$G,3,0)</f>
        <v>48</v>
      </c>
      <c r="E663">
        <f>VLOOKUP($B663,Sheet3!$B:$G,4,0)</f>
        <v>56</v>
      </c>
      <c r="F663">
        <f>VLOOKUP($B663,Sheet3!$B:$G,6,0)</f>
        <v>68</v>
      </c>
      <c r="G663">
        <f>VLOOKUP($B663,Sheet3!$B:$G,5,0)</f>
        <v>58</v>
      </c>
    </row>
    <row r="664" spans="1:7">
      <c r="A664">
        <v>241717</v>
      </c>
      <c r="B664" t="s">
        <v>670</v>
      </c>
      <c r="C664">
        <f>VLOOKUP($B664,Sheet3!$B:$G,2,0)</f>
        <v>88</v>
      </c>
      <c r="D664">
        <f>VLOOKUP($B664,Sheet3!$B:$G,3,0)</f>
        <v>56</v>
      </c>
      <c r="E664">
        <f>VLOOKUP($B664,Sheet3!$B:$G,4,0)</f>
        <v>59</v>
      </c>
      <c r="F664">
        <f>VLOOKUP($B664,Sheet3!$B:$G,6,0)</f>
        <v>60</v>
      </c>
      <c r="G664">
        <f>VLOOKUP($B664,Sheet3!$B:$G,5,0)</f>
        <v>53</v>
      </c>
    </row>
    <row r="665" spans="1:7">
      <c r="A665">
        <v>241718</v>
      </c>
      <c r="B665" t="s">
        <v>671</v>
      </c>
      <c r="C665">
        <f>VLOOKUP($B665,Sheet3!$B:$G,2,0)</f>
        <v>87</v>
      </c>
      <c r="D665">
        <f>VLOOKUP($B665,Sheet3!$B:$G,3,0)</f>
        <v>43</v>
      </c>
      <c r="E665">
        <f>VLOOKUP($B665,Sheet3!$B:$G,4,0)</f>
        <v>92.5</v>
      </c>
      <c r="F665">
        <f>VLOOKUP($B665,Sheet3!$B:$G,6,0)</f>
        <v>49</v>
      </c>
      <c r="G665">
        <f>VLOOKUP($B665,Sheet3!$B:$G,5,0)</f>
        <v>71</v>
      </c>
    </row>
    <row r="666" spans="1:7">
      <c r="A666">
        <v>241719</v>
      </c>
      <c r="B666" t="s">
        <v>672</v>
      </c>
      <c r="C666">
        <f>VLOOKUP($B666,Sheet3!$B:$G,2,0)</f>
        <v>97</v>
      </c>
      <c r="D666">
        <f>VLOOKUP($B666,Sheet3!$B:$G,3,0)</f>
        <v>71</v>
      </c>
      <c r="E666">
        <f>VLOOKUP($B666,Sheet3!$B:$G,4,0)</f>
        <v>85.5</v>
      </c>
      <c r="F666">
        <f>VLOOKUP($B666,Sheet3!$B:$G,6,0)</f>
        <v>84</v>
      </c>
      <c r="G666">
        <f>VLOOKUP($B666,Sheet3!$B:$G,5,0)</f>
        <v>61</v>
      </c>
    </row>
    <row r="667" spans="1:7">
      <c r="A667">
        <v>241720</v>
      </c>
      <c r="B667" t="s">
        <v>673</v>
      </c>
      <c r="C667">
        <f>VLOOKUP($B667,Sheet3!$B:$G,2,0)</f>
        <v>96</v>
      </c>
      <c r="D667">
        <f>VLOOKUP($B667,Sheet3!$B:$G,3,0)</f>
        <v>76</v>
      </c>
      <c r="E667">
        <f>VLOOKUP($B667,Sheet3!$B:$G,4,0)</f>
        <v>91.5</v>
      </c>
      <c r="F667">
        <f>VLOOKUP($B667,Sheet3!$B:$G,6,0)</f>
        <v>88</v>
      </c>
      <c r="G667">
        <f>VLOOKUP($B667,Sheet3!$B:$G,5,0)</f>
        <v>74</v>
      </c>
    </row>
    <row r="668" spans="1:7">
      <c r="A668">
        <v>241721</v>
      </c>
      <c r="B668" t="s">
        <v>674</v>
      </c>
      <c r="C668">
        <f>VLOOKUP($B668,Sheet3!$B:$G,2,0)</f>
        <v>90</v>
      </c>
      <c r="D668">
        <f>VLOOKUP($B668,Sheet3!$B:$G,3,0)</f>
        <v>69</v>
      </c>
      <c r="E668">
        <f>VLOOKUP($B668,Sheet3!$B:$G,4,0)</f>
        <v>75</v>
      </c>
      <c r="F668">
        <f>VLOOKUP($B668,Sheet3!$B:$G,6,0)</f>
        <v>86</v>
      </c>
      <c r="G668">
        <f>VLOOKUP($B668,Sheet3!$B:$G,5,0)</f>
        <v>63</v>
      </c>
    </row>
    <row r="669" spans="1:7">
      <c r="A669">
        <v>241722</v>
      </c>
      <c r="B669" t="s">
        <v>675</v>
      </c>
      <c r="C669">
        <f>VLOOKUP($B669,Sheet3!$B:$G,2,0)</f>
        <v>88</v>
      </c>
      <c r="D669">
        <f>VLOOKUP($B669,Sheet3!$B:$G,3,0)</f>
        <v>96</v>
      </c>
      <c r="E669">
        <f>VLOOKUP($B669,Sheet3!$B:$G,4,0)</f>
        <v>62</v>
      </c>
      <c r="F669">
        <f>VLOOKUP($B669,Sheet3!$B:$G,6,0)</f>
        <v>59</v>
      </c>
      <c r="G669">
        <f>VLOOKUP($B669,Sheet3!$B:$G,5,0)</f>
        <v>68</v>
      </c>
    </row>
    <row r="670" spans="1:7">
      <c r="A670">
        <v>241723</v>
      </c>
      <c r="B670" t="s">
        <v>676</v>
      </c>
      <c r="C670">
        <f>VLOOKUP($B670,Sheet3!$B:$G,2,0)</f>
        <v>81</v>
      </c>
      <c r="D670">
        <f>VLOOKUP($B670,Sheet3!$B:$G,3,0)</f>
        <v>88</v>
      </c>
      <c r="E670">
        <f>VLOOKUP($B670,Sheet3!$B:$G,4,0)</f>
        <v>78.5</v>
      </c>
      <c r="F670">
        <f>VLOOKUP($B670,Sheet3!$B:$G,6,0)</f>
        <v>62</v>
      </c>
      <c r="G670">
        <f>VLOOKUP($B670,Sheet3!$B:$G,5,0)</f>
        <v>62</v>
      </c>
    </row>
    <row r="671" spans="1:7">
      <c r="A671">
        <v>241724</v>
      </c>
      <c r="B671" t="s">
        <v>677</v>
      </c>
      <c r="C671">
        <f>VLOOKUP($B671,Sheet3!$B:$G,2,0)</f>
        <v>83</v>
      </c>
      <c r="D671">
        <f>VLOOKUP($B671,Sheet3!$B:$G,3,0)</f>
        <v>53</v>
      </c>
      <c r="E671">
        <f>VLOOKUP($B671,Sheet3!$B:$G,4,0)</f>
        <v>91</v>
      </c>
      <c r="F671">
        <f>VLOOKUP($B671,Sheet3!$B:$G,6,0)</f>
        <v>68</v>
      </c>
      <c r="G671">
        <f>VLOOKUP($B671,Sheet3!$B:$G,5,0)</f>
        <v>65</v>
      </c>
    </row>
    <row r="672" spans="1:7">
      <c r="A672">
        <v>241725</v>
      </c>
      <c r="B672" t="s">
        <v>678</v>
      </c>
      <c r="C672">
        <f>VLOOKUP($B672,Sheet3!$B:$G,2,0)</f>
        <v>68</v>
      </c>
      <c r="D672">
        <f>VLOOKUP($B672,Sheet3!$B:$G,3,0)</f>
        <v>51</v>
      </c>
      <c r="E672">
        <f>VLOOKUP($B672,Sheet3!$B:$G,4,0)</f>
        <v>16</v>
      </c>
      <c r="F672">
        <f>VLOOKUP($B672,Sheet3!$B:$G,6,0)</f>
        <v>48</v>
      </c>
      <c r="G672">
        <f>VLOOKUP($B672,Sheet3!$B:$G,5,0)</f>
        <v>61</v>
      </c>
    </row>
    <row r="673" spans="1:7">
      <c r="A673">
        <v>241726</v>
      </c>
      <c r="B673" t="s">
        <v>679</v>
      </c>
      <c r="C673">
        <f>VLOOKUP($B673,Sheet3!$B:$G,2,0)</f>
        <v>50</v>
      </c>
      <c r="D673">
        <f>VLOOKUP($B673,Sheet3!$B:$G,3,0)</f>
        <v>40</v>
      </c>
      <c r="E673">
        <f>VLOOKUP($B673,Sheet3!$B:$G,4,0)</f>
        <v>63</v>
      </c>
      <c r="F673">
        <f>VLOOKUP($B673,Sheet3!$B:$G,6,0)</f>
        <v>48</v>
      </c>
      <c r="G673">
        <f>VLOOKUP($B673,Sheet3!$B:$G,5,0)</f>
        <v>36</v>
      </c>
    </row>
    <row r="674" spans="1:7">
      <c r="A674">
        <v>241727</v>
      </c>
      <c r="B674" t="s">
        <v>680</v>
      </c>
      <c r="C674">
        <f>VLOOKUP($B674,Sheet3!$B:$G,2,0)</f>
        <v>96</v>
      </c>
      <c r="D674">
        <f>VLOOKUP($B674,Sheet3!$B:$G,3,0)</f>
        <v>84</v>
      </c>
      <c r="E674">
        <f>VLOOKUP($B674,Sheet3!$B:$G,4,0)</f>
        <v>90.5</v>
      </c>
      <c r="F674">
        <f>VLOOKUP($B674,Sheet3!$B:$G,6,0)</f>
        <v>72</v>
      </c>
      <c r="G674">
        <f>VLOOKUP($B674,Sheet3!$B:$G,5,0)</f>
        <v>52</v>
      </c>
    </row>
    <row r="675" spans="1:7">
      <c r="A675">
        <v>241728</v>
      </c>
      <c r="B675" t="s">
        <v>681</v>
      </c>
      <c r="C675">
        <f>VLOOKUP($B675,Sheet3!$B:$G,2,0)</f>
        <v>86</v>
      </c>
      <c r="D675">
        <f>VLOOKUP($B675,Sheet3!$B:$G,3,0)</f>
        <v>73</v>
      </c>
      <c r="E675">
        <f>VLOOKUP($B675,Sheet3!$B:$G,4,0)</f>
        <v>65.5</v>
      </c>
      <c r="F675">
        <f>VLOOKUP($B675,Sheet3!$B:$G,6,0)</f>
        <v>81</v>
      </c>
      <c r="G675">
        <f>VLOOKUP($B675,Sheet3!$B:$G,5,0)</f>
        <v>65</v>
      </c>
    </row>
    <row r="676" spans="1:7">
      <c r="A676">
        <v>241729</v>
      </c>
      <c r="B676" t="s">
        <v>682</v>
      </c>
      <c r="C676">
        <f>VLOOKUP($B676,Sheet3!$B:$G,2,0)</f>
        <v>77</v>
      </c>
      <c r="D676">
        <f>VLOOKUP($B676,Sheet3!$B:$G,3,0)</f>
        <v>65</v>
      </c>
      <c r="E676">
        <f>VLOOKUP($B676,Sheet3!$B:$G,4,0)</f>
        <v>77.5</v>
      </c>
      <c r="F676">
        <f>VLOOKUP($B676,Sheet3!$B:$G,6,0)</f>
        <v>81</v>
      </c>
      <c r="G676">
        <f>VLOOKUP($B676,Sheet3!$B:$G,5,0)</f>
        <v>59</v>
      </c>
    </row>
    <row r="677" spans="1:7">
      <c r="A677">
        <v>241730</v>
      </c>
      <c r="B677" t="s">
        <v>683</v>
      </c>
      <c r="C677">
        <f>VLOOKUP($B677,Sheet3!$B:$G,2,0)</f>
        <v>54</v>
      </c>
      <c r="D677">
        <f>VLOOKUP($B677,Sheet3!$B:$G,3,0)</f>
        <v>29</v>
      </c>
      <c r="E677">
        <f>VLOOKUP($B677,Sheet3!$B:$G,4,0)</f>
        <v>19</v>
      </c>
      <c r="F677">
        <f>VLOOKUP($B677,Sheet3!$B:$G,6,0)</f>
        <v>56</v>
      </c>
      <c r="G677">
        <f>VLOOKUP($B677,Sheet3!$B:$G,5,0)</f>
        <v>55</v>
      </c>
    </row>
    <row r="678" spans="1:7">
      <c r="A678">
        <v>241732</v>
      </c>
      <c r="B678" t="s">
        <v>684</v>
      </c>
      <c r="C678">
        <f>VLOOKUP($B678,Sheet3!$B:$G,2,0)</f>
        <v>75</v>
      </c>
      <c r="D678">
        <f>VLOOKUP($B678,Sheet3!$B:$G,3,0)</f>
        <v>31</v>
      </c>
      <c r="E678">
        <f>VLOOKUP($B678,Sheet3!$B:$G,4,0)</f>
        <v>64.5</v>
      </c>
      <c r="F678">
        <f>VLOOKUP($B678,Sheet3!$B:$G,6,0)</f>
        <v>62</v>
      </c>
      <c r="G678">
        <f>VLOOKUP($B678,Sheet3!$B:$G,5,0)</f>
        <v>57</v>
      </c>
    </row>
    <row r="679" spans="1:7">
      <c r="A679">
        <v>241733</v>
      </c>
      <c r="B679" t="s">
        <v>685</v>
      </c>
      <c r="C679">
        <f>VLOOKUP($B679,Sheet3!$B:$G,2,0)</f>
        <v>57</v>
      </c>
      <c r="D679">
        <f>VLOOKUP($B679,Sheet3!$B:$G,3,0)</f>
        <v>29</v>
      </c>
      <c r="E679">
        <f>VLOOKUP($B679,Sheet3!$B:$G,4,0)</f>
        <v>27</v>
      </c>
      <c r="F679">
        <f>VLOOKUP($B679,Sheet3!$B:$G,6,0)</f>
        <v>49</v>
      </c>
      <c r="G679">
        <f>VLOOKUP($B679,Sheet3!$B:$G,5,0)</f>
        <v>34</v>
      </c>
    </row>
    <row r="680" spans="1:7">
      <c r="A680">
        <v>241734</v>
      </c>
      <c r="B680" t="s">
        <v>686</v>
      </c>
      <c r="C680">
        <f>VLOOKUP($B680,Sheet3!$B:$G,2,0)</f>
        <v>81</v>
      </c>
      <c r="D680">
        <f>VLOOKUP($B680,Sheet3!$B:$G,3,0)</f>
        <v>64</v>
      </c>
      <c r="E680">
        <f>VLOOKUP($B680,Sheet3!$B:$G,4,0)</f>
        <v>82.5</v>
      </c>
      <c r="F680">
        <f>VLOOKUP($B680,Sheet3!$B:$G,6,0)</f>
        <v>61</v>
      </c>
      <c r="G680">
        <f>VLOOKUP($B680,Sheet3!$B:$G,5,0)</f>
        <v>71</v>
      </c>
    </row>
    <row r="681" spans="1:7">
      <c r="A681">
        <v>241735</v>
      </c>
      <c r="B681" t="s">
        <v>687</v>
      </c>
      <c r="C681">
        <f>VLOOKUP($B681,Sheet3!$B:$G,2,0)</f>
        <v>67</v>
      </c>
      <c r="D681">
        <f>VLOOKUP($B681,Sheet3!$B:$G,3,0)</f>
        <v>63</v>
      </c>
      <c r="E681">
        <f>VLOOKUP($B681,Sheet3!$B:$G,4,0)</f>
        <v>70.5</v>
      </c>
      <c r="F681">
        <f>VLOOKUP($B681,Sheet3!$B:$G,6,0)</f>
        <v>63</v>
      </c>
      <c r="G681">
        <f>VLOOKUP($B681,Sheet3!$B:$G,5,0)</f>
        <v>57</v>
      </c>
    </row>
    <row r="682" spans="1:7">
      <c r="A682">
        <v>241736</v>
      </c>
      <c r="B682" t="s">
        <v>688</v>
      </c>
      <c r="C682">
        <f>VLOOKUP($B682,Sheet3!$B:$G,2,0)</f>
        <v>78</v>
      </c>
      <c r="D682">
        <f>VLOOKUP($B682,Sheet3!$B:$G,3,0)</f>
        <v>21</v>
      </c>
      <c r="E682">
        <f>VLOOKUP($B682,Sheet3!$B:$G,4,0)</f>
        <v>42.5</v>
      </c>
      <c r="F682">
        <f>VLOOKUP($B682,Sheet3!$B:$G,6,0)</f>
        <v>66</v>
      </c>
      <c r="G682">
        <f>VLOOKUP($B682,Sheet3!$B:$G,5,0)</f>
        <v>61</v>
      </c>
    </row>
    <row r="683" spans="1:7">
      <c r="A683">
        <v>241737</v>
      </c>
      <c r="B683" t="s">
        <v>689</v>
      </c>
      <c r="C683">
        <f>VLOOKUP($B683,Sheet3!$B:$G,2,0)</f>
        <v>94</v>
      </c>
      <c r="D683">
        <f>VLOOKUP($B683,Sheet3!$B:$G,3,0)</f>
        <v>84</v>
      </c>
      <c r="E683">
        <f>VLOOKUP($B683,Sheet3!$B:$G,4,0)</f>
        <v>90.5</v>
      </c>
      <c r="F683">
        <f>VLOOKUP($B683,Sheet3!$B:$G,6,0)</f>
        <v>82</v>
      </c>
      <c r="G683">
        <f>VLOOKUP($B683,Sheet3!$B:$G,5,0)</f>
        <v>76</v>
      </c>
    </row>
    <row r="684" spans="1:7">
      <c r="A684">
        <v>241738</v>
      </c>
      <c r="B684" t="s">
        <v>690</v>
      </c>
      <c r="C684">
        <f>VLOOKUP($B684,Sheet3!$B:$G,2,0)</f>
        <v>101</v>
      </c>
      <c r="D684">
        <f>VLOOKUP($B684,Sheet3!$B:$G,3,0)</f>
        <v>75</v>
      </c>
      <c r="E684">
        <f>VLOOKUP($B684,Sheet3!$B:$G,4,0)</f>
        <v>74</v>
      </c>
      <c r="F684">
        <f>VLOOKUP($B684,Sheet3!$B:$G,6,0)</f>
        <v>67</v>
      </c>
      <c r="G684">
        <f>VLOOKUP($B684,Sheet3!$B:$G,5,0)</f>
        <v>65</v>
      </c>
    </row>
    <row r="685" spans="1:7">
      <c r="A685">
        <v>241739</v>
      </c>
      <c r="B685" t="s">
        <v>691</v>
      </c>
      <c r="C685">
        <f>VLOOKUP($B685,Sheet3!$B:$G,2,0)</f>
        <v>71</v>
      </c>
      <c r="D685">
        <f>VLOOKUP($B685,Sheet3!$B:$G,3,0)</f>
        <v>54</v>
      </c>
      <c r="E685">
        <f>VLOOKUP($B685,Sheet3!$B:$G,4,0)</f>
        <v>88.5</v>
      </c>
      <c r="F685">
        <f>VLOOKUP($B685,Sheet3!$B:$G,6,0)</f>
        <v>65</v>
      </c>
      <c r="G685">
        <f>VLOOKUP($B685,Sheet3!$B:$G,5,0)</f>
        <v>59</v>
      </c>
    </row>
    <row r="686" spans="1:7">
      <c r="A686">
        <v>241741</v>
      </c>
      <c r="B686" t="s">
        <v>692</v>
      </c>
      <c r="C686">
        <f>VLOOKUP($B686,Sheet3!$B:$G,2,0)</f>
        <v>86</v>
      </c>
      <c r="D686">
        <f>VLOOKUP($B686,Sheet3!$B:$G,3,0)</f>
        <v>71</v>
      </c>
      <c r="E686">
        <f>VLOOKUP($B686,Sheet3!$B:$G,4,0)</f>
        <v>73</v>
      </c>
      <c r="F686">
        <f>VLOOKUP($B686,Sheet3!$B:$G,6,0)</f>
        <v>73</v>
      </c>
      <c r="G686">
        <f>VLOOKUP($B686,Sheet3!$B:$G,5,0)</f>
        <v>69</v>
      </c>
    </row>
    <row r="687" spans="1:7">
      <c r="A687">
        <v>241742</v>
      </c>
      <c r="B687" t="s">
        <v>693</v>
      </c>
      <c r="C687">
        <f>VLOOKUP($B687,Sheet3!$B:$G,2,0)</f>
        <v>84</v>
      </c>
      <c r="D687">
        <f>VLOOKUP($B687,Sheet3!$B:$G,3,0)</f>
        <v>75</v>
      </c>
      <c r="E687">
        <f>VLOOKUP($B687,Sheet3!$B:$G,4,0)</f>
        <v>63</v>
      </c>
      <c r="F687">
        <f>VLOOKUP($B687,Sheet3!$B:$G,6,0)</f>
        <v>53</v>
      </c>
      <c r="G687">
        <f>VLOOKUP($B687,Sheet3!$B:$G,5,0)</f>
        <v>71</v>
      </c>
    </row>
    <row r="688" spans="1:7">
      <c r="A688">
        <v>230545</v>
      </c>
      <c r="B688" t="s">
        <v>694</v>
      </c>
      <c r="C688">
        <f>VLOOKUP($B688,Sheet3!$B:$G,2,0)</f>
        <v>56</v>
      </c>
      <c r="D688">
        <f>VLOOKUP($B688,Sheet3!$B:$G,3,0)</f>
        <v>30</v>
      </c>
      <c r="E688" t="str">
        <f>VLOOKUP($B688,Sheet3!$B:$G,4,0)</f>
        <v>未扫，不计排名</v>
      </c>
      <c r="F688" t="str">
        <f>VLOOKUP($B688,Sheet3!$B:$G,6,0)</f>
        <v>未扫，不计排名</v>
      </c>
      <c r="G688">
        <f>VLOOKUP($B688,Sheet3!$B:$G,5,0)</f>
        <v>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99"/>
  <sheetViews>
    <sheetView workbookViewId="0">
      <selection activeCell="A699" sqref="A699:G699"/>
    </sheetView>
  </sheetViews>
  <sheetFormatPr defaultColWidth="9.23076923076923" defaultRowHeight="16.8" outlineLevelCol="6"/>
  <sheetData>
    <row r="1" spans="1:7">
      <c r="A1" s="1" t="s">
        <v>695</v>
      </c>
      <c r="B1" s="1" t="s">
        <v>696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697</v>
      </c>
    </row>
    <row r="2" spans="1:7">
      <c r="A2" s="3"/>
      <c r="B2" s="3"/>
      <c r="C2" s="4" t="s">
        <v>698</v>
      </c>
      <c r="D2" s="4" t="s">
        <v>698</v>
      </c>
      <c r="E2" s="4" t="s">
        <v>698</v>
      </c>
      <c r="F2" s="4" t="s">
        <v>698</v>
      </c>
      <c r="G2" s="4" t="s">
        <v>698</v>
      </c>
    </row>
    <row r="3" spans="1:7">
      <c r="A3" s="4" t="s">
        <v>699</v>
      </c>
      <c r="B3" s="4" t="s">
        <v>380</v>
      </c>
      <c r="C3" s="4">
        <v>109</v>
      </c>
      <c r="D3" s="4">
        <v>115</v>
      </c>
      <c r="E3" s="5">
        <v>116.5</v>
      </c>
      <c r="F3" s="4">
        <v>87</v>
      </c>
      <c r="G3" s="4">
        <v>89</v>
      </c>
    </row>
    <row r="4" spans="1:7">
      <c r="A4" s="4" t="s">
        <v>700</v>
      </c>
      <c r="B4" s="4" t="s">
        <v>267</v>
      </c>
      <c r="C4" s="4">
        <v>110</v>
      </c>
      <c r="D4" s="4">
        <v>115</v>
      </c>
      <c r="E4" s="4">
        <v>119</v>
      </c>
      <c r="F4" s="4">
        <v>81</v>
      </c>
      <c r="G4" s="4">
        <v>90</v>
      </c>
    </row>
    <row r="5" spans="1:7">
      <c r="A5" s="4" t="s">
        <v>700</v>
      </c>
      <c r="B5" s="4" t="s">
        <v>270</v>
      </c>
      <c r="C5" s="4">
        <v>111</v>
      </c>
      <c r="D5" s="4">
        <v>112</v>
      </c>
      <c r="E5" s="5">
        <v>118.5</v>
      </c>
      <c r="F5" s="4">
        <v>88</v>
      </c>
      <c r="G5" s="4">
        <v>85</v>
      </c>
    </row>
    <row r="6" spans="1:7">
      <c r="A6" s="4" t="s">
        <v>701</v>
      </c>
      <c r="B6" s="4" t="s">
        <v>447</v>
      </c>
      <c r="C6" s="4">
        <v>113</v>
      </c>
      <c r="D6" s="4">
        <v>112</v>
      </c>
      <c r="E6" s="4">
        <v>111</v>
      </c>
      <c r="F6" s="4">
        <v>84</v>
      </c>
      <c r="G6" s="4">
        <v>90</v>
      </c>
    </row>
    <row r="7" spans="1:7">
      <c r="A7" s="4" t="s">
        <v>702</v>
      </c>
      <c r="B7" s="4" t="s">
        <v>370</v>
      </c>
      <c r="C7" s="4">
        <v>106</v>
      </c>
      <c r="D7" s="4">
        <v>113</v>
      </c>
      <c r="E7" s="4">
        <v>115</v>
      </c>
      <c r="F7" s="4">
        <v>85</v>
      </c>
      <c r="G7" s="4">
        <v>90</v>
      </c>
    </row>
    <row r="8" spans="1:7">
      <c r="A8" s="4" t="s">
        <v>699</v>
      </c>
      <c r="B8" s="4" t="s">
        <v>388</v>
      </c>
      <c r="C8" s="4">
        <v>108</v>
      </c>
      <c r="D8" s="4">
        <v>112</v>
      </c>
      <c r="E8" s="4">
        <v>115</v>
      </c>
      <c r="F8" s="4">
        <v>85</v>
      </c>
      <c r="G8" s="4">
        <v>88</v>
      </c>
    </row>
    <row r="9" spans="1:7">
      <c r="A9" s="4" t="s">
        <v>703</v>
      </c>
      <c r="B9" s="4" t="s">
        <v>484</v>
      </c>
      <c r="C9" s="4">
        <v>110</v>
      </c>
      <c r="D9" s="4">
        <v>106</v>
      </c>
      <c r="E9" s="4">
        <v>117</v>
      </c>
      <c r="F9" s="4">
        <v>83</v>
      </c>
      <c r="G9" s="4">
        <v>88</v>
      </c>
    </row>
    <row r="10" spans="1:7">
      <c r="A10" s="4" t="s">
        <v>699</v>
      </c>
      <c r="B10" s="4" t="s">
        <v>404</v>
      </c>
      <c r="C10" s="4">
        <v>108</v>
      </c>
      <c r="D10" s="4">
        <v>104</v>
      </c>
      <c r="E10" s="5">
        <v>116.5</v>
      </c>
      <c r="F10" s="4">
        <v>84</v>
      </c>
      <c r="G10" s="4">
        <v>90</v>
      </c>
    </row>
    <row r="11" spans="1:7">
      <c r="A11" s="4" t="s">
        <v>702</v>
      </c>
      <c r="B11" s="4" t="s">
        <v>368</v>
      </c>
      <c r="C11" s="4">
        <v>108</v>
      </c>
      <c r="D11" s="4">
        <v>106</v>
      </c>
      <c r="E11" s="4">
        <v>117</v>
      </c>
      <c r="F11" s="4">
        <v>85</v>
      </c>
      <c r="G11" s="4">
        <v>85</v>
      </c>
    </row>
    <row r="12" spans="1:7">
      <c r="A12" s="4" t="s">
        <v>700</v>
      </c>
      <c r="B12" s="4" t="s">
        <v>704</v>
      </c>
      <c r="C12" s="4">
        <v>111</v>
      </c>
      <c r="D12" s="4">
        <v>108</v>
      </c>
      <c r="E12" s="4">
        <v>112</v>
      </c>
      <c r="F12" s="4">
        <v>83</v>
      </c>
      <c r="G12" s="4">
        <v>86</v>
      </c>
    </row>
    <row r="13" spans="1:7">
      <c r="A13" s="4" t="s">
        <v>705</v>
      </c>
      <c r="B13" s="4" t="s">
        <v>504</v>
      </c>
      <c r="C13" s="4">
        <v>104</v>
      </c>
      <c r="D13" s="4">
        <v>110</v>
      </c>
      <c r="E13" s="5">
        <v>115.5</v>
      </c>
      <c r="F13" s="4">
        <v>82</v>
      </c>
      <c r="G13" s="4">
        <v>88</v>
      </c>
    </row>
    <row r="14" spans="1:7">
      <c r="A14" s="4" t="s">
        <v>702</v>
      </c>
      <c r="B14" s="4" t="s">
        <v>352</v>
      </c>
      <c r="C14" s="4">
        <v>110</v>
      </c>
      <c r="D14" s="4">
        <v>103</v>
      </c>
      <c r="E14" s="4">
        <v>117</v>
      </c>
      <c r="F14" s="4">
        <v>82</v>
      </c>
      <c r="G14" s="4">
        <v>87</v>
      </c>
    </row>
    <row r="15" spans="1:7">
      <c r="A15" s="4" t="s">
        <v>706</v>
      </c>
      <c r="B15" s="4" t="s">
        <v>373</v>
      </c>
      <c r="C15" s="4">
        <v>105</v>
      </c>
      <c r="D15" s="4">
        <v>107</v>
      </c>
      <c r="E15" s="5">
        <v>115.5</v>
      </c>
      <c r="F15" s="4">
        <v>82</v>
      </c>
      <c r="G15" s="4">
        <v>89</v>
      </c>
    </row>
    <row r="16" spans="1:7">
      <c r="A16" s="4" t="s">
        <v>702</v>
      </c>
      <c r="B16" s="4" t="s">
        <v>336</v>
      </c>
      <c r="C16" s="4">
        <v>102</v>
      </c>
      <c r="D16" s="4">
        <v>105</v>
      </c>
      <c r="E16" s="4">
        <v>117</v>
      </c>
      <c r="F16" s="4">
        <v>86</v>
      </c>
      <c r="G16" s="4">
        <v>88</v>
      </c>
    </row>
    <row r="17" spans="1:7">
      <c r="A17" s="4" t="s">
        <v>705</v>
      </c>
      <c r="B17" s="4" t="s">
        <v>515</v>
      </c>
      <c r="C17" s="4">
        <v>102</v>
      </c>
      <c r="D17" s="4">
        <v>109</v>
      </c>
      <c r="E17" s="4">
        <v>113</v>
      </c>
      <c r="F17" s="4">
        <v>87</v>
      </c>
      <c r="G17" s="4">
        <v>87</v>
      </c>
    </row>
    <row r="18" spans="1:7">
      <c r="A18" s="4" t="s">
        <v>701</v>
      </c>
      <c r="B18" s="4" t="s">
        <v>416</v>
      </c>
      <c r="C18" s="4">
        <v>104</v>
      </c>
      <c r="D18" s="4">
        <v>102</v>
      </c>
      <c r="E18" s="4">
        <v>118</v>
      </c>
      <c r="F18" s="4">
        <v>84</v>
      </c>
      <c r="G18" s="4">
        <v>90</v>
      </c>
    </row>
    <row r="19" spans="1:7">
      <c r="A19" s="4" t="s">
        <v>707</v>
      </c>
      <c r="B19" s="4" t="s">
        <v>301</v>
      </c>
      <c r="C19" s="4">
        <v>109</v>
      </c>
      <c r="D19" s="4">
        <v>110</v>
      </c>
      <c r="E19" s="5">
        <v>115.5</v>
      </c>
      <c r="F19" s="4">
        <v>81</v>
      </c>
      <c r="G19" s="4">
        <v>82</v>
      </c>
    </row>
    <row r="20" spans="1:7">
      <c r="A20" s="4" t="s">
        <v>707</v>
      </c>
      <c r="B20" s="4" t="s">
        <v>296</v>
      </c>
      <c r="C20" s="4">
        <v>102</v>
      </c>
      <c r="D20" s="4">
        <v>106</v>
      </c>
      <c r="E20" s="4">
        <v>116</v>
      </c>
      <c r="F20" s="4">
        <v>83</v>
      </c>
      <c r="G20" s="4">
        <v>87</v>
      </c>
    </row>
    <row r="21" spans="1:7">
      <c r="A21" s="4" t="s">
        <v>702</v>
      </c>
      <c r="B21" s="4" t="s">
        <v>335</v>
      </c>
      <c r="C21" s="4">
        <v>114</v>
      </c>
      <c r="D21" s="4">
        <v>102</v>
      </c>
      <c r="E21" s="5">
        <v>111.5</v>
      </c>
      <c r="F21" s="4">
        <v>79</v>
      </c>
      <c r="G21" s="4">
        <v>87</v>
      </c>
    </row>
    <row r="22" spans="1:7">
      <c r="A22" s="4" t="s">
        <v>705</v>
      </c>
      <c r="B22" s="4" t="s">
        <v>499</v>
      </c>
      <c r="C22" s="4">
        <v>100</v>
      </c>
      <c r="D22" s="4">
        <v>114</v>
      </c>
      <c r="E22" s="5">
        <v>112.5</v>
      </c>
      <c r="F22" s="4">
        <v>77</v>
      </c>
      <c r="G22" s="4">
        <v>90</v>
      </c>
    </row>
    <row r="23" spans="1:7">
      <c r="A23" s="4" t="s">
        <v>699</v>
      </c>
      <c r="B23" s="4" t="s">
        <v>408</v>
      </c>
      <c r="C23" s="4">
        <v>104</v>
      </c>
      <c r="D23" s="4">
        <v>111</v>
      </c>
      <c r="E23" s="5">
        <v>111.5</v>
      </c>
      <c r="F23" s="4">
        <v>80</v>
      </c>
      <c r="G23" s="4">
        <v>87</v>
      </c>
    </row>
    <row r="24" spans="1:7">
      <c r="A24" s="4" t="s">
        <v>707</v>
      </c>
      <c r="B24" s="4" t="s">
        <v>316</v>
      </c>
      <c r="C24" s="4">
        <v>103</v>
      </c>
      <c r="D24" s="4">
        <v>106</v>
      </c>
      <c r="E24" s="5">
        <v>113.5</v>
      </c>
      <c r="F24" s="4">
        <v>84</v>
      </c>
      <c r="G24" s="4">
        <v>86</v>
      </c>
    </row>
    <row r="25" spans="1:7">
      <c r="A25" s="4" t="s">
        <v>703</v>
      </c>
      <c r="B25" s="4" t="s">
        <v>489</v>
      </c>
      <c r="C25" s="4">
        <v>105</v>
      </c>
      <c r="D25" s="4">
        <v>107</v>
      </c>
      <c r="E25" s="5">
        <v>109.5</v>
      </c>
      <c r="F25" s="4">
        <v>83</v>
      </c>
      <c r="G25" s="4">
        <v>88</v>
      </c>
    </row>
    <row r="26" spans="1:7">
      <c r="A26" s="4" t="s">
        <v>700</v>
      </c>
      <c r="B26" s="4" t="s">
        <v>276</v>
      </c>
      <c r="C26" s="4">
        <v>96</v>
      </c>
      <c r="D26" s="4">
        <v>113</v>
      </c>
      <c r="E26" s="5">
        <v>112.5</v>
      </c>
      <c r="F26" s="4">
        <v>83</v>
      </c>
      <c r="G26" s="4">
        <v>88</v>
      </c>
    </row>
    <row r="27" spans="1:7">
      <c r="A27" s="4" t="s">
        <v>708</v>
      </c>
      <c r="B27" s="4" t="s">
        <v>113</v>
      </c>
      <c r="C27" s="4">
        <v>105</v>
      </c>
      <c r="D27" s="4">
        <v>104</v>
      </c>
      <c r="E27" s="5">
        <v>111.5</v>
      </c>
      <c r="F27" s="4">
        <v>83</v>
      </c>
      <c r="G27" s="4">
        <v>88</v>
      </c>
    </row>
    <row r="28" spans="1:7">
      <c r="A28" s="4" t="s">
        <v>699</v>
      </c>
      <c r="B28" s="4" t="s">
        <v>402</v>
      </c>
      <c r="C28" s="4">
        <v>106</v>
      </c>
      <c r="D28" s="4">
        <v>109</v>
      </c>
      <c r="E28" s="4">
        <v>114</v>
      </c>
      <c r="F28" s="4">
        <v>78</v>
      </c>
      <c r="G28" s="4">
        <v>84</v>
      </c>
    </row>
    <row r="29" spans="1:7">
      <c r="A29" s="4" t="s">
        <v>703</v>
      </c>
      <c r="B29" s="4" t="s">
        <v>473</v>
      </c>
      <c r="C29" s="4">
        <v>111</v>
      </c>
      <c r="D29" s="4">
        <v>99</v>
      </c>
      <c r="E29" s="4">
        <v>115</v>
      </c>
      <c r="F29" s="4">
        <v>79</v>
      </c>
      <c r="G29" s="4">
        <v>86</v>
      </c>
    </row>
    <row r="30" spans="1:7">
      <c r="A30" s="4" t="s">
        <v>700</v>
      </c>
      <c r="B30" s="4" t="s">
        <v>269</v>
      </c>
      <c r="C30" s="4">
        <v>100</v>
      </c>
      <c r="D30" s="4">
        <v>102</v>
      </c>
      <c r="E30" s="4">
        <v>115</v>
      </c>
      <c r="F30" s="4">
        <v>83</v>
      </c>
      <c r="G30" s="4">
        <v>90</v>
      </c>
    </row>
    <row r="31" spans="1:7">
      <c r="A31" s="4" t="s">
        <v>705</v>
      </c>
      <c r="B31" s="4" t="s">
        <v>498</v>
      </c>
      <c r="C31" s="4">
        <v>99</v>
      </c>
      <c r="D31" s="4">
        <v>110</v>
      </c>
      <c r="E31" s="5">
        <v>116.5</v>
      </c>
      <c r="F31" s="4">
        <v>77</v>
      </c>
      <c r="G31" s="4">
        <v>87</v>
      </c>
    </row>
    <row r="32" spans="1:7">
      <c r="A32" s="4" t="s">
        <v>706</v>
      </c>
      <c r="B32" s="4" t="s">
        <v>374</v>
      </c>
      <c r="C32" s="4">
        <v>107</v>
      </c>
      <c r="D32" s="4">
        <v>102</v>
      </c>
      <c r="E32" s="5">
        <v>111.5</v>
      </c>
      <c r="F32" s="4">
        <v>83</v>
      </c>
      <c r="G32" s="4">
        <v>86</v>
      </c>
    </row>
    <row r="33" spans="1:7">
      <c r="A33" s="4" t="s">
        <v>702</v>
      </c>
      <c r="B33" s="4" t="s">
        <v>347</v>
      </c>
      <c r="C33" s="4">
        <v>110</v>
      </c>
      <c r="D33" s="4">
        <v>100</v>
      </c>
      <c r="E33" s="4">
        <v>112</v>
      </c>
      <c r="F33" s="4">
        <v>82</v>
      </c>
      <c r="G33" s="4">
        <v>85</v>
      </c>
    </row>
    <row r="34" spans="1:7">
      <c r="A34" s="4" t="s">
        <v>705</v>
      </c>
      <c r="B34" s="4" t="s">
        <v>524</v>
      </c>
      <c r="C34" s="4">
        <v>112</v>
      </c>
      <c r="D34" s="4">
        <v>96</v>
      </c>
      <c r="E34" s="4">
        <v>114</v>
      </c>
      <c r="F34" s="4">
        <v>80</v>
      </c>
      <c r="G34" s="4">
        <v>87</v>
      </c>
    </row>
    <row r="35" spans="1:7">
      <c r="A35" s="4" t="s">
        <v>701</v>
      </c>
      <c r="B35" s="4" t="s">
        <v>431</v>
      </c>
      <c r="C35" s="4">
        <v>98</v>
      </c>
      <c r="D35" s="4">
        <v>97</v>
      </c>
      <c r="E35" s="5">
        <v>117.5</v>
      </c>
      <c r="F35" s="4">
        <v>86</v>
      </c>
      <c r="G35" s="4">
        <v>90</v>
      </c>
    </row>
    <row r="36" spans="1:7">
      <c r="A36" s="4" t="s">
        <v>702</v>
      </c>
      <c r="B36" s="4" t="s">
        <v>345</v>
      </c>
      <c r="C36" s="4">
        <v>97</v>
      </c>
      <c r="D36" s="4">
        <v>108</v>
      </c>
      <c r="E36" s="4">
        <v>114</v>
      </c>
      <c r="F36" s="4">
        <v>81</v>
      </c>
      <c r="G36" s="4">
        <v>88</v>
      </c>
    </row>
    <row r="37" spans="1:7">
      <c r="A37" s="4" t="s">
        <v>699</v>
      </c>
      <c r="B37" s="4" t="s">
        <v>375</v>
      </c>
      <c r="C37" s="4">
        <v>101</v>
      </c>
      <c r="D37" s="4">
        <v>109</v>
      </c>
      <c r="E37" s="4">
        <v>115</v>
      </c>
      <c r="F37" s="4">
        <v>80</v>
      </c>
      <c r="G37" s="4">
        <v>83</v>
      </c>
    </row>
    <row r="38" spans="1:7">
      <c r="A38" s="4" t="s">
        <v>706</v>
      </c>
      <c r="B38" s="4" t="s">
        <v>533</v>
      </c>
      <c r="C38" s="4">
        <v>105</v>
      </c>
      <c r="D38" s="4">
        <v>102</v>
      </c>
      <c r="E38" s="4">
        <v>111</v>
      </c>
      <c r="F38" s="4">
        <v>81</v>
      </c>
      <c r="G38" s="4">
        <v>89</v>
      </c>
    </row>
    <row r="39" spans="1:7">
      <c r="A39" s="4" t="s">
        <v>701</v>
      </c>
      <c r="B39" s="4" t="s">
        <v>421</v>
      </c>
      <c r="C39" s="4">
        <v>109</v>
      </c>
      <c r="D39" s="4">
        <v>98</v>
      </c>
      <c r="E39" s="4">
        <v>114</v>
      </c>
      <c r="F39" s="4">
        <v>81</v>
      </c>
      <c r="G39" s="4">
        <v>86</v>
      </c>
    </row>
    <row r="40" spans="1:7">
      <c r="A40" s="4" t="s">
        <v>702</v>
      </c>
      <c r="B40" s="4" t="s">
        <v>366</v>
      </c>
      <c r="C40" s="4">
        <v>95</v>
      </c>
      <c r="D40" s="4">
        <v>107</v>
      </c>
      <c r="E40" s="5">
        <v>116.5</v>
      </c>
      <c r="F40" s="4">
        <v>80</v>
      </c>
      <c r="G40" s="4">
        <v>89</v>
      </c>
    </row>
    <row r="41" spans="1:7">
      <c r="A41" s="4" t="s">
        <v>705</v>
      </c>
      <c r="B41" s="4" t="s">
        <v>520</v>
      </c>
      <c r="C41" s="4">
        <v>100</v>
      </c>
      <c r="D41" s="4">
        <v>100</v>
      </c>
      <c r="E41" s="5">
        <v>118.5</v>
      </c>
      <c r="F41" s="4">
        <v>81</v>
      </c>
      <c r="G41" s="4">
        <v>88</v>
      </c>
    </row>
    <row r="42" spans="1:7">
      <c r="A42" s="4" t="s">
        <v>701</v>
      </c>
      <c r="B42" s="4" t="s">
        <v>446</v>
      </c>
      <c r="C42" s="4">
        <v>102</v>
      </c>
      <c r="D42" s="4">
        <v>104</v>
      </c>
      <c r="E42" s="5">
        <v>113.5</v>
      </c>
      <c r="F42" s="4">
        <v>80</v>
      </c>
      <c r="G42" s="4">
        <v>88</v>
      </c>
    </row>
    <row r="43" spans="1:7">
      <c r="A43" s="4" t="s">
        <v>700</v>
      </c>
      <c r="B43" s="4" t="s">
        <v>288</v>
      </c>
      <c r="C43" s="4">
        <v>105</v>
      </c>
      <c r="D43" s="4">
        <v>103</v>
      </c>
      <c r="E43" s="5">
        <v>109.5</v>
      </c>
      <c r="F43" s="4">
        <v>82</v>
      </c>
      <c r="G43" s="4">
        <v>88</v>
      </c>
    </row>
    <row r="44" spans="1:7">
      <c r="A44" s="4" t="s">
        <v>702</v>
      </c>
      <c r="B44" s="4" t="s">
        <v>355</v>
      </c>
      <c r="C44" s="4">
        <v>104</v>
      </c>
      <c r="D44" s="4">
        <v>105</v>
      </c>
      <c r="E44" s="4">
        <v>112</v>
      </c>
      <c r="F44" s="4">
        <v>80</v>
      </c>
      <c r="G44" s="4">
        <v>86</v>
      </c>
    </row>
    <row r="45" spans="1:7">
      <c r="A45" s="4" t="s">
        <v>705</v>
      </c>
      <c r="B45" s="4" t="s">
        <v>496</v>
      </c>
      <c r="C45" s="4">
        <v>100</v>
      </c>
      <c r="D45" s="4">
        <v>104</v>
      </c>
      <c r="E45" s="5">
        <v>111.5</v>
      </c>
      <c r="F45" s="4">
        <v>81</v>
      </c>
      <c r="G45" s="4">
        <v>90</v>
      </c>
    </row>
    <row r="46" spans="1:7">
      <c r="A46" s="4" t="s">
        <v>702</v>
      </c>
      <c r="B46" s="4" t="s">
        <v>339</v>
      </c>
      <c r="C46" s="4">
        <v>102</v>
      </c>
      <c r="D46" s="4">
        <v>106</v>
      </c>
      <c r="E46" s="4">
        <v>109</v>
      </c>
      <c r="F46" s="4">
        <v>85</v>
      </c>
      <c r="G46" s="4">
        <v>84</v>
      </c>
    </row>
    <row r="47" spans="1:7">
      <c r="A47" s="4" t="s">
        <v>700</v>
      </c>
      <c r="B47" s="4" t="s">
        <v>258</v>
      </c>
      <c r="C47" s="4">
        <v>107</v>
      </c>
      <c r="D47" s="4">
        <v>96</v>
      </c>
      <c r="E47" s="5">
        <v>115.5</v>
      </c>
      <c r="F47" s="4">
        <v>80</v>
      </c>
      <c r="G47" s="4">
        <v>86</v>
      </c>
    </row>
    <row r="48" spans="1:7">
      <c r="A48" s="4" t="s">
        <v>699</v>
      </c>
      <c r="B48" s="4" t="s">
        <v>398</v>
      </c>
      <c r="C48" s="4">
        <v>102</v>
      </c>
      <c r="D48" s="4">
        <v>98</v>
      </c>
      <c r="E48" s="5">
        <v>114.5</v>
      </c>
      <c r="F48" s="4">
        <v>84</v>
      </c>
      <c r="G48" s="4">
        <v>86</v>
      </c>
    </row>
    <row r="49" spans="1:7">
      <c r="A49" s="4" t="s">
        <v>706</v>
      </c>
      <c r="B49" s="4" t="s">
        <v>207</v>
      </c>
      <c r="C49" s="4">
        <v>100</v>
      </c>
      <c r="D49" s="4">
        <v>98</v>
      </c>
      <c r="E49" s="4">
        <v>114</v>
      </c>
      <c r="F49" s="4">
        <v>84</v>
      </c>
      <c r="G49" s="4">
        <v>88</v>
      </c>
    </row>
    <row r="50" spans="1:7">
      <c r="A50" s="4" t="s">
        <v>707</v>
      </c>
      <c r="B50" s="4" t="s">
        <v>311</v>
      </c>
      <c r="C50" s="4">
        <v>106</v>
      </c>
      <c r="D50" s="4">
        <v>98</v>
      </c>
      <c r="E50" s="5">
        <v>117.5</v>
      </c>
      <c r="F50" s="4">
        <v>78</v>
      </c>
      <c r="G50" s="4">
        <v>84</v>
      </c>
    </row>
    <row r="51" spans="1:7">
      <c r="A51" s="4" t="s">
        <v>707</v>
      </c>
      <c r="B51" s="4" t="s">
        <v>322</v>
      </c>
      <c r="C51" s="4">
        <v>101</v>
      </c>
      <c r="D51" s="4">
        <v>94</v>
      </c>
      <c r="E51" s="5">
        <v>119.5</v>
      </c>
      <c r="F51" s="4">
        <v>81</v>
      </c>
      <c r="G51" s="4">
        <v>88</v>
      </c>
    </row>
    <row r="52" spans="1:7">
      <c r="A52" s="4" t="s">
        <v>707</v>
      </c>
      <c r="B52" s="4" t="s">
        <v>331</v>
      </c>
      <c r="C52" s="4">
        <v>108</v>
      </c>
      <c r="D52" s="4">
        <v>95</v>
      </c>
      <c r="E52" s="4">
        <v>116</v>
      </c>
      <c r="F52" s="4">
        <v>76</v>
      </c>
      <c r="G52" s="4">
        <v>88</v>
      </c>
    </row>
    <row r="53" spans="1:7">
      <c r="A53" s="4" t="s">
        <v>702</v>
      </c>
      <c r="B53" s="4" t="s">
        <v>351</v>
      </c>
      <c r="C53" s="4">
        <v>112</v>
      </c>
      <c r="D53" s="4">
        <v>103</v>
      </c>
      <c r="E53" s="5">
        <v>112.5</v>
      </c>
      <c r="F53" s="4">
        <v>78</v>
      </c>
      <c r="G53" s="4">
        <v>77</v>
      </c>
    </row>
    <row r="54" spans="1:7">
      <c r="A54" s="4" t="s">
        <v>705</v>
      </c>
      <c r="B54" s="4" t="s">
        <v>530</v>
      </c>
      <c r="C54" s="4">
        <v>101</v>
      </c>
      <c r="D54" s="4">
        <v>102</v>
      </c>
      <c r="E54" s="5">
        <v>117.5</v>
      </c>
      <c r="F54" s="4">
        <v>78</v>
      </c>
      <c r="G54" s="4">
        <v>84</v>
      </c>
    </row>
    <row r="55" spans="1:7">
      <c r="A55" s="4" t="s">
        <v>699</v>
      </c>
      <c r="B55" s="4" t="s">
        <v>396</v>
      </c>
      <c r="C55" s="4">
        <v>105</v>
      </c>
      <c r="D55" s="4">
        <v>104</v>
      </c>
      <c r="E55" s="5">
        <v>110.5</v>
      </c>
      <c r="F55" s="4">
        <v>80</v>
      </c>
      <c r="G55" s="4">
        <v>83</v>
      </c>
    </row>
    <row r="56" spans="1:7">
      <c r="A56" s="4" t="s">
        <v>707</v>
      </c>
      <c r="B56" s="4" t="s">
        <v>314</v>
      </c>
      <c r="C56" s="4">
        <v>102</v>
      </c>
      <c r="D56" s="4">
        <v>107</v>
      </c>
      <c r="E56" s="5">
        <v>107.5</v>
      </c>
      <c r="F56" s="4">
        <v>83</v>
      </c>
      <c r="G56" s="4">
        <v>83</v>
      </c>
    </row>
    <row r="57" spans="1:7">
      <c r="A57" s="4" t="s">
        <v>705</v>
      </c>
      <c r="B57" s="4" t="s">
        <v>512</v>
      </c>
      <c r="C57" s="4">
        <v>106</v>
      </c>
      <c r="D57" s="4">
        <v>96</v>
      </c>
      <c r="E57" s="4">
        <v>113</v>
      </c>
      <c r="F57" s="4">
        <v>85</v>
      </c>
      <c r="G57" s="4">
        <v>82</v>
      </c>
    </row>
    <row r="58" spans="1:7">
      <c r="A58" s="4" t="s">
        <v>699</v>
      </c>
      <c r="B58" s="4" t="s">
        <v>411</v>
      </c>
      <c r="C58" s="4">
        <v>111</v>
      </c>
      <c r="D58" s="4">
        <v>101</v>
      </c>
      <c r="E58" s="4">
        <v>107</v>
      </c>
      <c r="F58" s="4">
        <v>74</v>
      </c>
      <c r="G58" s="4">
        <v>89</v>
      </c>
    </row>
    <row r="59" spans="1:7">
      <c r="A59" s="4" t="s">
        <v>700</v>
      </c>
      <c r="B59" s="4" t="s">
        <v>290</v>
      </c>
      <c r="C59" s="4">
        <v>106</v>
      </c>
      <c r="D59" s="4">
        <v>101</v>
      </c>
      <c r="E59" s="4">
        <v>108</v>
      </c>
      <c r="F59" s="4">
        <v>79</v>
      </c>
      <c r="G59" s="4">
        <v>88</v>
      </c>
    </row>
    <row r="60" spans="1:7">
      <c r="A60" s="4" t="s">
        <v>707</v>
      </c>
      <c r="B60" s="4" t="s">
        <v>297</v>
      </c>
      <c r="C60" s="4">
        <v>96</v>
      </c>
      <c r="D60" s="4">
        <v>107</v>
      </c>
      <c r="E60" s="5">
        <v>112.5</v>
      </c>
      <c r="F60" s="4">
        <v>83</v>
      </c>
      <c r="G60" s="4">
        <v>83</v>
      </c>
    </row>
    <row r="61" spans="1:7">
      <c r="A61" s="4" t="s">
        <v>701</v>
      </c>
      <c r="B61" s="4" t="s">
        <v>442</v>
      </c>
      <c r="C61" s="4">
        <v>103</v>
      </c>
      <c r="D61" s="4">
        <v>107</v>
      </c>
      <c r="E61" s="4">
        <v>116</v>
      </c>
      <c r="F61" s="4">
        <v>73</v>
      </c>
      <c r="G61" s="4">
        <v>82</v>
      </c>
    </row>
    <row r="62" spans="1:7">
      <c r="A62" s="4" t="s">
        <v>703</v>
      </c>
      <c r="B62" s="4" t="s">
        <v>471</v>
      </c>
      <c r="C62" s="4">
        <v>95</v>
      </c>
      <c r="D62" s="4">
        <v>106</v>
      </c>
      <c r="E62" s="4">
        <v>116</v>
      </c>
      <c r="F62" s="4">
        <v>81</v>
      </c>
      <c r="G62" s="4">
        <v>83</v>
      </c>
    </row>
    <row r="63" spans="1:7">
      <c r="A63" s="4" t="s">
        <v>702</v>
      </c>
      <c r="B63" s="4" t="s">
        <v>342</v>
      </c>
      <c r="C63" s="4">
        <v>108</v>
      </c>
      <c r="D63" s="4">
        <v>100</v>
      </c>
      <c r="E63" s="4">
        <v>114</v>
      </c>
      <c r="F63" s="4">
        <v>72</v>
      </c>
      <c r="G63" s="4">
        <v>86</v>
      </c>
    </row>
    <row r="64" spans="1:7">
      <c r="A64" s="4" t="s">
        <v>705</v>
      </c>
      <c r="B64" s="4" t="s">
        <v>495</v>
      </c>
      <c r="C64" s="4">
        <v>97</v>
      </c>
      <c r="D64" s="4">
        <v>104</v>
      </c>
      <c r="E64" s="4">
        <v>115</v>
      </c>
      <c r="F64" s="4">
        <v>81</v>
      </c>
      <c r="G64" s="4">
        <v>83</v>
      </c>
    </row>
    <row r="65" spans="1:7">
      <c r="A65" s="4" t="s">
        <v>701</v>
      </c>
      <c r="B65" s="4" t="s">
        <v>436</v>
      </c>
      <c r="C65" s="4">
        <v>103</v>
      </c>
      <c r="D65" s="4">
        <v>97</v>
      </c>
      <c r="E65" s="4">
        <v>114</v>
      </c>
      <c r="F65" s="4">
        <v>81</v>
      </c>
      <c r="G65" s="4">
        <v>85</v>
      </c>
    </row>
    <row r="66" spans="1:7">
      <c r="A66" s="4" t="s">
        <v>705</v>
      </c>
      <c r="B66" s="4" t="s">
        <v>506</v>
      </c>
      <c r="C66" s="4">
        <v>101</v>
      </c>
      <c r="D66" s="4">
        <v>103</v>
      </c>
      <c r="E66" s="5">
        <v>114.5</v>
      </c>
      <c r="F66" s="4">
        <v>79</v>
      </c>
      <c r="G66" s="4">
        <v>82</v>
      </c>
    </row>
    <row r="67" spans="1:7">
      <c r="A67" s="4" t="s">
        <v>699</v>
      </c>
      <c r="B67" s="4" t="s">
        <v>382</v>
      </c>
      <c r="C67" s="4">
        <v>100</v>
      </c>
      <c r="D67" s="4">
        <v>92</v>
      </c>
      <c r="E67" s="5">
        <v>115.5</v>
      </c>
      <c r="F67" s="4">
        <v>83</v>
      </c>
      <c r="G67" s="4">
        <v>89</v>
      </c>
    </row>
    <row r="68" spans="1:7">
      <c r="A68" s="4" t="s">
        <v>705</v>
      </c>
      <c r="B68" s="4" t="s">
        <v>531</v>
      </c>
      <c r="C68" s="4">
        <v>104</v>
      </c>
      <c r="D68" s="4">
        <v>101</v>
      </c>
      <c r="E68" s="4">
        <v>111</v>
      </c>
      <c r="F68" s="4">
        <v>77</v>
      </c>
      <c r="G68" s="4">
        <v>86</v>
      </c>
    </row>
    <row r="69" spans="1:7">
      <c r="A69" s="4" t="s">
        <v>709</v>
      </c>
      <c r="B69" s="4" t="s">
        <v>160</v>
      </c>
      <c r="C69" s="4">
        <v>97</v>
      </c>
      <c r="D69" s="4">
        <v>102</v>
      </c>
      <c r="E69" s="4">
        <v>106</v>
      </c>
      <c r="F69" s="4">
        <v>86</v>
      </c>
      <c r="G69" s="4">
        <v>88</v>
      </c>
    </row>
    <row r="70" spans="1:7">
      <c r="A70" s="4" t="s">
        <v>701</v>
      </c>
      <c r="B70" s="4" t="s">
        <v>437</v>
      </c>
      <c r="C70" s="4">
        <v>100</v>
      </c>
      <c r="D70" s="4">
        <v>100</v>
      </c>
      <c r="E70" s="4">
        <v>112</v>
      </c>
      <c r="F70" s="4">
        <v>77</v>
      </c>
      <c r="G70" s="4">
        <v>90</v>
      </c>
    </row>
    <row r="71" spans="1:7">
      <c r="A71" s="4" t="s">
        <v>705</v>
      </c>
      <c r="B71" s="4" t="s">
        <v>505</v>
      </c>
      <c r="C71" s="4">
        <v>99</v>
      </c>
      <c r="D71" s="4">
        <v>103</v>
      </c>
      <c r="E71" s="4">
        <v>113</v>
      </c>
      <c r="F71" s="4">
        <v>78</v>
      </c>
      <c r="G71" s="4">
        <v>85</v>
      </c>
    </row>
    <row r="72" spans="1:7">
      <c r="A72" s="4" t="s">
        <v>699</v>
      </c>
      <c r="B72" s="4" t="s">
        <v>397</v>
      </c>
      <c r="C72" s="4">
        <v>96</v>
      </c>
      <c r="D72" s="4">
        <v>105</v>
      </c>
      <c r="E72" s="4">
        <v>108</v>
      </c>
      <c r="F72" s="4">
        <v>81</v>
      </c>
      <c r="G72" s="4">
        <v>88</v>
      </c>
    </row>
    <row r="73" spans="1:7">
      <c r="A73" s="4" t="s">
        <v>701</v>
      </c>
      <c r="B73" s="4" t="s">
        <v>435</v>
      </c>
      <c r="C73" s="4">
        <v>104</v>
      </c>
      <c r="D73" s="4">
        <v>102</v>
      </c>
      <c r="E73" s="4">
        <v>113</v>
      </c>
      <c r="F73" s="4">
        <v>73</v>
      </c>
      <c r="G73" s="4">
        <v>86</v>
      </c>
    </row>
    <row r="74" spans="1:7">
      <c r="A74" s="4" t="s">
        <v>701</v>
      </c>
      <c r="B74" s="4" t="s">
        <v>417</v>
      </c>
      <c r="C74" s="4">
        <v>98</v>
      </c>
      <c r="D74" s="4">
        <v>97</v>
      </c>
      <c r="E74" s="4">
        <v>114</v>
      </c>
      <c r="F74" s="4">
        <v>81</v>
      </c>
      <c r="G74" s="4">
        <v>87</v>
      </c>
    </row>
    <row r="75" spans="1:7">
      <c r="A75" s="4" t="s">
        <v>701</v>
      </c>
      <c r="B75" s="4" t="s">
        <v>452</v>
      </c>
      <c r="C75" s="4">
        <v>103</v>
      </c>
      <c r="D75" s="4">
        <v>102</v>
      </c>
      <c r="E75" s="4">
        <v>110</v>
      </c>
      <c r="F75" s="4">
        <v>78</v>
      </c>
      <c r="G75" s="4">
        <v>84</v>
      </c>
    </row>
    <row r="76" spans="1:7">
      <c r="A76" s="4" t="s">
        <v>700</v>
      </c>
      <c r="B76" s="4" t="s">
        <v>261</v>
      </c>
      <c r="C76" s="4">
        <v>99</v>
      </c>
      <c r="D76" s="4">
        <v>103</v>
      </c>
      <c r="E76" s="5">
        <v>113.5</v>
      </c>
      <c r="F76" s="4">
        <v>72</v>
      </c>
      <c r="G76" s="4">
        <v>89</v>
      </c>
    </row>
    <row r="77" spans="1:7">
      <c r="A77" s="4" t="s">
        <v>703</v>
      </c>
      <c r="B77" s="4" t="s">
        <v>480</v>
      </c>
      <c r="C77" s="4">
        <v>103</v>
      </c>
      <c r="D77" s="4">
        <v>105</v>
      </c>
      <c r="E77" s="5">
        <v>108.5</v>
      </c>
      <c r="F77" s="4">
        <v>72</v>
      </c>
      <c r="G77" s="4">
        <v>88</v>
      </c>
    </row>
    <row r="78" spans="1:7">
      <c r="A78" s="4" t="s">
        <v>700</v>
      </c>
      <c r="B78" s="4" t="s">
        <v>275</v>
      </c>
      <c r="C78" s="4">
        <v>104</v>
      </c>
      <c r="D78" s="4">
        <v>101</v>
      </c>
      <c r="E78" s="5">
        <v>110.5</v>
      </c>
      <c r="F78" s="4">
        <v>77</v>
      </c>
      <c r="G78" s="4">
        <v>84</v>
      </c>
    </row>
    <row r="79" spans="1:7">
      <c r="A79" s="4" t="s">
        <v>700</v>
      </c>
      <c r="B79" s="4" t="s">
        <v>264</v>
      </c>
      <c r="C79" s="4">
        <v>101</v>
      </c>
      <c r="D79" s="4">
        <v>97</v>
      </c>
      <c r="E79" s="4">
        <v>117</v>
      </c>
      <c r="F79" s="4">
        <v>74</v>
      </c>
      <c r="G79" s="4">
        <v>87</v>
      </c>
    </row>
    <row r="80" spans="1:7">
      <c r="A80" s="4" t="s">
        <v>705</v>
      </c>
      <c r="B80" s="4" t="s">
        <v>502</v>
      </c>
      <c r="C80" s="4">
        <v>98</v>
      </c>
      <c r="D80" s="4">
        <v>95</v>
      </c>
      <c r="E80" s="4">
        <v>113</v>
      </c>
      <c r="F80" s="4">
        <v>83</v>
      </c>
      <c r="G80" s="4">
        <v>87</v>
      </c>
    </row>
    <row r="81" spans="1:7">
      <c r="A81" s="4" t="s">
        <v>699</v>
      </c>
      <c r="B81" s="4" t="s">
        <v>392</v>
      </c>
      <c r="C81" s="4">
        <v>101</v>
      </c>
      <c r="D81" s="4">
        <v>110</v>
      </c>
      <c r="E81" s="4">
        <v>107</v>
      </c>
      <c r="F81" s="4">
        <v>77</v>
      </c>
      <c r="G81" s="4">
        <v>81</v>
      </c>
    </row>
    <row r="82" spans="1:7">
      <c r="A82" s="4" t="s">
        <v>710</v>
      </c>
      <c r="B82" s="4" t="s">
        <v>47</v>
      </c>
      <c r="C82" s="4">
        <v>105</v>
      </c>
      <c r="D82" s="4">
        <v>102</v>
      </c>
      <c r="E82" s="5">
        <v>107.5</v>
      </c>
      <c r="F82" s="4">
        <v>80</v>
      </c>
      <c r="G82" s="4">
        <v>81</v>
      </c>
    </row>
    <row r="83" spans="1:7">
      <c r="A83" s="4" t="s">
        <v>705</v>
      </c>
      <c r="B83" s="4" t="s">
        <v>516</v>
      </c>
      <c r="C83" s="4">
        <v>112</v>
      </c>
      <c r="D83" s="4">
        <v>90</v>
      </c>
      <c r="E83" s="4">
        <v>113</v>
      </c>
      <c r="F83" s="4">
        <v>76</v>
      </c>
      <c r="G83" s="4">
        <v>84</v>
      </c>
    </row>
    <row r="84" spans="1:7">
      <c r="A84" s="4" t="s">
        <v>705</v>
      </c>
      <c r="B84" s="4" t="s">
        <v>527</v>
      </c>
      <c r="C84" s="4">
        <v>98</v>
      </c>
      <c r="D84" s="4">
        <v>103</v>
      </c>
      <c r="E84" s="4">
        <v>114</v>
      </c>
      <c r="F84" s="4">
        <v>80</v>
      </c>
      <c r="G84" s="4">
        <v>80</v>
      </c>
    </row>
    <row r="85" spans="1:7">
      <c r="A85" s="4" t="s">
        <v>707</v>
      </c>
      <c r="B85" s="4" t="s">
        <v>300</v>
      </c>
      <c r="C85" s="4">
        <v>104</v>
      </c>
      <c r="D85" s="4">
        <v>101</v>
      </c>
      <c r="E85" s="4">
        <v>110</v>
      </c>
      <c r="F85" s="4">
        <v>78</v>
      </c>
      <c r="G85" s="4">
        <v>82</v>
      </c>
    </row>
    <row r="86" spans="1:7">
      <c r="A86" s="4" t="s">
        <v>703</v>
      </c>
      <c r="B86" s="4" t="s">
        <v>462</v>
      </c>
      <c r="C86" s="4">
        <v>93</v>
      </c>
      <c r="D86" s="4">
        <v>105</v>
      </c>
      <c r="E86" s="5">
        <v>112.5</v>
      </c>
      <c r="F86" s="4">
        <v>82</v>
      </c>
      <c r="G86" s="4">
        <v>82</v>
      </c>
    </row>
    <row r="87" spans="1:7">
      <c r="A87" s="4" t="s">
        <v>705</v>
      </c>
      <c r="B87" s="4" t="s">
        <v>523</v>
      </c>
      <c r="C87" s="4">
        <v>101</v>
      </c>
      <c r="D87" s="4">
        <v>101</v>
      </c>
      <c r="E87" s="5">
        <v>105.5</v>
      </c>
      <c r="F87" s="4">
        <v>79</v>
      </c>
      <c r="G87" s="4">
        <v>88</v>
      </c>
    </row>
    <row r="88" spans="1:7">
      <c r="A88" s="4" t="s">
        <v>711</v>
      </c>
      <c r="B88" s="4" t="s">
        <v>248</v>
      </c>
      <c r="C88" s="4">
        <v>104</v>
      </c>
      <c r="D88" s="4">
        <v>98</v>
      </c>
      <c r="E88" s="4">
        <v>114</v>
      </c>
      <c r="F88" s="4">
        <v>76</v>
      </c>
      <c r="G88" s="4">
        <v>82</v>
      </c>
    </row>
    <row r="89" spans="1:7">
      <c r="A89" s="4" t="s">
        <v>706</v>
      </c>
      <c r="B89" s="4" t="s">
        <v>205</v>
      </c>
      <c r="C89" s="4">
        <v>92</v>
      </c>
      <c r="D89" s="4">
        <v>98</v>
      </c>
      <c r="E89" s="4">
        <v>115</v>
      </c>
      <c r="F89" s="4">
        <v>86</v>
      </c>
      <c r="G89" s="4">
        <v>83</v>
      </c>
    </row>
    <row r="90" spans="1:7">
      <c r="A90" s="4" t="s">
        <v>707</v>
      </c>
      <c r="B90" s="4" t="s">
        <v>303</v>
      </c>
      <c r="C90" s="4">
        <v>101</v>
      </c>
      <c r="D90" s="4">
        <v>104</v>
      </c>
      <c r="E90" s="4">
        <v>110</v>
      </c>
      <c r="F90" s="4">
        <v>77</v>
      </c>
      <c r="G90" s="4">
        <v>82</v>
      </c>
    </row>
    <row r="91" spans="1:7">
      <c r="A91" s="4" t="s">
        <v>702</v>
      </c>
      <c r="B91" s="4" t="s">
        <v>354</v>
      </c>
      <c r="C91" s="4">
        <v>98</v>
      </c>
      <c r="D91" s="4">
        <v>100</v>
      </c>
      <c r="E91" s="5">
        <v>110.5</v>
      </c>
      <c r="F91" s="4">
        <v>82</v>
      </c>
      <c r="G91" s="4">
        <v>83</v>
      </c>
    </row>
    <row r="92" spans="1:7">
      <c r="A92" s="4" t="s">
        <v>699</v>
      </c>
      <c r="B92" s="4" t="s">
        <v>386</v>
      </c>
      <c r="C92" s="4">
        <v>92</v>
      </c>
      <c r="D92" s="4">
        <v>107</v>
      </c>
      <c r="E92" s="5">
        <v>113.5</v>
      </c>
      <c r="F92" s="4">
        <v>79</v>
      </c>
      <c r="G92" s="4">
        <v>82</v>
      </c>
    </row>
    <row r="93" spans="1:7">
      <c r="A93" s="4" t="s">
        <v>700</v>
      </c>
      <c r="B93" s="4" t="s">
        <v>272</v>
      </c>
      <c r="C93" s="4">
        <v>104</v>
      </c>
      <c r="D93" s="4">
        <v>93</v>
      </c>
      <c r="E93" s="5">
        <v>115.5</v>
      </c>
      <c r="F93" s="4">
        <v>76</v>
      </c>
      <c r="G93" s="4">
        <v>85</v>
      </c>
    </row>
    <row r="94" spans="1:7">
      <c r="A94" s="4" t="s">
        <v>707</v>
      </c>
      <c r="B94" s="4" t="s">
        <v>328</v>
      </c>
      <c r="C94" s="4">
        <v>106</v>
      </c>
      <c r="D94" s="4">
        <v>97</v>
      </c>
      <c r="E94" s="4">
        <v>100</v>
      </c>
      <c r="F94" s="4">
        <v>84</v>
      </c>
      <c r="G94" s="4">
        <v>86</v>
      </c>
    </row>
    <row r="95" spans="1:7">
      <c r="A95" s="4" t="s">
        <v>700</v>
      </c>
      <c r="B95" s="4" t="s">
        <v>259</v>
      </c>
      <c r="C95" s="4">
        <v>105</v>
      </c>
      <c r="D95" s="4">
        <v>98</v>
      </c>
      <c r="E95" s="5">
        <v>112.5</v>
      </c>
      <c r="F95" s="4">
        <v>78</v>
      </c>
      <c r="G95" s="4">
        <v>79</v>
      </c>
    </row>
    <row r="96" spans="1:7">
      <c r="A96" s="4" t="s">
        <v>701</v>
      </c>
      <c r="B96" s="4" t="s">
        <v>449</v>
      </c>
      <c r="C96" s="4">
        <v>100</v>
      </c>
      <c r="D96" s="4">
        <v>86</v>
      </c>
      <c r="E96" s="5">
        <v>116.5</v>
      </c>
      <c r="F96" s="4">
        <v>82</v>
      </c>
      <c r="G96" s="4">
        <v>88</v>
      </c>
    </row>
    <row r="97" spans="1:7">
      <c r="A97" s="4" t="s">
        <v>702</v>
      </c>
      <c r="B97" s="4" t="s">
        <v>372</v>
      </c>
      <c r="C97" s="4">
        <v>100</v>
      </c>
      <c r="D97" s="4">
        <v>103</v>
      </c>
      <c r="E97" s="5">
        <v>107.5</v>
      </c>
      <c r="F97" s="4">
        <v>80</v>
      </c>
      <c r="G97" s="4">
        <v>81</v>
      </c>
    </row>
    <row r="98" spans="1:7">
      <c r="A98" s="4" t="s">
        <v>707</v>
      </c>
      <c r="B98" s="4" t="s">
        <v>326</v>
      </c>
      <c r="C98" s="4">
        <v>88</v>
      </c>
      <c r="D98" s="4">
        <v>109</v>
      </c>
      <c r="E98" s="5">
        <v>110.5</v>
      </c>
      <c r="F98" s="4">
        <v>79</v>
      </c>
      <c r="G98" s="4">
        <v>85</v>
      </c>
    </row>
    <row r="99" spans="1:7">
      <c r="A99" s="4" t="s">
        <v>703</v>
      </c>
      <c r="B99" s="4" t="s">
        <v>483</v>
      </c>
      <c r="C99" s="4">
        <v>94</v>
      </c>
      <c r="D99" s="4">
        <v>108</v>
      </c>
      <c r="E99" s="5">
        <v>109.5</v>
      </c>
      <c r="F99" s="4">
        <v>81</v>
      </c>
      <c r="G99" s="4">
        <v>79</v>
      </c>
    </row>
    <row r="100" spans="1:7">
      <c r="A100" s="4" t="s">
        <v>700</v>
      </c>
      <c r="B100" s="4" t="s">
        <v>273</v>
      </c>
      <c r="C100" s="4">
        <v>94</v>
      </c>
      <c r="D100" s="4">
        <v>109</v>
      </c>
      <c r="E100" s="5">
        <v>107.5</v>
      </c>
      <c r="F100" s="4">
        <v>75</v>
      </c>
      <c r="G100" s="4">
        <v>86</v>
      </c>
    </row>
    <row r="101" spans="1:7">
      <c r="A101" s="4" t="s">
        <v>712</v>
      </c>
      <c r="B101" s="4" t="s">
        <v>85</v>
      </c>
      <c r="C101" s="4">
        <v>93</v>
      </c>
      <c r="D101" s="4">
        <v>101</v>
      </c>
      <c r="E101" s="4">
        <v>114</v>
      </c>
      <c r="F101" s="4">
        <v>79</v>
      </c>
      <c r="G101" s="4">
        <v>84</v>
      </c>
    </row>
    <row r="102" spans="1:7">
      <c r="A102" s="4" t="s">
        <v>702</v>
      </c>
      <c r="B102" s="4" t="s">
        <v>358</v>
      </c>
      <c r="C102" s="4">
        <v>93</v>
      </c>
      <c r="D102" s="4">
        <v>103</v>
      </c>
      <c r="E102" s="4">
        <v>105</v>
      </c>
      <c r="F102" s="4">
        <v>85</v>
      </c>
      <c r="G102" s="4">
        <v>85</v>
      </c>
    </row>
    <row r="103" spans="1:7">
      <c r="A103" s="4" t="s">
        <v>701</v>
      </c>
      <c r="B103" s="4" t="s">
        <v>448</v>
      </c>
      <c r="C103" s="4">
        <v>99</v>
      </c>
      <c r="D103" s="4">
        <v>98</v>
      </c>
      <c r="E103" s="4">
        <v>110</v>
      </c>
      <c r="F103" s="4">
        <v>77</v>
      </c>
      <c r="G103" s="4">
        <v>87</v>
      </c>
    </row>
    <row r="104" spans="1:7">
      <c r="A104" s="4" t="s">
        <v>699</v>
      </c>
      <c r="B104" s="4" t="s">
        <v>377</v>
      </c>
      <c r="C104" s="4">
        <v>116</v>
      </c>
      <c r="D104" s="4">
        <v>82</v>
      </c>
      <c r="E104" s="5">
        <v>102.5</v>
      </c>
      <c r="F104" s="4">
        <v>85</v>
      </c>
      <c r="G104" s="4">
        <v>85</v>
      </c>
    </row>
    <row r="105" spans="1:7">
      <c r="A105" s="4" t="s">
        <v>701</v>
      </c>
      <c r="B105" s="4" t="s">
        <v>434</v>
      </c>
      <c r="C105" s="4">
        <v>104</v>
      </c>
      <c r="D105" s="4">
        <v>101</v>
      </c>
      <c r="E105" s="5">
        <v>112.5</v>
      </c>
      <c r="F105" s="4">
        <v>76</v>
      </c>
      <c r="G105" s="4">
        <v>77</v>
      </c>
    </row>
    <row r="106" spans="1:7">
      <c r="A106" s="4" t="s">
        <v>703</v>
      </c>
      <c r="B106" s="4" t="s">
        <v>469</v>
      </c>
      <c r="C106" s="4">
        <v>94</v>
      </c>
      <c r="D106" s="4">
        <v>103</v>
      </c>
      <c r="E106" s="5">
        <v>115.5</v>
      </c>
      <c r="F106" s="4">
        <v>72</v>
      </c>
      <c r="G106" s="4">
        <v>86</v>
      </c>
    </row>
    <row r="107" spans="1:7">
      <c r="A107" s="4" t="s">
        <v>702</v>
      </c>
      <c r="B107" s="4" t="s">
        <v>367</v>
      </c>
      <c r="C107" s="4">
        <v>103</v>
      </c>
      <c r="D107" s="4">
        <v>100</v>
      </c>
      <c r="E107" s="4">
        <v>112</v>
      </c>
      <c r="F107" s="4">
        <v>74</v>
      </c>
      <c r="G107" s="4">
        <v>81</v>
      </c>
    </row>
    <row r="108" spans="1:7">
      <c r="A108" s="4" t="s">
        <v>705</v>
      </c>
      <c r="B108" s="4" t="s">
        <v>522</v>
      </c>
      <c r="C108" s="4">
        <v>97</v>
      </c>
      <c r="D108" s="4">
        <v>101</v>
      </c>
      <c r="E108" s="4">
        <v>112</v>
      </c>
      <c r="F108" s="4">
        <v>81</v>
      </c>
      <c r="G108" s="4">
        <v>79</v>
      </c>
    </row>
    <row r="109" spans="1:7">
      <c r="A109" s="4" t="s">
        <v>710</v>
      </c>
      <c r="B109" s="4" t="s">
        <v>43</v>
      </c>
      <c r="C109" s="4">
        <v>104</v>
      </c>
      <c r="D109" s="4">
        <v>101</v>
      </c>
      <c r="E109" s="4">
        <v>107</v>
      </c>
      <c r="F109" s="4">
        <v>77</v>
      </c>
      <c r="G109" s="4">
        <v>81</v>
      </c>
    </row>
    <row r="110" spans="1:7">
      <c r="A110" s="4" t="s">
        <v>701</v>
      </c>
      <c r="B110" s="4" t="s">
        <v>428</v>
      </c>
      <c r="C110" s="4">
        <v>95</v>
      </c>
      <c r="D110" s="4">
        <v>97</v>
      </c>
      <c r="E110" s="4">
        <v>113</v>
      </c>
      <c r="F110" s="4">
        <v>77</v>
      </c>
      <c r="G110" s="4">
        <v>88</v>
      </c>
    </row>
    <row r="111" spans="1:7">
      <c r="A111" s="4" t="s">
        <v>702</v>
      </c>
      <c r="B111" s="4" t="s">
        <v>371</v>
      </c>
      <c r="C111" s="4">
        <v>98</v>
      </c>
      <c r="D111" s="4">
        <v>92</v>
      </c>
      <c r="E111" s="5">
        <v>111.5</v>
      </c>
      <c r="F111" s="4">
        <v>83</v>
      </c>
      <c r="G111" s="4">
        <v>85</v>
      </c>
    </row>
    <row r="112" spans="1:7">
      <c r="A112" s="4" t="s">
        <v>710</v>
      </c>
      <c r="B112" s="4" t="s">
        <v>45</v>
      </c>
      <c r="C112" s="4">
        <v>94</v>
      </c>
      <c r="D112" s="4">
        <v>99</v>
      </c>
      <c r="E112" s="5">
        <v>108.5</v>
      </c>
      <c r="F112" s="4">
        <v>85</v>
      </c>
      <c r="G112" s="4">
        <v>83</v>
      </c>
    </row>
    <row r="113" spans="1:7">
      <c r="A113" s="4" t="s">
        <v>708</v>
      </c>
      <c r="B113" s="4" t="s">
        <v>94</v>
      </c>
      <c r="C113" s="4">
        <v>109</v>
      </c>
      <c r="D113" s="4">
        <v>95</v>
      </c>
      <c r="E113" s="5">
        <v>105.5</v>
      </c>
      <c r="F113" s="4">
        <v>79</v>
      </c>
      <c r="G113" s="4">
        <v>81</v>
      </c>
    </row>
    <row r="114" spans="1:7">
      <c r="A114" s="4" t="s">
        <v>701</v>
      </c>
      <c r="B114" s="4" t="s">
        <v>432</v>
      </c>
      <c r="C114" s="4">
        <v>93</v>
      </c>
      <c r="D114" s="4">
        <v>100</v>
      </c>
      <c r="E114" s="5">
        <v>112.5</v>
      </c>
      <c r="F114" s="4">
        <v>81</v>
      </c>
      <c r="G114" s="4">
        <v>83</v>
      </c>
    </row>
    <row r="115" spans="1:7">
      <c r="A115" s="4" t="s">
        <v>700</v>
      </c>
      <c r="B115" s="4" t="s">
        <v>260</v>
      </c>
      <c r="C115" s="4">
        <v>99</v>
      </c>
      <c r="D115" s="4">
        <v>95</v>
      </c>
      <c r="E115" s="4">
        <v>106</v>
      </c>
      <c r="F115" s="4">
        <v>81</v>
      </c>
      <c r="G115" s="4">
        <v>88</v>
      </c>
    </row>
    <row r="116" spans="1:7">
      <c r="A116" s="4" t="s">
        <v>700</v>
      </c>
      <c r="B116" s="4" t="s">
        <v>286</v>
      </c>
      <c r="C116" s="4">
        <v>94</v>
      </c>
      <c r="D116" s="4">
        <v>97</v>
      </c>
      <c r="E116" s="4">
        <v>109</v>
      </c>
      <c r="F116" s="4">
        <v>80</v>
      </c>
      <c r="G116" s="4">
        <v>89</v>
      </c>
    </row>
    <row r="117" spans="1:7">
      <c r="A117" s="4" t="s">
        <v>707</v>
      </c>
      <c r="B117" s="4" t="s">
        <v>321</v>
      </c>
      <c r="C117" s="4">
        <v>98</v>
      </c>
      <c r="D117" s="4">
        <v>100</v>
      </c>
      <c r="E117" s="5">
        <v>108.5</v>
      </c>
      <c r="F117" s="4">
        <v>79</v>
      </c>
      <c r="G117" s="4">
        <v>83</v>
      </c>
    </row>
    <row r="118" spans="1:7">
      <c r="A118" s="4" t="s">
        <v>703</v>
      </c>
      <c r="B118" s="4" t="s">
        <v>467</v>
      </c>
      <c r="C118" s="4">
        <v>95</v>
      </c>
      <c r="D118" s="4">
        <v>97</v>
      </c>
      <c r="E118" s="5">
        <v>107.5</v>
      </c>
      <c r="F118" s="4">
        <v>80</v>
      </c>
      <c r="G118" s="4">
        <v>89</v>
      </c>
    </row>
    <row r="119" spans="1:7">
      <c r="A119" s="4" t="s">
        <v>702</v>
      </c>
      <c r="B119" s="4" t="s">
        <v>343</v>
      </c>
      <c r="C119" s="4">
        <v>87</v>
      </c>
      <c r="D119" s="4">
        <v>104</v>
      </c>
      <c r="E119" s="4">
        <v>115</v>
      </c>
      <c r="F119" s="4">
        <v>78</v>
      </c>
      <c r="G119" s="4">
        <v>84</v>
      </c>
    </row>
    <row r="120" spans="1:7">
      <c r="A120" s="4" t="s">
        <v>706</v>
      </c>
      <c r="B120" s="4" t="s">
        <v>184</v>
      </c>
      <c r="C120" s="4">
        <v>99</v>
      </c>
      <c r="D120" s="4">
        <v>100</v>
      </c>
      <c r="E120" s="4">
        <v>108</v>
      </c>
      <c r="F120" s="4">
        <v>79</v>
      </c>
      <c r="G120" s="4">
        <v>82</v>
      </c>
    </row>
    <row r="121" spans="1:7">
      <c r="A121" s="4" t="s">
        <v>707</v>
      </c>
      <c r="B121" s="4" t="s">
        <v>324</v>
      </c>
      <c r="C121" s="4">
        <v>93</v>
      </c>
      <c r="D121" s="4">
        <v>105</v>
      </c>
      <c r="E121" s="4">
        <v>119</v>
      </c>
      <c r="F121" s="4">
        <v>74</v>
      </c>
      <c r="G121" s="4">
        <v>77</v>
      </c>
    </row>
    <row r="122" spans="1:7">
      <c r="A122" s="4" t="s">
        <v>700</v>
      </c>
      <c r="B122" s="4" t="s">
        <v>271</v>
      </c>
      <c r="C122" s="4">
        <v>105</v>
      </c>
      <c r="D122" s="4">
        <v>91</v>
      </c>
      <c r="E122" s="4">
        <v>110</v>
      </c>
      <c r="F122" s="4">
        <v>77</v>
      </c>
      <c r="G122" s="4">
        <v>85</v>
      </c>
    </row>
    <row r="123" spans="1:7">
      <c r="A123" s="4" t="s">
        <v>702</v>
      </c>
      <c r="B123" s="4" t="s">
        <v>363</v>
      </c>
      <c r="C123" s="4">
        <v>93</v>
      </c>
      <c r="D123" s="4">
        <v>100</v>
      </c>
      <c r="E123" s="5">
        <v>110.5</v>
      </c>
      <c r="F123" s="4">
        <v>78</v>
      </c>
      <c r="G123" s="4">
        <v>86</v>
      </c>
    </row>
    <row r="124" spans="1:7">
      <c r="A124" s="4" t="s">
        <v>699</v>
      </c>
      <c r="B124" s="4" t="s">
        <v>407</v>
      </c>
      <c r="C124" s="4">
        <v>102</v>
      </c>
      <c r="D124" s="4">
        <v>93</v>
      </c>
      <c r="E124" s="5">
        <v>108.5</v>
      </c>
      <c r="F124" s="4">
        <v>80</v>
      </c>
      <c r="G124" s="4">
        <v>84</v>
      </c>
    </row>
    <row r="125" spans="1:7">
      <c r="A125" s="4" t="s">
        <v>699</v>
      </c>
      <c r="B125" s="4" t="s">
        <v>409</v>
      </c>
      <c r="C125" s="4">
        <v>105</v>
      </c>
      <c r="D125" s="4">
        <v>100</v>
      </c>
      <c r="E125" s="5">
        <v>101.5</v>
      </c>
      <c r="F125" s="4">
        <v>78</v>
      </c>
      <c r="G125" s="4">
        <v>83</v>
      </c>
    </row>
    <row r="126" spans="1:7">
      <c r="A126" s="4" t="s">
        <v>705</v>
      </c>
      <c r="B126" s="4" t="s">
        <v>494</v>
      </c>
      <c r="C126" s="4">
        <v>89</v>
      </c>
      <c r="D126" s="4">
        <v>106</v>
      </c>
      <c r="E126" s="4">
        <v>109</v>
      </c>
      <c r="F126" s="4">
        <v>77</v>
      </c>
      <c r="G126" s="4">
        <v>86</v>
      </c>
    </row>
    <row r="127" spans="1:7">
      <c r="A127" s="4" t="s">
        <v>707</v>
      </c>
      <c r="B127" s="4" t="s">
        <v>306</v>
      </c>
      <c r="C127" s="4">
        <v>95</v>
      </c>
      <c r="D127" s="4">
        <v>99</v>
      </c>
      <c r="E127" s="4">
        <v>109</v>
      </c>
      <c r="F127" s="4">
        <v>77</v>
      </c>
      <c r="G127" s="4">
        <v>87</v>
      </c>
    </row>
    <row r="128" spans="1:7">
      <c r="A128" s="4" t="s">
        <v>701</v>
      </c>
      <c r="B128" s="4" t="s">
        <v>415</v>
      </c>
      <c r="C128" s="4">
        <v>95</v>
      </c>
      <c r="D128" s="4">
        <v>100</v>
      </c>
      <c r="E128" s="4">
        <v>108</v>
      </c>
      <c r="F128" s="4">
        <v>84</v>
      </c>
      <c r="G128" s="4">
        <v>80</v>
      </c>
    </row>
    <row r="129" spans="1:7">
      <c r="A129" s="4" t="s">
        <v>701</v>
      </c>
      <c r="B129" s="4" t="s">
        <v>424</v>
      </c>
      <c r="C129" s="4">
        <v>97</v>
      </c>
      <c r="D129" s="4">
        <v>101</v>
      </c>
      <c r="E129" s="4">
        <v>111</v>
      </c>
      <c r="F129" s="4">
        <v>78</v>
      </c>
      <c r="G129" s="4">
        <v>80</v>
      </c>
    </row>
    <row r="130" spans="1:7">
      <c r="A130" s="4" t="s">
        <v>701</v>
      </c>
      <c r="B130" s="4" t="s">
        <v>453</v>
      </c>
      <c r="C130" s="4">
        <v>95</v>
      </c>
      <c r="D130" s="4">
        <v>86</v>
      </c>
      <c r="E130" s="4">
        <v>113</v>
      </c>
      <c r="F130" s="4">
        <v>85</v>
      </c>
      <c r="G130" s="4">
        <v>88</v>
      </c>
    </row>
    <row r="131" spans="1:7">
      <c r="A131" s="4" t="s">
        <v>708</v>
      </c>
      <c r="B131" s="4" t="s">
        <v>122</v>
      </c>
      <c r="C131" s="4">
        <v>98</v>
      </c>
      <c r="D131" s="4">
        <v>99</v>
      </c>
      <c r="E131" s="5">
        <v>105.5</v>
      </c>
      <c r="F131" s="4">
        <v>75</v>
      </c>
      <c r="G131" s="4">
        <v>89</v>
      </c>
    </row>
    <row r="132" spans="1:7">
      <c r="A132" s="4" t="s">
        <v>703</v>
      </c>
      <c r="B132" s="4" t="s">
        <v>454</v>
      </c>
      <c r="C132" s="4">
        <v>101</v>
      </c>
      <c r="D132" s="4">
        <v>100</v>
      </c>
      <c r="E132" s="4">
        <v>115</v>
      </c>
      <c r="F132" s="4">
        <v>68</v>
      </c>
      <c r="G132" s="4">
        <v>82</v>
      </c>
    </row>
    <row r="133" spans="1:7">
      <c r="A133" s="4" t="s">
        <v>705</v>
      </c>
      <c r="B133" s="4" t="s">
        <v>525</v>
      </c>
      <c r="C133" s="4">
        <v>99</v>
      </c>
      <c r="D133" s="4">
        <v>103</v>
      </c>
      <c r="E133" s="4">
        <v>110</v>
      </c>
      <c r="F133" s="4">
        <v>79</v>
      </c>
      <c r="G133" s="4">
        <v>75</v>
      </c>
    </row>
    <row r="134" spans="1:7">
      <c r="A134" s="4" t="s">
        <v>705</v>
      </c>
      <c r="B134" s="4" t="s">
        <v>500</v>
      </c>
      <c r="C134" s="4">
        <v>100</v>
      </c>
      <c r="D134" s="4">
        <v>101</v>
      </c>
      <c r="E134" s="5">
        <v>115.5</v>
      </c>
      <c r="F134" s="4">
        <v>72</v>
      </c>
      <c r="G134" s="4">
        <v>77</v>
      </c>
    </row>
    <row r="135" spans="1:7">
      <c r="A135" s="4" t="s">
        <v>701</v>
      </c>
      <c r="B135" s="4" t="s">
        <v>420</v>
      </c>
      <c r="C135" s="4">
        <v>98</v>
      </c>
      <c r="D135" s="4">
        <v>92</v>
      </c>
      <c r="E135" s="5">
        <v>111.5</v>
      </c>
      <c r="F135" s="4">
        <v>79</v>
      </c>
      <c r="G135" s="4">
        <v>85</v>
      </c>
    </row>
    <row r="136" spans="1:7">
      <c r="A136" s="4" t="s">
        <v>703</v>
      </c>
      <c r="B136" s="4" t="s">
        <v>490</v>
      </c>
      <c r="C136" s="4">
        <v>93</v>
      </c>
      <c r="D136" s="4">
        <v>109</v>
      </c>
      <c r="E136" s="5">
        <v>103.5</v>
      </c>
      <c r="F136" s="4">
        <v>76</v>
      </c>
      <c r="G136" s="4">
        <v>84</v>
      </c>
    </row>
    <row r="137" spans="1:7">
      <c r="A137" s="4" t="s">
        <v>702</v>
      </c>
      <c r="B137" s="4" t="s">
        <v>344</v>
      </c>
      <c r="C137" s="4">
        <v>103</v>
      </c>
      <c r="D137" s="4">
        <v>106</v>
      </c>
      <c r="E137" s="4">
        <v>113</v>
      </c>
      <c r="F137" s="4">
        <v>67</v>
      </c>
      <c r="G137" s="4">
        <v>76</v>
      </c>
    </row>
    <row r="138" spans="1:7">
      <c r="A138" s="4" t="s">
        <v>708</v>
      </c>
      <c r="B138" s="4" t="s">
        <v>100</v>
      </c>
      <c r="C138" s="4">
        <v>96</v>
      </c>
      <c r="D138" s="4">
        <v>101</v>
      </c>
      <c r="E138" s="4">
        <v>111</v>
      </c>
      <c r="F138" s="4">
        <v>79</v>
      </c>
      <c r="G138" s="4">
        <v>78</v>
      </c>
    </row>
    <row r="139" spans="1:7">
      <c r="A139" s="4" t="s">
        <v>708</v>
      </c>
      <c r="B139" s="4" t="s">
        <v>105</v>
      </c>
      <c r="C139" s="4">
        <v>99</v>
      </c>
      <c r="D139" s="4">
        <v>87</v>
      </c>
      <c r="E139" s="4">
        <v>104</v>
      </c>
      <c r="F139" s="4">
        <v>86</v>
      </c>
      <c r="G139" s="4">
        <v>89</v>
      </c>
    </row>
    <row r="140" spans="1:7">
      <c r="A140" s="4" t="s">
        <v>712</v>
      </c>
      <c r="B140" s="4" t="s">
        <v>56</v>
      </c>
      <c r="C140" s="4">
        <v>103</v>
      </c>
      <c r="D140" s="4">
        <v>85</v>
      </c>
      <c r="E140" s="5">
        <v>109.5</v>
      </c>
      <c r="F140" s="4">
        <v>82</v>
      </c>
      <c r="G140" s="4">
        <v>85</v>
      </c>
    </row>
    <row r="141" spans="1:7">
      <c r="A141" s="4" t="s">
        <v>702</v>
      </c>
      <c r="B141" s="4" t="s">
        <v>350</v>
      </c>
      <c r="C141" s="4">
        <v>99</v>
      </c>
      <c r="D141" s="4">
        <v>105</v>
      </c>
      <c r="E141" s="5">
        <v>107.5</v>
      </c>
      <c r="F141" s="4">
        <v>68</v>
      </c>
      <c r="G141" s="4">
        <v>85</v>
      </c>
    </row>
    <row r="142" spans="1:7">
      <c r="A142" s="4" t="s">
        <v>707</v>
      </c>
      <c r="B142" s="4" t="s">
        <v>307</v>
      </c>
      <c r="C142" s="4">
        <v>94</v>
      </c>
      <c r="D142" s="4">
        <v>99</v>
      </c>
      <c r="E142" s="5">
        <v>111.5</v>
      </c>
      <c r="F142" s="4">
        <v>74</v>
      </c>
      <c r="G142" s="4">
        <v>86</v>
      </c>
    </row>
    <row r="143" spans="1:7">
      <c r="A143" s="4" t="s">
        <v>707</v>
      </c>
      <c r="B143" s="4" t="s">
        <v>317</v>
      </c>
      <c r="C143" s="4">
        <v>94</v>
      </c>
      <c r="D143" s="4">
        <v>100</v>
      </c>
      <c r="E143" s="5">
        <v>109.5</v>
      </c>
      <c r="F143" s="4">
        <v>75</v>
      </c>
      <c r="G143" s="4">
        <v>86</v>
      </c>
    </row>
    <row r="144" spans="1:7">
      <c r="A144" s="4" t="s">
        <v>712</v>
      </c>
      <c r="B144" s="4" t="s">
        <v>87</v>
      </c>
      <c r="C144" s="4">
        <v>101</v>
      </c>
      <c r="D144" s="4">
        <v>89</v>
      </c>
      <c r="E144" s="4">
        <v>113</v>
      </c>
      <c r="F144" s="4">
        <v>77</v>
      </c>
      <c r="G144" s="4">
        <v>84</v>
      </c>
    </row>
    <row r="145" spans="1:7">
      <c r="A145" s="4" t="s">
        <v>700</v>
      </c>
      <c r="B145" s="4" t="s">
        <v>257</v>
      </c>
      <c r="C145" s="4">
        <v>100</v>
      </c>
      <c r="D145" s="4">
        <v>98</v>
      </c>
      <c r="E145" s="4">
        <v>104</v>
      </c>
      <c r="F145" s="4">
        <v>79</v>
      </c>
      <c r="G145" s="4">
        <v>83</v>
      </c>
    </row>
    <row r="146" spans="1:7">
      <c r="A146" s="4" t="s">
        <v>712</v>
      </c>
      <c r="B146" s="4" t="s">
        <v>83</v>
      </c>
      <c r="C146" s="4">
        <v>101</v>
      </c>
      <c r="D146" s="4">
        <v>90</v>
      </c>
      <c r="E146" s="5">
        <v>108.5</v>
      </c>
      <c r="F146" s="4">
        <v>84</v>
      </c>
      <c r="G146" s="4">
        <v>80</v>
      </c>
    </row>
    <row r="147" spans="1:7">
      <c r="A147" s="4" t="s">
        <v>703</v>
      </c>
      <c r="B147" s="4" t="s">
        <v>465</v>
      </c>
      <c r="C147" s="4">
        <v>93</v>
      </c>
      <c r="D147" s="4">
        <v>103</v>
      </c>
      <c r="E147" s="5">
        <v>111.5</v>
      </c>
      <c r="F147" s="4">
        <v>69</v>
      </c>
      <c r="G147" s="4">
        <v>87</v>
      </c>
    </row>
    <row r="148" spans="1:7">
      <c r="A148" s="4" t="s">
        <v>706</v>
      </c>
      <c r="B148" s="4" t="s">
        <v>175</v>
      </c>
      <c r="C148" s="4">
        <v>93</v>
      </c>
      <c r="D148" s="4">
        <v>94</v>
      </c>
      <c r="E148" s="5">
        <v>111.5</v>
      </c>
      <c r="F148" s="4">
        <v>78</v>
      </c>
      <c r="G148" s="4">
        <v>87</v>
      </c>
    </row>
    <row r="149" spans="1:7">
      <c r="A149" s="4" t="s">
        <v>701</v>
      </c>
      <c r="B149" s="4" t="s">
        <v>433</v>
      </c>
      <c r="C149" s="4">
        <v>97</v>
      </c>
      <c r="D149" s="4">
        <v>98</v>
      </c>
      <c r="E149" s="5">
        <v>113.5</v>
      </c>
      <c r="F149" s="4">
        <v>74</v>
      </c>
      <c r="G149" s="4">
        <v>81</v>
      </c>
    </row>
    <row r="150" spans="1:7">
      <c r="A150" s="4" t="s">
        <v>708</v>
      </c>
      <c r="B150" s="4" t="s">
        <v>118</v>
      </c>
      <c r="C150" s="4">
        <v>101</v>
      </c>
      <c r="D150" s="4">
        <v>98</v>
      </c>
      <c r="E150" s="4">
        <v>105</v>
      </c>
      <c r="F150" s="4">
        <v>70</v>
      </c>
      <c r="G150" s="4">
        <v>89</v>
      </c>
    </row>
    <row r="151" spans="1:7">
      <c r="A151" s="4" t="s">
        <v>703</v>
      </c>
      <c r="B151" s="4" t="s">
        <v>459</v>
      </c>
      <c r="C151" s="4">
        <v>92</v>
      </c>
      <c r="D151" s="4">
        <v>100</v>
      </c>
      <c r="E151" s="5">
        <v>107.5</v>
      </c>
      <c r="F151" s="4">
        <v>74</v>
      </c>
      <c r="G151" s="4">
        <v>89</v>
      </c>
    </row>
    <row r="152" spans="1:7">
      <c r="A152" s="4" t="s">
        <v>699</v>
      </c>
      <c r="B152" s="6" t="s">
        <v>713</v>
      </c>
      <c r="C152" s="4">
        <v>110</v>
      </c>
      <c r="D152" s="4">
        <v>80</v>
      </c>
      <c r="E152" s="5">
        <v>105.5</v>
      </c>
      <c r="F152" s="4">
        <v>80</v>
      </c>
      <c r="G152" s="4">
        <v>87</v>
      </c>
    </row>
    <row r="153" spans="1:7">
      <c r="A153" s="4" t="s">
        <v>706</v>
      </c>
      <c r="B153" s="4" t="s">
        <v>179</v>
      </c>
      <c r="C153" s="4">
        <v>98</v>
      </c>
      <c r="D153" s="4">
        <v>92</v>
      </c>
      <c r="E153" s="5">
        <v>111.5</v>
      </c>
      <c r="F153" s="4">
        <v>82</v>
      </c>
      <c r="G153" s="4">
        <v>79</v>
      </c>
    </row>
    <row r="154" spans="1:7">
      <c r="A154" s="4" t="s">
        <v>703</v>
      </c>
      <c r="B154" s="4" t="s">
        <v>474</v>
      </c>
      <c r="C154" s="4">
        <v>92</v>
      </c>
      <c r="D154" s="4">
        <v>106</v>
      </c>
      <c r="E154" s="5">
        <v>114.5</v>
      </c>
      <c r="F154" s="4">
        <v>70</v>
      </c>
      <c r="G154" s="4">
        <v>80</v>
      </c>
    </row>
    <row r="155" spans="1:7">
      <c r="A155" s="4" t="s">
        <v>703</v>
      </c>
      <c r="B155" s="4" t="s">
        <v>472</v>
      </c>
      <c r="C155" s="4">
        <v>88</v>
      </c>
      <c r="D155" s="4">
        <v>102</v>
      </c>
      <c r="E155" s="4">
        <v>114</v>
      </c>
      <c r="F155" s="4">
        <v>69</v>
      </c>
      <c r="G155" s="4">
        <v>89</v>
      </c>
    </row>
    <row r="156" spans="1:7">
      <c r="A156" s="4" t="s">
        <v>703</v>
      </c>
      <c r="B156" s="4" t="s">
        <v>458</v>
      </c>
      <c r="C156" s="4">
        <v>95</v>
      </c>
      <c r="D156" s="4">
        <v>102</v>
      </c>
      <c r="E156" s="5">
        <v>109.5</v>
      </c>
      <c r="F156" s="4">
        <v>77</v>
      </c>
      <c r="G156" s="4">
        <v>78</v>
      </c>
    </row>
    <row r="157" spans="1:7">
      <c r="A157" s="4" t="s">
        <v>708</v>
      </c>
      <c r="B157" s="4" t="s">
        <v>126</v>
      </c>
      <c r="C157" s="4">
        <v>99</v>
      </c>
      <c r="D157" s="4">
        <v>96</v>
      </c>
      <c r="E157" s="5">
        <v>102.5</v>
      </c>
      <c r="F157" s="4">
        <v>76</v>
      </c>
      <c r="G157" s="4">
        <v>88</v>
      </c>
    </row>
    <row r="158" spans="1:7">
      <c r="A158" s="4" t="s">
        <v>701</v>
      </c>
      <c r="B158" s="4" t="s">
        <v>438</v>
      </c>
      <c r="C158" s="4">
        <v>99</v>
      </c>
      <c r="D158" s="4">
        <v>98</v>
      </c>
      <c r="E158" s="5">
        <v>115.5</v>
      </c>
      <c r="F158" s="4">
        <v>75</v>
      </c>
      <c r="G158" s="4">
        <v>74</v>
      </c>
    </row>
    <row r="159" spans="1:7">
      <c r="A159" s="4" t="s">
        <v>700</v>
      </c>
      <c r="B159" s="4" t="s">
        <v>268</v>
      </c>
      <c r="C159" s="4">
        <v>106</v>
      </c>
      <c r="D159" s="4">
        <v>87</v>
      </c>
      <c r="E159" s="5">
        <v>107.5</v>
      </c>
      <c r="F159" s="4">
        <v>77</v>
      </c>
      <c r="G159" s="4">
        <v>84</v>
      </c>
    </row>
    <row r="160" spans="1:7">
      <c r="A160" s="4" t="s">
        <v>712</v>
      </c>
      <c r="B160" s="4" t="s">
        <v>66</v>
      </c>
      <c r="C160" s="4">
        <v>103</v>
      </c>
      <c r="D160" s="4">
        <v>100</v>
      </c>
      <c r="E160" s="4">
        <v>105</v>
      </c>
      <c r="F160" s="4">
        <v>80</v>
      </c>
      <c r="G160" s="4">
        <v>73</v>
      </c>
    </row>
    <row r="161" spans="1:7">
      <c r="A161" s="4" t="s">
        <v>702</v>
      </c>
      <c r="B161" s="4" t="s">
        <v>341</v>
      </c>
      <c r="C161" s="4">
        <v>105</v>
      </c>
      <c r="D161" s="4">
        <v>101</v>
      </c>
      <c r="E161" s="4">
        <v>110</v>
      </c>
      <c r="F161" s="4">
        <v>68</v>
      </c>
      <c r="G161" s="4">
        <v>77</v>
      </c>
    </row>
    <row r="162" spans="1:7">
      <c r="A162" s="4" t="s">
        <v>706</v>
      </c>
      <c r="B162" s="4" t="s">
        <v>203</v>
      </c>
      <c r="C162" s="4">
        <v>98</v>
      </c>
      <c r="D162" s="4">
        <v>90</v>
      </c>
      <c r="E162" s="4">
        <v>114</v>
      </c>
      <c r="F162" s="4">
        <v>76</v>
      </c>
      <c r="G162" s="4">
        <v>83</v>
      </c>
    </row>
    <row r="163" spans="1:7">
      <c r="A163" s="4" t="s">
        <v>700</v>
      </c>
      <c r="B163" s="4" t="s">
        <v>282</v>
      </c>
      <c r="C163" s="4">
        <v>102</v>
      </c>
      <c r="D163" s="4">
        <v>101</v>
      </c>
      <c r="E163" s="4">
        <v>110</v>
      </c>
      <c r="F163" s="4">
        <v>72</v>
      </c>
      <c r="G163" s="4">
        <v>76</v>
      </c>
    </row>
    <row r="164" spans="1:7">
      <c r="A164" s="4" t="s">
        <v>706</v>
      </c>
      <c r="B164" s="4" t="s">
        <v>193</v>
      </c>
      <c r="C164" s="4">
        <v>90</v>
      </c>
      <c r="D164" s="4">
        <v>97</v>
      </c>
      <c r="E164" s="5">
        <v>108.5</v>
      </c>
      <c r="F164" s="4">
        <v>75</v>
      </c>
      <c r="G164" s="4">
        <v>90</v>
      </c>
    </row>
    <row r="165" spans="1:7">
      <c r="A165" s="4" t="s">
        <v>703</v>
      </c>
      <c r="B165" s="4" t="s">
        <v>491</v>
      </c>
      <c r="C165" s="4">
        <v>88</v>
      </c>
      <c r="D165" s="4">
        <v>103</v>
      </c>
      <c r="E165" s="5">
        <v>108.5</v>
      </c>
      <c r="F165" s="4">
        <v>80</v>
      </c>
      <c r="G165" s="4">
        <v>81</v>
      </c>
    </row>
    <row r="166" spans="1:7">
      <c r="A166" s="4" t="s">
        <v>707</v>
      </c>
      <c r="B166" s="4" t="s">
        <v>323</v>
      </c>
      <c r="C166" s="4">
        <v>99</v>
      </c>
      <c r="D166" s="4">
        <v>91</v>
      </c>
      <c r="E166" s="4">
        <v>107</v>
      </c>
      <c r="F166" s="4">
        <v>79</v>
      </c>
      <c r="G166" s="4">
        <v>84</v>
      </c>
    </row>
    <row r="167" spans="1:7">
      <c r="A167" s="4" t="s">
        <v>701</v>
      </c>
      <c r="B167" s="4" t="s">
        <v>443</v>
      </c>
      <c r="C167" s="4">
        <v>94</v>
      </c>
      <c r="D167" s="4">
        <v>108</v>
      </c>
      <c r="E167" s="4">
        <v>110</v>
      </c>
      <c r="F167" s="4">
        <v>77</v>
      </c>
      <c r="G167" s="4">
        <v>71</v>
      </c>
    </row>
    <row r="168" spans="1:7">
      <c r="A168" s="4" t="s">
        <v>703</v>
      </c>
      <c r="B168" s="4" t="s">
        <v>461</v>
      </c>
      <c r="C168" s="4">
        <v>91</v>
      </c>
      <c r="D168" s="4">
        <v>98</v>
      </c>
      <c r="E168" s="5">
        <v>113.5</v>
      </c>
      <c r="F168" s="4">
        <v>80</v>
      </c>
      <c r="G168" s="4">
        <v>77</v>
      </c>
    </row>
    <row r="169" spans="1:7">
      <c r="A169" s="4" t="s">
        <v>701</v>
      </c>
      <c r="B169" s="4" t="s">
        <v>419</v>
      </c>
      <c r="C169" s="4">
        <v>93</v>
      </c>
      <c r="D169" s="4">
        <v>99</v>
      </c>
      <c r="E169" s="5">
        <v>116.5</v>
      </c>
      <c r="F169" s="4">
        <v>77</v>
      </c>
      <c r="G169" s="4">
        <v>74</v>
      </c>
    </row>
    <row r="170" spans="1:7">
      <c r="A170" s="4" t="s">
        <v>701</v>
      </c>
      <c r="B170" s="4" t="s">
        <v>441</v>
      </c>
      <c r="C170" s="4">
        <v>98</v>
      </c>
      <c r="D170" s="4">
        <v>104</v>
      </c>
      <c r="E170" s="5">
        <v>104.5</v>
      </c>
      <c r="F170" s="4">
        <v>68</v>
      </c>
      <c r="G170" s="4">
        <v>85</v>
      </c>
    </row>
    <row r="171" spans="1:7">
      <c r="A171" s="4" t="s">
        <v>700</v>
      </c>
      <c r="B171" s="4" t="s">
        <v>281</v>
      </c>
      <c r="C171" s="4">
        <v>93</v>
      </c>
      <c r="D171" s="4">
        <v>99</v>
      </c>
      <c r="E171" s="5">
        <v>110.5</v>
      </c>
      <c r="F171" s="4">
        <v>72</v>
      </c>
      <c r="G171" s="4">
        <v>85</v>
      </c>
    </row>
    <row r="172" spans="1:7">
      <c r="A172" s="4" t="s">
        <v>702</v>
      </c>
      <c r="B172" s="4" t="s">
        <v>356</v>
      </c>
      <c r="C172" s="4">
        <v>92</v>
      </c>
      <c r="D172" s="4">
        <v>95</v>
      </c>
      <c r="E172" s="4">
        <v>114</v>
      </c>
      <c r="F172" s="4">
        <v>74</v>
      </c>
      <c r="G172" s="4">
        <v>84</v>
      </c>
    </row>
    <row r="173" spans="1:7">
      <c r="A173" s="4" t="s">
        <v>705</v>
      </c>
      <c r="B173" s="4" t="s">
        <v>517</v>
      </c>
      <c r="C173" s="4">
        <v>107</v>
      </c>
      <c r="D173" s="4">
        <v>101</v>
      </c>
      <c r="E173" s="4">
        <v>101</v>
      </c>
      <c r="F173" s="4">
        <v>72</v>
      </c>
      <c r="G173" s="4">
        <v>78</v>
      </c>
    </row>
    <row r="174" spans="1:7">
      <c r="A174" s="4" t="s">
        <v>710</v>
      </c>
      <c r="B174" s="4" t="s">
        <v>24</v>
      </c>
      <c r="C174" s="4">
        <v>102</v>
      </c>
      <c r="D174" s="4">
        <v>84</v>
      </c>
      <c r="E174" s="4">
        <v>111</v>
      </c>
      <c r="F174" s="4">
        <v>76</v>
      </c>
      <c r="G174" s="4">
        <v>86</v>
      </c>
    </row>
    <row r="175" spans="1:7">
      <c r="A175" s="4" t="s">
        <v>701</v>
      </c>
      <c r="B175" s="4" t="s">
        <v>445</v>
      </c>
      <c r="C175" s="4">
        <v>97</v>
      </c>
      <c r="D175" s="4">
        <v>108</v>
      </c>
      <c r="E175" s="4">
        <v>107</v>
      </c>
      <c r="F175" s="4">
        <v>68</v>
      </c>
      <c r="G175" s="4">
        <v>79</v>
      </c>
    </row>
    <row r="176" spans="1:7">
      <c r="A176" s="4" t="s">
        <v>702</v>
      </c>
      <c r="B176" s="4" t="s">
        <v>360</v>
      </c>
      <c r="C176" s="4">
        <v>100</v>
      </c>
      <c r="D176" s="4">
        <v>105</v>
      </c>
      <c r="E176" s="5">
        <v>88.5</v>
      </c>
      <c r="F176" s="4">
        <v>78</v>
      </c>
      <c r="G176" s="4">
        <v>87</v>
      </c>
    </row>
    <row r="177" spans="1:7">
      <c r="A177" s="4" t="s">
        <v>705</v>
      </c>
      <c r="B177" s="4" t="s">
        <v>529</v>
      </c>
      <c r="C177" s="4">
        <v>98</v>
      </c>
      <c r="D177" s="4">
        <v>98</v>
      </c>
      <c r="E177" s="5">
        <v>103.5</v>
      </c>
      <c r="F177" s="4">
        <v>76</v>
      </c>
      <c r="G177" s="4">
        <v>83</v>
      </c>
    </row>
    <row r="178" spans="1:7">
      <c r="A178" s="4" t="s">
        <v>709</v>
      </c>
      <c r="B178" s="4" t="s">
        <v>144</v>
      </c>
      <c r="C178" s="4">
        <v>91</v>
      </c>
      <c r="D178" s="4">
        <v>97</v>
      </c>
      <c r="E178" s="5">
        <v>112.5</v>
      </c>
      <c r="F178" s="4">
        <v>78</v>
      </c>
      <c r="G178" s="4">
        <v>80</v>
      </c>
    </row>
    <row r="179" spans="1:7">
      <c r="A179" s="4" t="s">
        <v>706</v>
      </c>
      <c r="B179" s="4" t="s">
        <v>206</v>
      </c>
      <c r="C179" s="4">
        <v>99</v>
      </c>
      <c r="D179" s="4">
        <v>98</v>
      </c>
      <c r="E179" s="5">
        <v>104.5</v>
      </c>
      <c r="F179" s="4">
        <v>71</v>
      </c>
      <c r="G179" s="4">
        <v>86</v>
      </c>
    </row>
    <row r="180" spans="1:7">
      <c r="A180" s="4" t="s">
        <v>703</v>
      </c>
      <c r="B180" s="4" t="s">
        <v>486</v>
      </c>
      <c r="C180" s="4">
        <v>90</v>
      </c>
      <c r="D180" s="4">
        <v>110</v>
      </c>
      <c r="E180" s="5">
        <v>106.5</v>
      </c>
      <c r="F180" s="4">
        <v>74</v>
      </c>
      <c r="G180" s="4">
        <v>78</v>
      </c>
    </row>
    <row r="181" spans="1:7">
      <c r="A181" s="4" t="s">
        <v>700</v>
      </c>
      <c r="B181" s="4" t="s">
        <v>279</v>
      </c>
      <c r="C181" s="4">
        <v>95</v>
      </c>
      <c r="D181" s="4">
        <v>95</v>
      </c>
      <c r="E181" s="5">
        <v>111.5</v>
      </c>
      <c r="F181" s="4">
        <v>78</v>
      </c>
      <c r="G181" s="4">
        <v>79</v>
      </c>
    </row>
    <row r="182" spans="1:7">
      <c r="A182" s="4" t="s">
        <v>706</v>
      </c>
      <c r="B182" s="4" t="s">
        <v>210</v>
      </c>
      <c r="C182" s="4">
        <v>92</v>
      </c>
      <c r="D182" s="4">
        <v>95</v>
      </c>
      <c r="E182" s="4">
        <v>108</v>
      </c>
      <c r="F182" s="4">
        <v>78</v>
      </c>
      <c r="G182" s="4">
        <v>85</v>
      </c>
    </row>
    <row r="183" spans="1:7">
      <c r="A183" s="4" t="s">
        <v>703</v>
      </c>
      <c r="B183" s="4" t="s">
        <v>493</v>
      </c>
      <c r="C183" s="4">
        <v>88</v>
      </c>
      <c r="D183" s="4">
        <v>106</v>
      </c>
      <c r="E183" s="4">
        <v>107</v>
      </c>
      <c r="F183" s="4">
        <v>76</v>
      </c>
      <c r="G183" s="4">
        <v>81</v>
      </c>
    </row>
    <row r="184" spans="1:7">
      <c r="A184" s="4" t="s">
        <v>711</v>
      </c>
      <c r="B184" s="4" t="s">
        <v>228</v>
      </c>
      <c r="C184" s="4">
        <v>97</v>
      </c>
      <c r="D184" s="4">
        <v>99</v>
      </c>
      <c r="E184" s="5">
        <v>105.5</v>
      </c>
      <c r="F184" s="4">
        <v>75</v>
      </c>
      <c r="G184" s="4">
        <v>81</v>
      </c>
    </row>
    <row r="185" spans="1:7">
      <c r="A185" s="4" t="s">
        <v>699</v>
      </c>
      <c r="B185" s="4" t="s">
        <v>403</v>
      </c>
      <c r="C185" s="4">
        <v>102</v>
      </c>
      <c r="D185" s="4">
        <v>86</v>
      </c>
      <c r="E185" s="5">
        <v>108.5</v>
      </c>
      <c r="F185" s="4">
        <v>83</v>
      </c>
      <c r="G185" s="4">
        <v>78</v>
      </c>
    </row>
    <row r="186" spans="1:7">
      <c r="A186" s="4" t="s">
        <v>699</v>
      </c>
      <c r="B186" s="4" t="s">
        <v>405</v>
      </c>
      <c r="C186" s="4">
        <v>105</v>
      </c>
      <c r="D186" s="4">
        <v>86</v>
      </c>
      <c r="E186" s="5">
        <v>104.5</v>
      </c>
      <c r="F186" s="4">
        <v>72</v>
      </c>
      <c r="G186" s="4">
        <v>90</v>
      </c>
    </row>
    <row r="187" spans="1:7">
      <c r="A187" s="4" t="s">
        <v>703</v>
      </c>
      <c r="B187" s="4" t="s">
        <v>460</v>
      </c>
      <c r="C187" s="4">
        <v>102</v>
      </c>
      <c r="D187" s="4">
        <v>87</v>
      </c>
      <c r="E187" s="4">
        <v>110</v>
      </c>
      <c r="F187" s="4">
        <v>76</v>
      </c>
      <c r="G187" s="4">
        <v>82</v>
      </c>
    </row>
    <row r="188" spans="1:7">
      <c r="A188" s="4" t="s">
        <v>702</v>
      </c>
      <c r="B188" s="4" t="s">
        <v>357</v>
      </c>
      <c r="C188" s="4">
        <v>98</v>
      </c>
      <c r="D188" s="4">
        <v>92</v>
      </c>
      <c r="E188" s="4">
        <v>104</v>
      </c>
      <c r="F188" s="4">
        <v>81</v>
      </c>
      <c r="G188" s="4">
        <v>82</v>
      </c>
    </row>
    <row r="189" spans="1:7">
      <c r="A189" s="4" t="s">
        <v>699</v>
      </c>
      <c r="B189" s="4" t="s">
        <v>413</v>
      </c>
      <c r="C189" s="4">
        <v>97</v>
      </c>
      <c r="D189" s="4">
        <v>103</v>
      </c>
      <c r="E189" s="4">
        <v>106</v>
      </c>
      <c r="F189" s="4">
        <v>69</v>
      </c>
      <c r="G189" s="4">
        <v>82</v>
      </c>
    </row>
    <row r="190" spans="1:7">
      <c r="A190" s="4" t="s">
        <v>701</v>
      </c>
      <c r="B190" s="4" t="s">
        <v>430</v>
      </c>
      <c r="C190" s="4">
        <v>95</v>
      </c>
      <c r="D190" s="4">
        <v>88</v>
      </c>
      <c r="E190" s="4">
        <v>111</v>
      </c>
      <c r="F190" s="4">
        <v>79</v>
      </c>
      <c r="G190" s="4">
        <v>84</v>
      </c>
    </row>
    <row r="191" spans="1:7">
      <c r="A191" s="4" t="s">
        <v>703</v>
      </c>
      <c r="B191" s="4" t="s">
        <v>476</v>
      </c>
      <c r="C191" s="4">
        <v>103</v>
      </c>
      <c r="D191" s="4">
        <v>93</v>
      </c>
      <c r="E191" s="4">
        <v>112</v>
      </c>
      <c r="F191" s="4">
        <v>76</v>
      </c>
      <c r="G191" s="4">
        <v>73</v>
      </c>
    </row>
    <row r="192" spans="1:7">
      <c r="A192" s="4" t="s">
        <v>702</v>
      </c>
      <c r="B192" s="4" t="s">
        <v>362</v>
      </c>
      <c r="C192" s="4">
        <v>91</v>
      </c>
      <c r="D192" s="4">
        <v>113</v>
      </c>
      <c r="E192" s="5">
        <v>107.5</v>
      </c>
      <c r="F192" s="4">
        <v>65</v>
      </c>
      <c r="G192" s="4">
        <v>80</v>
      </c>
    </row>
    <row r="193" spans="1:7">
      <c r="A193" s="4" t="s">
        <v>706</v>
      </c>
      <c r="B193" s="4" t="s">
        <v>176</v>
      </c>
      <c r="C193" s="4">
        <v>94</v>
      </c>
      <c r="D193" s="4">
        <v>100</v>
      </c>
      <c r="E193" s="5">
        <v>108.5</v>
      </c>
      <c r="F193" s="4">
        <v>70</v>
      </c>
      <c r="G193" s="4">
        <v>84</v>
      </c>
    </row>
    <row r="194" spans="1:7">
      <c r="A194" s="4" t="s">
        <v>705</v>
      </c>
      <c r="B194" s="4" t="s">
        <v>508</v>
      </c>
      <c r="C194" s="4">
        <v>91</v>
      </c>
      <c r="D194" s="4">
        <v>101</v>
      </c>
      <c r="E194" s="4">
        <v>106</v>
      </c>
      <c r="F194" s="4">
        <v>72</v>
      </c>
      <c r="G194" s="4">
        <v>86</v>
      </c>
    </row>
    <row r="195" spans="1:7">
      <c r="A195" s="4" t="s">
        <v>709</v>
      </c>
      <c r="B195" s="4" t="s">
        <v>143</v>
      </c>
      <c r="C195" s="4">
        <v>96</v>
      </c>
      <c r="D195" s="4">
        <v>106</v>
      </c>
      <c r="E195" s="4">
        <v>109</v>
      </c>
      <c r="F195" s="4">
        <v>62</v>
      </c>
      <c r="G195" s="4">
        <v>83</v>
      </c>
    </row>
    <row r="196" spans="1:7">
      <c r="A196" s="4" t="s">
        <v>701</v>
      </c>
      <c r="B196" s="4" t="s">
        <v>439</v>
      </c>
      <c r="C196" s="4">
        <v>98</v>
      </c>
      <c r="D196" s="4">
        <v>100</v>
      </c>
      <c r="E196" s="5">
        <v>109.5</v>
      </c>
      <c r="F196" s="4">
        <v>68</v>
      </c>
      <c r="G196" s="4">
        <v>80</v>
      </c>
    </row>
    <row r="197" spans="1:7">
      <c r="A197" s="4" t="s">
        <v>699</v>
      </c>
      <c r="B197" s="4" t="s">
        <v>387</v>
      </c>
      <c r="C197" s="4">
        <v>98</v>
      </c>
      <c r="D197" s="4">
        <v>107</v>
      </c>
      <c r="E197" s="4">
        <v>99</v>
      </c>
      <c r="F197" s="4">
        <v>69</v>
      </c>
      <c r="G197" s="4">
        <v>82</v>
      </c>
    </row>
    <row r="198" spans="1:7">
      <c r="A198" s="4" t="s">
        <v>699</v>
      </c>
      <c r="B198" s="4" t="s">
        <v>400</v>
      </c>
      <c r="C198" s="4">
        <v>92</v>
      </c>
      <c r="D198" s="4">
        <v>104</v>
      </c>
      <c r="E198" s="5">
        <v>111.5</v>
      </c>
      <c r="F198" s="4">
        <v>71</v>
      </c>
      <c r="G198" s="4">
        <v>76</v>
      </c>
    </row>
    <row r="199" spans="1:7">
      <c r="A199" s="4" t="s">
        <v>707</v>
      </c>
      <c r="B199" s="4" t="s">
        <v>333</v>
      </c>
      <c r="C199" s="4">
        <v>97</v>
      </c>
      <c r="D199" s="4">
        <v>95</v>
      </c>
      <c r="E199" s="5">
        <v>104.5</v>
      </c>
      <c r="F199" s="4">
        <v>79</v>
      </c>
      <c r="G199" s="4">
        <v>79</v>
      </c>
    </row>
    <row r="200" spans="1:7">
      <c r="A200" s="4" t="s">
        <v>701</v>
      </c>
      <c r="B200" s="4" t="s">
        <v>422</v>
      </c>
      <c r="C200" s="4">
        <v>97</v>
      </c>
      <c r="D200" s="4">
        <v>93</v>
      </c>
      <c r="E200" s="5">
        <v>109.5</v>
      </c>
      <c r="F200" s="4">
        <v>75</v>
      </c>
      <c r="G200" s="4">
        <v>80</v>
      </c>
    </row>
    <row r="201" spans="1:7">
      <c r="A201" s="4" t="s">
        <v>700</v>
      </c>
      <c r="B201" s="4" t="s">
        <v>291</v>
      </c>
      <c r="C201" s="4">
        <v>92</v>
      </c>
      <c r="D201" s="4">
        <v>105</v>
      </c>
      <c r="E201" s="5">
        <v>107.5</v>
      </c>
      <c r="F201" s="4">
        <v>74</v>
      </c>
      <c r="G201" s="4">
        <v>76</v>
      </c>
    </row>
    <row r="202" spans="1:7">
      <c r="A202" s="4" t="s">
        <v>712</v>
      </c>
      <c r="B202" s="4" t="s">
        <v>53</v>
      </c>
      <c r="C202" s="4">
        <v>87</v>
      </c>
      <c r="D202" s="4">
        <v>92</v>
      </c>
      <c r="E202" s="4">
        <v>115</v>
      </c>
      <c r="F202" s="4">
        <v>84</v>
      </c>
      <c r="G202" s="4">
        <v>76</v>
      </c>
    </row>
    <row r="203" spans="1:7">
      <c r="A203" s="4" t="s">
        <v>707</v>
      </c>
      <c r="B203" s="4" t="s">
        <v>298</v>
      </c>
      <c r="C203" s="4">
        <v>97</v>
      </c>
      <c r="D203" s="4">
        <v>98</v>
      </c>
      <c r="E203" s="4">
        <v>105</v>
      </c>
      <c r="F203" s="4">
        <v>77</v>
      </c>
      <c r="G203" s="4">
        <v>77</v>
      </c>
    </row>
    <row r="204" spans="1:7">
      <c r="A204" s="4" t="s">
        <v>705</v>
      </c>
      <c r="B204" s="4" t="s">
        <v>513</v>
      </c>
      <c r="C204" s="4">
        <v>104</v>
      </c>
      <c r="D204" s="4">
        <v>104</v>
      </c>
      <c r="E204" s="5">
        <v>98.5</v>
      </c>
      <c r="F204" s="4">
        <v>71</v>
      </c>
      <c r="G204" s="4">
        <v>76</v>
      </c>
    </row>
    <row r="205" spans="1:7">
      <c r="A205" s="4" t="s">
        <v>712</v>
      </c>
      <c r="B205" s="4" t="s">
        <v>72</v>
      </c>
      <c r="C205" s="4">
        <v>96</v>
      </c>
      <c r="D205" s="4">
        <v>97</v>
      </c>
      <c r="E205" s="4">
        <v>101</v>
      </c>
      <c r="F205" s="4">
        <v>73</v>
      </c>
      <c r="G205" s="4">
        <v>86</v>
      </c>
    </row>
    <row r="206" spans="1:7">
      <c r="A206" s="4" t="s">
        <v>711</v>
      </c>
      <c r="B206" s="4" t="s">
        <v>243</v>
      </c>
      <c r="C206" s="4">
        <v>101</v>
      </c>
      <c r="D206" s="4">
        <v>82</v>
      </c>
      <c r="E206" s="4">
        <v>111</v>
      </c>
      <c r="F206" s="4">
        <v>80</v>
      </c>
      <c r="G206" s="4">
        <v>79</v>
      </c>
    </row>
    <row r="207" spans="1:7">
      <c r="A207" s="4" t="s">
        <v>702</v>
      </c>
      <c r="B207" s="4" t="s">
        <v>359</v>
      </c>
      <c r="C207" s="4">
        <v>89</v>
      </c>
      <c r="D207" s="4">
        <v>103</v>
      </c>
      <c r="E207" s="5">
        <v>112.5</v>
      </c>
      <c r="F207" s="4">
        <v>72</v>
      </c>
      <c r="G207" s="4">
        <v>76</v>
      </c>
    </row>
    <row r="208" spans="1:7">
      <c r="A208" s="4" t="s">
        <v>707</v>
      </c>
      <c r="B208" s="4" t="s">
        <v>302</v>
      </c>
      <c r="C208" s="4">
        <v>98</v>
      </c>
      <c r="D208" s="4">
        <v>86</v>
      </c>
      <c r="E208" s="5">
        <v>115.5</v>
      </c>
      <c r="F208" s="4">
        <v>76</v>
      </c>
      <c r="G208" s="4">
        <v>77</v>
      </c>
    </row>
    <row r="209" spans="1:7">
      <c r="A209" s="4" t="s">
        <v>707</v>
      </c>
      <c r="B209" s="4" t="s">
        <v>305</v>
      </c>
      <c r="C209" s="4">
        <v>107</v>
      </c>
      <c r="D209" s="4">
        <v>95</v>
      </c>
      <c r="E209" s="5">
        <v>110.5</v>
      </c>
      <c r="F209" s="4">
        <v>61</v>
      </c>
      <c r="G209" s="4">
        <v>79</v>
      </c>
    </row>
    <row r="210" spans="1:7">
      <c r="A210" s="4" t="s">
        <v>703</v>
      </c>
      <c r="B210" s="4" t="s">
        <v>482</v>
      </c>
      <c r="C210" s="4">
        <v>102</v>
      </c>
      <c r="D210" s="4">
        <v>98</v>
      </c>
      <c r="E210" s="5">
        <v>109.5</v>
      </c>
      <c r="F210" s="4">
        <v>74</v>
      </c>
      <c r="G210" s="4">
        <v>69</v>
      </c>
    </row>
    <row r="211" spans="1:7">
      <c r="A211" s="4" t="s">
        <v>712</v>
      </c>
      <c r="B211" s="4" t="s">
        <v>62</v>
      </c>
      <c r="C211" s="4">
        <v>99</v>
      </c>
      <c r="D211" s="4">
        <v>88</v>
      </c>
      <c r="E211" s="4">
        <v>110</v>
      </c>
      <c r="F211" s="4">
        <v>78</v>
      </c>
      <c r="G211" s="4">
        <v>77</v>
      </c>
    </row>
    <row r="212" spans="1:7">
      <c r="A212" s="4" t="s">
        <v>699</v>
      </c>
      <c r="B212" s="4" t="s">
        <v>379</v>
      </c>
      <c r="C212" s="4">
        <v>93</v>
      </c>
      <c r="D212" s="4">
        <v>95</v>
      </c>
      <c r="E212" s="4">
        <v>105</v>
      </c>
      <c r="F212" s="4">
        <v>74</v>
      </c>
      <c r="G212" s="4">
        <v>85</v>
      </c>
    </row>
    <row r="213" spans="1:7">
      <c r="A213" s="4" t="s">
        <v>712</v>
      </c>
      <c r="B213" s="4" t="s">
        <v>90</v>
      </c>
      <c r="C213" s="4">
        <v>92</v>
      </c>
      <c r="D213" s="4">
        <v>96</v>
      </c>
      <c r="E213" s="4">
        <v>103</v>
      </c>
      <c r="F213" s="4">
        <v>80</v>
      </c>
      <c r="G213" s="4">
        <v>80</v>
      </c>
    </row>
    <row r="214" spans="1:7">
      <c r="A214" s="4" t="s">
        <v>709</v>
      </c>
      <c r="B214" s="4" t="s">
        <v>153</v>
      </c>
      <c r="C214" s="4">
        <v>97</v>
      </c>
      <c r="D214" s="4">
        <v>98</v>
      </c>
      <c r="E214" s="5">
        <v>106.5</v>
      </c>
      <c r="F214" s="4">
        <v>70</v>
      </c>
      <c r="G214" s="4">
        <v>79</v>
      </c>
    </row>
    <row r="215" spans="1:7">
      <c r="A215" s="4" t="s">
        <v>699</v>
      </c>
      <c r="B215" s="4" t="s">
        <v>378</v>
      </c>
      <c r="C215" s="4">
        <v>92</v>
      </c>
      <c r="D215" s="4">
        <v>97</v>
      </c>
      <c r="E215" s="5">
        <v>112.5</v>
      </c>
      <c r="F215" s="4">
        <v>75</v>
      </c>
      <c r="G215" s="4">
        <v>74</v>
      </c>
    </row>
    <row r="216" spans="1:7">
      <c r="A216" s="4" t="s">
        <v>705</v>
      </c>
      <c r="B216" s="4" t="s">
        <v>532</v>
      </c>
      <c r="C216" s="4">
        <v>101</v>
      </c>
      <c r="D216" s="4">
        <v>90</v>
      </c>
      <c r="E216" s="4">
        <v>109</v>
      </c>
      <c r="F216" s="4">
        <v>68</v>
      </c>
      <c r="G216" s="4">
        <v>82</v>
      </c>
    </row>
    <row r="217" spans="1:7">
      <c r="A217" s="4" t="s">
        <v>702</v>
      </c>
      <c r="B217" s="4" t="s">
        <v>348</v>
      </c>
      <c r="C217" s="4">
        <v>90</v>
      </c>
      <c r="D217" s="4">
        <v>107</v>
      </c>
      <c r="E217" s="5">
        <v>103.5</v>
      </c>
      <c r="F217" s="4">
        <v>68</v>
      </c>
      <c r="G217" s="4">
        <v>81</v>
      </c>
    </row>
    <row r="218" spans="1:7">
      <c r="A218" s="4" t="s">
        <v>699</v>
      </c>
      <c r="B218" s="4" t="s">
        <v>376</v>
      </c>
      <c r="C218" s="4">
        <v>104</v>
      </c>
      <c r="D218" s="4">
        <v>83</v>
      </c>
      <c r="E218" s="5">
        <v>103.5</v>
      </c>
      <c r="F218" s="4">
        <v>79</v>
      </c>
      <c r="G218" s="4">
        <v>80</v>
      </c>
    </row>
    <row r="219" spans="1:7">
      <c r="A219" s="4" t="s">
        <v>710</v>
      </c>
      <c r="B219" s="4" t="s">
        <v>46</v>
      </c>
      <c r="C219" s="4">
        <v>97</v>
      </c>
      <c r="D219" s="4">
        <v>100</v>
      </c>
      <c r="E219" s="5">
        <v>91.5</v>
      </c>
      <c r="F219" s="4">
        <v>79</v>
      </c>
      <c r="G219" s="4">
        <v>82</v>
      </c>
    </row>
    <row r="220" spans="1:7">
      <c r="A220" s="4" t="s">
        <v>712</v>
      </c>
      <c r="B220" s="4" t="s">
        <v>78</v>
      </c>
      <c r="C220" s="4">
        <v>100</v>
      </c>
      <c r="D220" s="4">
        <v>98</v>
      </c>
      <c r="E220" s="4">
        <v>102</v>
      </c>
      <c r="F220" s="4">
        <v>71</v>
      </c>
      <c r="G220" s="4">
        <v>78</v>
      </c>
    </row>
    <row r="221" spans="1:7">
      <c r="A221" s="4" t="s">
        <v>705</v>
      </c>
      <c r="B221" s="4" t="s">
        <v>526</v>
      </c>
      <c r="C221" s="4">
        <v>90</v>
      </c>
      <c r="D221" s="4">
        <v>97</v>
      </c>
      <c r="E221" s="4">
        <v>108</v>
      </c>
      <c r="F221" s="4">
        <v>70</v>
      </c>
      <c r="G221" s="4">
        <v>84</v>
      </c>
    </row>
    <row r="222" spans="1:7">
      <c r="A222" s="4" t="s">
        <v>708</v>
      </c>
      <c r="B222" s="4" t="s">
        <v>93</v>
      </c>
      <c r="C222" s="4">
        <v>93</v>
      </c>
      <c r="D222" s="4">
        <v>91</v>
      </c>
      <c r="E222" s="4">
        <v>108</v>
      </c>
      <c r="F222" s="4">
        <v>76</v>
      </c>
      <c r="G222" s="4">
        <v>81</v>
      </c>
    </row>
    <row r="223" spans="1:7">
      <c r="A223" s="4" t="s">
        <v>702</v>
      </c>
      <c r="B223" s="4" t="s">
        <v>365</v>
      </c>
      <c r="C223" s="4">
        <v>93</v>
      </c>
      <c r="D223" s="4">
        <v>89</v>
      </c>
      <c r="E223" s="5">
        <v>108.5</v>
      </c>
      <c r="F223" s="4">
        <v>79</v>
      </c>
      <c r="G223" s="4">
        <v>79</v>
      </c>
    </row>
    <row r="224" spans="1:7">
      <c r="A224" s="4" t="s">
        <v>707</v>
      </c>
      <c r="B224" s="4" t="s">
        <v>295</v>
      </c>
      <c r="C224" s="4">
        <v>86</v>
      </c>
      <c r="D224" s="4">
        <v>104</v>
      </c>
      <c r="E224" s="5">
        <v>108.5</v>
      </c>
      <c r="F224" s="4">
        <v>74</v>
      </c>
      <c r="G224" s="4">
        <v>76</v>
      </c>
    </row>
    <row r="225" spans="1:7">
      <c r="A225" s="4" t="s">
        <v>703</v>
      </c>
      <c r="B225" s="4" t="s">
        <v>464</v>
      </c>
      <c r="C225" s="4">
        <v>86</v>
      </c>
      <c r="D225" s="4">
        <v>99</v>
      </c>
      <c r="E225" s="4">
        <v>108</v>
      </c>
      <c r="F225" s="4">
        <v>77</v>
      </c>
      <c r="G225" s="4">
        <v>78</v>
      </c>
    </row>
    <row r="226" spans="1:7">
      <c r="A226" s="4" t="s">
        <v>703</v>
      </c>
      <c r="B226" s="4" t="s">
        <v>477</v>
      </c>
      <c r="C226" s="4">
        <v>91</v>
      </c>
      <c r="D226" s="4">
        <v>85</v>
      </c>
      <c r="E226" s="4">
        <v>109</v>
      </c>
      <c r="F226" s="4">
        <v>82</v>
      </c>
      <c r="G226" s="4">
        <v>81</v>
      </c>
    </row>
    <row r="227" spans="1:7">
      <c r="A227" s="4" t="s">
        <v>709</v>
      </c>
      <c r="B227" s="4" t="s">
        <v>137</v>
      </c>
      <c r="C227" s="4">
        <v>105</v>
      </c>
      <c r="D227" s="4">
        <v>83</v>
      </c>
      <c r="E227" s="5">
        <v>110.5</v>
      </c>
      <c r="F227" s="4">
        <v>74</v>
      </c>
      <c r="G227" s="4">
        <v>75</v>
      </c>
    </row>
    <row r="228" spans="1:7">
      <c r="A228" s="4" t="s">
        <v>699</v>
      </c>
      <c r="B228" s="4" t="s">
        <v>399</v>
      </c>
      <c r="C228" s="4">
        <v>98</v>
      </c>
      <c r="D228" s="4">
        <v>91</v>
      </c>
      <c r="E228" s="4">
        <v>100</v>
      </c>
      <c r="F228" s="4">
        <v>73</v>
      </c>
      <c r="G228" s="4">
        <v>85</v>
      </c>
    </row>
    <row r="229" spans="1:7">
      <c r="A229" s="4" t="s">
        <v>702</v>
      </c>
      <c r="B229" s="4" t="s">
        <v>349</v>
      </c>
      <c r="C229" s="4">
        <v>91</v>
      </c>
      <c r="D229" s="4">
        <v>101</v>
      </c>
      <c r="E229" s="5">
        <v>103.5</v>
      </c>
      <c r="F229" s="4">
        <v>74</v>
      </c>
      <c r="G229" s="4">
        <v>77</v>
      </c>
    </row>
    <row r="230" spans="1:7">
      <c r="A230" s="4" t="s">
        <v>708</v>
      </c>
      <c r="B230" s="4" t="s">
        <v>127</v>
      </c>
      <c r="C230" s="4">
        <v>106</v>
      </c>
      <c r="D230" s="4">
        <v>79</v>
      </c>
      <c r="E230" s="5">
        <v>103.5</v>
      </c>
      <c r="F230" s="4">
        <v>69</v>
      </c>
      <c r="G230" s="4">
        <v>88</v>
      </c>
    </row>
    <row r="231" spans="1:7">
      <c r="A231" s="4" t="s">
        <v>706</v>
      </c>
      <c r="B231" s="4" t="s">
        <v>208</v>
      </c>
      <c r="C231" s="4">
        <v>98</v>
      </c>
      <c r="D231" s="4">
        <v>105</v>
      </c>
      <c r="E231" s="4">
        <v>100</v>
      </c>
      <c r="F231" s="4">
        <v>64</v>
      </c>
      <c r="G231" s="4">
        <v>78</v>
      </c>
    </row>
    <row r="232" spans="1:7">
      <c r="A232" s="4" t="s">
        <v>706</v>
      </c>
      <c r="B232" s="4" t="s">
        <v>201</v>
      </c>
      <c r="C232" s="4">
        <v>98</v>
      </c>
      <c r="D232" s="4">
        <v>92</v>
      </c>
      <c r="E232" s="5">
        <v>112.5</v>
      </c>
      <c r="F232" s="4">
        <v>71</v>
      </c>
      <c r="G232" s="4">
        <v>71</v>
      </c>
    </row>
    <row r="233" spans="1:7">
      <c r="A233" s="4" t="s">
        <v>700</v>
      </c>
      <c r="B233" s="4" t="s">
        <v>283</v>
      </c>
      <c r="C233" s="4">
        <v>95</v>
      </c>
      <c r="D233" s="4">
        <v>93</v>
      </c>
      <c r="E233" s="5">
        <v>94.5</v>
      </c>
      <c r="F233" s="4">
        <v>76</v>
      </c>
      <c r="G233" s="4">
        <v>86</v>
      </c>
    </row>
    <row r="234" spans="1:7">
      <c r="A234" s="4" t="s">
        <v>705</v>
      </c>
      <c r="B234" s="4" t="s">
        <v>518</v>
      </c>
      <c r="C234" s="4">
        <v>103</v>
      </c>
      <c r="D234" s="4">
        <v>81</v>
      </c>
      <c r="E234" s="5">
        <v>108.5</v>
      </c>
      <c r="F234" s="4">
        <v>65</v>
      </c>
      <c r="G234" s="4">
        <v>86</v>
      </c>
    </row>
    <row r="235" spans="1:7">
      <c r="A235" s="4" t="s">
        <v>706</v>
      </c>
      <c r="B235" s="4" t="s">
        <v>182</v>
      </c>
      <c r="C235" s="4">
        <v>93</v>
      </c>
      <c r="D235" s="4">
        <v>90</v>
      </c>
      <c r="E235" s="4">
        <v>106</v>
      </c>
      <c r="F235" s="4">
        <v>72</v>
      </c>
      <c r="G235" s="4">
        <v>82</v>
      </c>
    </row>
    <row r="236" spans="1:7">
      <c r="A236" s="4" t="s">
        <v>708</v>
      </c>
      <c r="B236" s="4" t="s">
        <v>112</v>
      </c>
      <c r="C236" s="4">
        <v>105</v>
      </c>
      <c r="D236" s="4">
        <v>74</v>
      </c>
      <c r="E236" s="4">
        <v>108</v>
      </c>
      <c r="F236" s="4">
        <v>70</v>
      </c>
      <c r="G236" s="4">
        <v>86</v>
      </c>
    </row>
    <row r="237" spans="1:7">
      <c r="A237" s="4" t="s">
        <v>711</v>
      </c>
      <c r="B237" s="4" t="s">
        <v>242</v>
      </c>
      <c r="C237" s="4">
        <v>97</v>
      </c>
      <c r="D237" s="4">
        <v>90</v>
      </c>
      <c r="E237" s="4">
        <v>103</v>
      </c>
      <c r="F237" s="4">
        <v>72</v>
      </c>
      <c r="G237" s="4">
        <v>80</v>
      </c>
    </row>
    <row r="238" spans="1:7">
      <c r="A238" s="4" t="s">
        <v>711</v>
      </c>
      <c r="B238" s="4" t="s">
        <v>246</v>
      </c>
      <c r="C238" s="4">
        <v>85</v>
      </c>
      <c r="D238" s="4">
        <v>105</v>
      </c>
      <c r="E238" s="4">
        <v>98</v>
      </c>
      <c r="F238" s="4">
        <v>78</v>
      </c>
      <c r="G238" s="4">
        <v>76</v>
      </c>
    </row>
    <row r="239" spans="1:7">
      <c r="A239" s="4" t="s">
        <v>705</v>
      </c>
      <c r="B239" s="4" t="s">
        <v>497</v>
      </c>
      <c r="C239" s="4">
        <v>85</v>
      </c>
      <c r="D239" s="4">
        <v>93</v>
      </c>
      <c r="E239" s="4">
        <v>108</v>
      </c>
      <c r="F239" s="4">
        <v>80</v>
      </c>
      <c r="G239" s="4">
        <v>76</v>
      </c>
    </row>
    <row r="240" spans="1:7">
      <c r="A240" s="4" t="s">
        <v>709</v>
      </c>
      <c r="B240" s="4" t="s">
        <v>161</v>
      </c>
      <c r="C240" s="4">
        <v>97</v>
      </c>
      <c r="D240" s="4">
        <v>93</v>
      </c>
      <c r="E240" s="4">
        <v>106</v>
      </c>
      <c r="F240" s="4">
        <v>78</v>
      </c>
      <c r="G240" s="4">
        <v>68</v>
      </c>
    </row>
    <row r="241" spans="1:7">
      <c r="A241" s="4" t="s">
        <v>703</v>
      </c>
      <c r="B241" s="4" t="s">
        <v>457</v>
      </c>
      <c r="C241" s="4">
        <v>92</v>
      </c>
      <c r="D241" s="4">
        <v>105</v>
      </c>
      <c r="E241" s="5">
        <v>94.5</v>
      </c>
      <c r="F241" s="4">
        <v>76</v>
      </c>
      <c r="G241" s="4">
        <v>74</v>
      </c>
    </row>
    <row r="242" spans="1:7">
      <c r="A242" s="4" t="s">
        <v>699</v>
      </c>
      <c r="B242" s="4" t="s">
        <v>410</v>
      </c>
      <c r="C242" s="4">
        <v>99</v>
      </c>
      <c r="D242" s="4">
        <v>87</v>
      </c>
      <c r="E242" s="5">
        <v>103.5</v>
      </c>
      <c r="F242" s="4">
        <v>74</v>
      </c>
      <c r="G242" s="4">
        <v>78</v>
      </c>
    </row>
    <row r="243" spans="1:7">
      <c r="A243" s="4" t="s">
        <v>708</v>
      </c>
      <c r="B243" s="4" t="s">
        <v>96</v>
      </c>
      <c r="C243" s="4">
        <v>96</v>
      </c>
      <c r="D243" s="4">
        <v>89</v>
      </c>
      <c r="E243" s="5">
        <v>102.5</v>
      </c>
      <c r="F243" s="4">
        <v>78</v>
      </c>
      <c r="G243" s="4">
        <v>76</v>
      </c>
    </row>
    <row r="244" spans="1:7">
      <c r="A244" s="4" t="s">
        <v>711</v>
      </c>
      <c r="B244" s="4" t="s">
        <v>216</v>
      </c>
      <c r="C244" s="4">
        <v>88</v>
      </c>
      <c r="D244" s="4">
        <v>98</v>
      </c>
      <c r="E244" s="4">
        <v>95</v>
      </c>
      <c r="F244" s="4">
        <v>83</v>
      </c>
      <c r="G244" s="4">
        <v>77</v>
      </c>
    </row>
    <row r="245" spans="1:7">
      <c r="A245" s="4" t="s">
        <v>700</v>
      </c>
      <c r="B245" s="4" t="s">
        <v>277</v>
      </c>
      <c r="C245" s="4">
        <v>97</v>
      </c>
      <c r="D245" s="4">
        <v>81</v>
      </c>
      <c r="E245" s="4">
        <v>102</v>
      </c>
      <c r="F245" s="4">
        <v>75</v>
      </c>
      <c r="G245" s="4">
        <v>86</v>
      </c>
    </row>
    <row r="246" spans="1:7">
      <c r="A246" s="4" t="s">
        <v>706</v>
      </c>
      <c r="B246" s="4" t="s">
        <v>197</v>
      </c>
      <c r="C246" s="4">
        <v>88</v>
      </c>
      <c r="D246" s="4">
        <v>84</v>
      </c>
      <c r="E246" s="5">
        <v>105.5</v>
      </c>
      <c r="F246" s="4">
        <v>76</v>
      </c>
      <c r="G246" s="4">
        <v>87</v>
      </c>
    </row>
    <row r="247" spans="1:7">
      <c r="A247" s="4" t="s">
        <v>710</v>
      </c>
      <c r="B247" s="4" t="s">
        <v>27</v>
      </c>
      <c r="C247" s="4">
        <v>88</v>
      </c>
      <c r="D247" s="4">
        <v>82</v>
      </c>
      <c r="E247" s="5">
        <v>107.5</v>
      </c>
      <c r="F247" s="4">
        <v>78</v>
      </c>
      <c r="G247" s="4">
        <v>85</v>
      </c>
    </row>
    <row r="248" spans="1:7">
      <c r="A248" s="4" t="s">
        <v>708</v>
      </c>
      <c r="B248" s="4" t="s">
        <v>114</v>
      </c>
      <c r="C248" s="4">
        <v>97</v>
      </c>
      <c r="D248" s="4">
        <v>98</v>
      </c>
      <c r="E248" s="5">
        <v>99.5</v>
      </c>
      <c r="F248" s="4">
        <v>73</v>
      </c>
      <c r="G248" s="4">
        <v>73</v>
      </c>
    </row>
    <row r="249" spans="1:7">
      <c r="A249" s="4" t="s">
        <v>705</v>
      </c>
      <c r="B249" s="4" t="s">
        <v>507</v>
      </c>
      <c r="C249" s="4">
        <v>95</v>
      </c>
      <c r="D249" s="4">
        <v>91</v>
      </c>
      <c r="E249" s="4">
        <v>106</v>
      </c>
      <c r="F249" s="4">
        <v>71</v>
      </c>
      <c r="G249" s="4">
        <v>77</v>
      </c>
    </row>
    <row r="250" spans="1:7">
      <c r="A250" s="4" t="s">
        <v>703</v>
      </c>
      <c r="B250" s="4" t="s">
        <v>463</v>
      </c>
      <c r="C250" s="4">
        <v>100</v>
      </c>
      <c r="D250" s="4">
        <v>107</v>
      </c>
      <c r="E250" s="5">
        <v>89.5</v>
      </c>
      <c r="F250" s="4">
        <v>68</v>
      </c>
      <c r="G250" s="4">
        <v>75</v>
      </c>
    </row>
    <row r="251" spans="1:7">
      <c r="A251" s="4" t="s">
        <v>711</v>
      </c>
      <c r="B251" s="4" t="s">
        <v>221</v>
      </c>
      <c r="C251" s="4">
        <v>93</v>
      </c>
      <c r="D251" s="4">
        <v>98</v>
      </c>
      <c r="E251" s="5">
        <v>96.5</v>
      </c>
      <c r="F251" s="4">
        <v>68</v>
      </c>
      <c r="G251" s="4">
        <v>84</v>
      </c>
    </row>
    <row r="252" spans="1:7">
      <c r="A252" s="4" t="s">
        <v>706</v>
      </c>
      <c r="B252" s="4" t="s">
        <v>194</v>
      </c>
      <c r="C252" s="4">
        <v>89</v>
      </c>
      <c r="D252" s="4">
        <v>83</v>
      </c>
      <c r="E252" s="5">
        <v>112.5</v>
      </c>
      <c r="F252" s="4">
        <v>77</v>
      </c>
      <c r="G252" s="4">
        <v>78</v>
      </c>
    </row>
    <row r="253" spans="1:7">
      <c r="A253" s="4" t="s">
        <v>705</v>
      </c>
      <c r="B253" s="4" t="s">
        <v>521</v>
      </c>
      <c r="C253" s="4">
        <v>92</v>
      </c>
      <c r="D253" s="4">
        <v>92</v>
      </c>
      <c r="E253" s="4">
        <v>100</v>
      </c>
      <c r="F253" s="4">
        <v>71</v>
      </c>
      <c r="G253" s="4">
        <v>84</v>
      </c>
    </row>
    <row r="254" spans="1:7">
      <c r="A254" s="4" t="s">
        <v>701</v>
      </c>
      <c r="B254" s="4" t="s">
        <v>429</v>
      </c>
      <c r="C254" s="4">
        <v>96</v>
      </c>
      <c r="D254" s="4">
        <v>87</v>
      </c>
      <c r="E254" s="4">
        <v>108</v>
      </c>
      <c r="F254" s="4">
        <v>63</v>
      </c>
      <c r="G254" s="4">
        <v>85</v>
      </c>
    </row>
    <row r="255" spans="1:7">
      <c r="A255" s="4" t="s">
        <v>712</v>
      </c>
      <c r="B255" s="4" t="s">
        <v>58</v>
      </c>
      <c r="C255" s="4">
        <v>88</v>
      </c>
      <c r="D255" s="4">
        <v>88</v>
      </c>
      <c r="E255" s="5">
        <v>101.5</v>
      </c>
      <c r="F255" s="4">
        <v>80</v>
      </c>
      <c r="G255" s="4">
        <v>81</v>
      </c>
    </row>
    <row r="256" spans="1:7">
      <c r="A256" s="4" t="s">
        <v>712</v>
      </c>
      <c r="B256" s="4" t="s">
        <v>71</v>
      </c>
      <c r="C256" s="4">
        <v>91</v>
      </c>
      <c r="D256" s="4">
        <v>94</v>
      </c>
      <c r="E256" s="5">
        <v>101.5</v>
      </c>
      <c r="F256" s="4">
        <v>76</v>
      </c>
      <c r="G256" s="4">
        <v>76</v>
      </c>
    </row>
    <row r="257" spans="1:7">
      <c r="A257" s="4" t="s">
        <v>710</v>
      </c>
      <c r="B257" s="4" t="s">
        <v>19</v>
      </c>
      <c r="C257" s="4">
        <v>101</v>
      </c>
      <c r="D257" s="4">
        <v>88</v>
      </c>
      <c r="E257" s="5">
        <v>96.5</v>
      </c>
      <c r="F257" s="4">
        <v>74</v>
      </c>
      <c r="G257" s="4">
        <v>79</v>
      </c>
    </row>
    <row r="258" spans="1:7">
      <c r="A258" s="4" t="s">
        <v>708</v>
      </c>
      <c r="B258" s="4" t="s">
        <v>107</v>
      </c>
      <c r="C258" s="4">
        <v>85</v>
      </c>
      <c r="D258" s="4">
        <v>95</v>
      </c>
      <c r="E258" s="5">
        <v>101.5</v>
      </c>
      <c r="F258" s="4">
        <v>74</v>
      </c>
      <c r="G258" s="4">
        <v>83</v>
      </c>
    </row>
    <row r="259" spans="1:7">
      <c r="A259" s="4" t="s">
        <v>707</v>
      </c>
      <c r="B259" s="4" t="s">
        <v>320</v>
      </c>
      <c r="C259" s="4">
        <v>99</v>
      </c>
      <c r="D259" s="4">
        <v>98</v>
      </c>
      <c r="E259" s="5">
        <v>98.5</v>
      </c>
      <c r="F259" s="4">
        <v>71</v>
      </c>
      <c r="G259" s="4">
        <v>72</v>
      </c>
    </row>
    <row r="260" spans="1:7">
      <c r="A260" s="4" t="s">
        <v>703</v>
      </c>
      <c r="B260" s="4" t="s">
        <v>456</v>
      </c>
      <c r="C260" s="4">
        <v>89</v>
      </c>
      <c r="D260" s="4">
        <v>96</v>
      </c>
      <c r="E260" s="4">
        <v>98</v>
      </c>
      <c r="F260" s="4">
        <v>76</v>
      </c>
      <c r="G260" s="4">
        <v>79</v>
      </c>
    </row>
    <row r="261" spans="1:7">
      <c r="A261" s="4" t="s">
        <v>706</v>
      </c>
      <c r="B261" s="4" t="s">
        <v>180</v>
      </c>
      <c r="C261" s="4">
        <v>102</v>
      </c>
      <c r="D261" s="4">
        <v>69</v>
      </c>
      <c r="E261" s="5">
        <v>113.5</v>
      </c>
      <c r="F261" s="4">
        <v>77</v>
      </c>
      <c r="G261" s="4">
        <v>76</v>
      </c>
    </row>
    <row r="262" spans="1:7">
      <c r="A262" s="4" t="s">
        <v>714</v>
      </c>
      <c r="B262" s="4" t="s">
        <v>213</v>
      </c>
      <c r="C262" s="4">
        <v>106</v>
      </c>
      <c r="D262" s="4">
        <v>89</v>
      </c>
      <c r="E262" s="5">
        <v>90.5</v>
      </c>
      <c r="F262" s="4">
        <v>73</v>
      </c>
      <c r="G262" s="4">
        <v>79</v>
      </c>
    </row>
    <row r="263" spans="1:7">
      <c r="A263" s="4" t="s">
        <v>710</v>
      </c>
      <c r="B263" s="4" t="s">
        <v>26</v>
      </c>
      <c r="C263" s="4">
        <v>92</v>
      </c>
      <c r="D263" s="4">
        <v>91</v>
      </c>
      <c r="E263" s="5">
        <v>101.5</v>
      </c>
      <c r="F263" s="4">
        <v>75</v>
      </c>
      <c r="G263" s="4">
        <v>78</v>
      </c>
    </row>
    <row r="264" spans="1:7">
      <c r="A264" s="4" t="s">
        <v>703</v>
      </c>
      <c r="B264" s="4" t="s">
        <v>478</v>
      </c>
      <c r="C264" s="4">
        <v>86</v>
      </c>
      <c r="D264" s="4">
        <v>87</v>
      </c>
      <c r="E264" s="5">
        <v>114.5</v>
      </c>
      <c r="F264" s="4">
        <v>72</v>
      </c>
      <c r="G264" s="4">
        <v>78</v>
      </c>
    </row>
    <row r="265" spans="1:7">
      <c r="A265" s="4" t="s">
        <v>700</v>
      </c>
      <c r="B265" s="4" t="s">
        <v>274</v>
      </c>
      <c r="C265" s="4">
        <v>94</v>
      </c>
      <c r="D265" s="4">
        <v>107</v>
      </c>
      <c r="E265" s="5">
        <v>101.5</v>
      </c>
      <c r="F265" s="4">
        <v>68</v>
      </c>
      <c r="G265" s="4">
        <v>67</v>
      </c>
    </row>
    <row r="266" spans="1:7">
      <c r="A266" s="4" t="s">
        <v>701</v>
      </c>
      <c r="B266" s="4" t="s">
        <v>427</v>
      </c>
      <c r="C266" s="4">
        <v>90</v>
      </c>
      <c r="D266" s="4">
        <v>88</v>
      </c>
      <c r="E266" s="4">
        <v>109</v>
      </c>
      <c r="F266" s="4">
        <v>71</v>
      </c>
      <c r="G266" s="4">
        <v>79</v>
      </c>
    </row>
    <row r="267" spans="1:7">
      <c r="A267" s="4" t="s">
        <v>712</v>
      </c>
      <c r="B267" s="4" t="s">
        <v>79</v>
      </c>
      <c r="C267" s="4">
        <v>90</v>
      </c>
      <c r="D267" s="4">
        <v>93</v>
      </c>
      <c r="E267" s="5">
        <v>98.5</v>
      </c>
      <c r="F267" s="4">
        <v>80</v>
      </c>
      <c r="G267" s="4">
        <v>75</v>
      </c>
    </row>
    <row r="268" spans="1:7">
      <c r="A268" s="4" t="s">
        <v>711</v>
      </c>
      <c r="B268" s="4" t="s">
        <v>233</v>
      </c>
      <c r="C268" s="4">
        <v>89</v>
      </c>
      <c r="D268" s="4">
        <v>80</v>
      </c>
      <c r="E268" s="5">
        <v>114.5</v>
      </c>
      <c r="F268" s="4">
        <v>69</v>
      </c>
      <c r="G268" s="4">
        <v>84</v>
      </c>
    </row>
    <row r="269" spans="1:7">
      <c r="A269" s="4" t="s">
        <v>700</v>
      </c>
      <c r="B269" s="4" t="s">
        <v>263</v>
      </c>
      <c r="C269" s="4">
        <v>93</v>
      </c>
      <c r="D269" s="4">
        <v>98</v>
      </c>
      <c r="E269" s="5">
        <v>107.5</v>
      </c>
      <c r="F269" s="4">
        <v>70</v>
      </c>
      <c r="G269" s="4">
        <v>68</v>
      </c>
    </row>
    <row r="270" spans="1:7">
      <c r="A270" s="4" t="s">
        <v>705</v>
      </c>
      <c r="B270" s="4" t="s">
        <v>511</v>
      </c>
      <c r="C270" s="4">
        <v>89</v>
      </c>
      <c r="D270" s="4">
        <v>91</v>
      </c>
      <c r="E270" s="5">
        <v>108.5</v>
      </c>
      <c r="F270" s="4">
        <v>62</v>
      </c>
      <c r="G270" s="4">
        <v>86</v>
      </c>
    </row>
    <row r="271" spans="1:7">
      <c r="A271" s="4" t="s">
        <v>699</v>
      </c>
      <c r="B271" s="4" t="s">
        <v>384</v>
      </c>
      <c r="C271" s="4">
        <v>87</v>
      </c>
      <c r="D271" s="4">
        <v>99</v>
      </c>
      <c r="E271" s="5">
        <v>97.5</v>
      </c>
      <c r="F271" s="4">
        <v>72</v>
      </c>
      <c r="G271" s="4">
        <v>81</v>
      </c>
    </row>
    <row r="272" spans="1:7">
      <c r="A272" s="4" t="s">
        <v>710</v>
      </c>
      <c r="B272" s="4" t="s">
        <v>12</v>
      </c>
      <c r="C272" s="4">
        <v>103</v>
      </c>
      <c r="D272" s="4">
        <v>83</v>
      </c>
      <c r="E272" s="5">
        <v>113.5</v>
      </c>
      <c r="F272" s="4">
        <v>54</v>
      </c>
      <c r="G272" s="4">
        <v>83</v>
      </c>
    </row>
    <row r="273" spans="1:7">
      <c r="A273" s="4" t="s">
        <v>710</v>
      </c>
      <c r="B273" s="4" t="s">
        <v>38</v>
      </c>
      <c r="C273" s="4">
        <v>97</v>
      </c>
      <c r="D273" s="4">
        <v>83</v>
      </c>
      <c r="E273" s="5">
        <v>107.5</v>
      </c>
      <c r="F273" s="4">
        <v>63</v>
      </c>
      <c r="G273" s="4">
        <v>86</v>
      </c>
    </row>
    <row r="274" spans="1:7">
      <c r="A274" s="4" t="s">
        <v>702</v>
      </c>
      <c r="B274" s="4" t="s">
        <v>364</v>
      </c>
      <c r="C274" s="4">
        <v>94</v>
      </c>
      <c r="D274" s="4">
        <v>91</v>
      </c>
      <c r="E274" s="4">
        <v>105</v>
      </c>
      <c r="F274" s="4">
        <v>70</v>
      </c>
      <c r="G274" s="4">
        <v>76</v>
      </c>
    </row>
    <row r="275" spans="1:7">
      <c r="A275" s="4" t="s">
        <v>709</v>
      </c>
      <c r="B275" s="4" t="s">
        <v>165</v>
      </c>
      <c r="C275" s="4">
        <v>92</v>
      </c>
      <c r="D275" s="4">
        <v>91</v>
      </c>
      <c r="E275" s="4">
        <v>99</v>
      </c>
      <c r="F275" s="4">
        <v>73</v>
      </c>
      <c r="G275" s="4">
        <v>81</v>
      </c>
    </row>
    <row r="276" spans="1:7">
      <c r="A276" s="4" t="s">
        <v>699</v>
      </c>
      <c r="B276" s="4" t="s">
        <v>393</v>
      </c>
      <c r="C276" s="4">
        <v>101</v>
      </c>
      <c r="D276" s="4">
        <v>67</v>
      </c>
      <c r="E276" s="4">
        <v>103</v>
      </c>
      <c r="F276" s="4">
        <v>79</v>
      </c>
      <c r="G276" s="4">
        <v>86</v>
      </c>
    </row>
    <row r="277" spans="1:7">
      <c r="A277" s="4" t="s">
        <v>699</v>
      </c>
      <c r="B277" s="4" t="s">
        <v>414</v>
      </c>
      <c r="C277" s="4">
        <v>103</v>
      </c>
      <c r="D277" s="4">
        <v>84</v>
      </c>
      <c r="E277" s="4">
        <v>91</v>
      </c>
      <c r="F277" s="4">
        <v>77</v>
      </c>
      <c r="G277" s="4">
        <v>81</v>
      </c>
    </row>
    <row r="278" spans="1:7">
      <c r="A278" s="4" t="s">
        <v>702</v>
      </c>
      <c r="B278" s="4" t="s">
        <v>338</v>
      </c>
      <c r="C278" s="4">
        <v>82</v>
      </c>
      <c r="D278" s="4">
        <v>97</v>
      </c>
      <c r="E278" s="5">
        <v>93.5</v>
      </c>
      <c r="F278" s="4">
        <v>82</v>
      </c>
      <c r="G278" s="4">
        <v>81</v>
      </c>
    </row>
    <row r="279" spans="1:7">
      <c r="A279" s="4" t="s">
        <v>714</v>
      </c>
      <c r="B279" s="4" t="s">
        <v>666</v>
      </c>
      <c r="C279" s="4">
        <v>95</v>
      </c>
      <c r="D279" s="4">
        <v>93</v>
      </c>
      <c r="E279" s="5">
        <v>105.5</v>
      </c>
      <c r="F279" s="4">
        <v>64</v>
      </c>
      <c r="G279" s="4">
        <v>78</v>
      </c>
    </row>
    <row r="280" spans="1:7">
      <c r="A280" s="4" t="s">
        <v>700</v>
      </c>
      <c r="B280" s="4" t="s">
        <v>293</v>
      </c>
      <c r="C280" s="4">
        <v>90</v>
      </c>
      <c r="D280" s="4">
        <v>95</v>
      </c>
      <c r="E280" s="5">
        <v>95.5</v>
      </c>
      <c r="F280" s="4">
        <v>74</v>
      </c>
      <c r="G280" s="4">
        <v>81</v>
      </c>
    </row>
    <row r="281" spans="1:7">
      <c r="A281" s="4" t="s">
        <v>709</v>
      </c>
      <c r="B281" s="4" t="s">
        <v>172</v>
      </c>
      <c r="C281" s="4">
        <v>99</v>
      </c>
      <c r="D281" s="4">
        <v>90</v>
      </c>
      <c r="E281" s="4">
        <v>93</v>
      </c>
      <c r="F281" s="4">
        <v>81</v>
      </c>
      <c r="G281" s="4">
        <v>72</v>
      </c>
    </row>
    <row r="282" spans="1:7">
      <c r="A282" s="4" t="s">
        <v>699</v>
      </c>
      <c r="B282" s="4" t="s">
        <v>412</v>
      </c>
      <c r="C282" s="4">
        <v>93</v>
      </c>
      <c r="D282" s="4">
        <v>101</v>
      </c>
      <c r="E282" s="4">
        <v>102</v>
      </c>
      <c r="F282" s="4">
        <v>67</v>
      </c>
      <c r="G282" s="4">
        <v>72</v>
      </c>
    </row>
    <row r="283" spans="1:7">
      <c r="A283" s="4" t="s">
        <v>707</v>
      </c>
      <c r="B283" s="4" t="s">
        <v>308</v>
      </c>
      <c r="C283" s="4">
        <v>87</v>
      </c>
      <c r="D283" s="4">
        <v>99</v>
      </c>
      <c r="E283" s="4">
        <v>99</v>
      </c>
      <c r="F283" s="4">
        <v>68</v>
      </c>
      <c r="G283" s="4">
        <v>82</v>
      </c>
    </row>
    <row r="284" spans="1:7">
      <c r="A284" s="4" t="s">
        <v>700</v>
      </c>
      <c r="B284" s="4" t="s">
        <v>265</v>
      </c>
      <c r="C284" s="4">
        <v>101</v>
      </c>
      <c r="D284" s="4">
        <v>81</v>
      </c>
      <c r="E284" s="4">
        <v>100</v>
      </c>
      <c r="F284" s="4">
        <v>76</v>
      </c>
      <c r="G284" s="4">
        <v>77</v>
      </c>
    </row>
    <row r="285" spans="1:7">
      <c r="A285" s="4" t="s">
        <v>706</v>
      </c>
      <c r="B285" s="4" t="s">
        <v>178</v>
      </c>
      <c r="C285" s="4">
        <v>89</v>
      </c>
      <c r="D285" s="4">
        <v>94</v>
      </c>
      <c r="E285" s="5">
        <v>101.5</v>
      </c>
      <c r="F285" s="4">
        <v>68</v>
      </c>
      <c r="G285" s="4">
        <v>82</v>
      </c>
    </row>
    <row r="286" spans="1:7">
      <c r="A286" s="4" t="s">
        <v>707</v>
      </c>
      <c r="B286" s="4" t="s">
        <v>312</v>
      </c>
      <c r="C286" s="4">
        <v>92</v>
      </c>
      <c r="D286" s="4">
        <v>95</v>
      </c>
      <c r="E286" s="5">
        <v>102.5</v>
      </c>
      <c r="F286" s="4">
        <v>67</v>
      </c>
      <c r="G286" s="4">
        <v>78</v>
      </c>
    </row>
    <row r="287" spans="1:7">
      <c r="A287" s="4" t="s">
        <v>707</v>
      </c>
      <c r="B287" s="4" t="s">
        <v>310</v>
      </c>
      <c r="C287" s="4">
        <v>90</v>
      </c>
      <c r="D287" s="4">
        <v>97</v>
      </c>
      <c r="E287" s="5">
        <v>94.5</v>
      </c>
      <c r="F287" s="4">
        <v>74</v>
      </c>
      <c r="G287" s="4">
        <v>78</v>
      </c>
    </row>
    <row r="288" spans="1:7">
      <c r="A288" s="4" t="s">
        <v>715</v>
      </c>
      <c r="B288" s="4" t="s">
        <v>600</v>
      </c>
      <c r="C288" s="4">
        <v>94</v>
      </c>
      <c r="D288" s="4">
        <v>86</v>
      </c>
      <c r="E288" s="4">
        <v>97</v>
      </c>
      <c r="F288" s="4">
        <v>74</v>
      </c>
      <c r="G288" s="4">
        <v>82</v>
      </c>
    </row>
    <row r="289" spans="1:7">
      <c r="A289" s="4" t="s">
        <v>712</v>
      </c>
      <c r="B289" s="4" t="s">
        <v>80</v>
      </c>
      <c r="C289" s="4">
        <v>98</v>
      </c>
      <c r="D289" s="4">
        <v>86</v>
      </c>
      <c r="E289" s="4">
        <v>97</v>
      </c>
      <c r="F289" s="4">
        <v>73</v>
      </c>
      <c r="G289" s="4">
        <v>78</v>
      </c>
    </row>
    <row r="290" spans="1:7">
      <c r="A290" s="4" t="s">
        <v>702</v>
      </c>
      <c r="B290" s="4" t="s">
        <v>369</v>
      </c>
      <c r="C290" s="4">
        <v>95</v>
      </c>
      <c r="D290" s="4">
        <v>84</v>
      </c>
      <c r="E290" s="4">
        <v>103</v>
      </c>
      <c r="F290" s="4">
        <v>68</v>
      </c>
      <c r="G290" s="4">
        <v>82</v>
      </c>
    </row>
    <row r="291" spans="1:7">
      <c r="A291" s="4" t="s">
        <v>707</v>
      </c>
      <c r="B291" s="4" t="s">
        <v>313</v>
      </c>
      <c r="C291" s="4">
        <v>87</v>
      </c>
      <c r="D291" s="4">
        <v>89</v>
      </c>
      <c r="E291" s="4">
        <v>106</v>
      </c>
      <c r="F291" s="4">
        <v>80</v>
      </c>
      <c r="G291" s="4">
        <v>70</v>
      </c>
    </row>
    <row r="292" spans="1:7">
      <c r="A292" s="4" t="s">
        <v>703</v>
      </c>
      <c r="B292" s="4" t="s">
        <v>479</v>
      </c>
      <c r="C292" s="4">
        <v>81</v>
      </c>
      <c r="D292" s="4">
        <v>91</v>
      </c>
      <c r="E292" s="5">
        <v>107.5</v>
      </c>
      <c r="F292" s="4">
        <v>72</v>
      </c>
      <c r="G292" s="4">
        <v>80</v>
      </c>
    </row>
    <row r="293" spans="1:7">
      <c r="A293" s="4" t="s">
        <v>699</v>
      </c>
      <c r="B293" s="4" t="s">
        <v>385</v>
      </c>
      <c r="C293" s="4">
        <v>99</v>
      </c>
      <c r="D293" s="4">
        <v>88</v>
      </c>
      <c r="E293" s="4">
        <v>102</v>
      </c>
      <c r="F293" s="4">
        <v>63</v>
      </c>
      <c r="G293" s="4">
        <v>79</v>
      </c>
    </row>
    <row r="294" spans="1:7">
      <c r="A294" s="4" t="s">
        <v>703</v>
      </c>
      <c r="B294" s="4" t="s">
        <v>470</v>
      </c>
      <c r="C294" s="4">
        <v>88</v>
      </c>
      <c r="D294" s="4">
        <v>93</v>
      </c>
      <c r="E294" s="4">
        <v>105</v>
      </c>
      <c r="F294" s="4">
        <v>72</v>
      </c>
      <c r="G294" s="4">
        <v>73</v>
      </c>
    </row>
    <row r="295" spans="1:7">
      <c r="A295" s="4" t="s">
        <v>709</v>
      </c>
      <c r="B295" s="4" t="s">
        <v>138</v>
      </c>
      <c r="C295" s="4">
        <v>98</v>
      </c>
      <c r="D295" s="4">
        <v>76</v>
      </c>
      <c r="E295" s="5">
        <v>99.5</v>
      </c>
      <c r="F295" s="4">
        <v>83</v>
      </c>
      <c r="G295" s="4">
        <v>74</v>
      </c>
    </row>
    <row r="296" spans="1:7">
      <c r="A296" s="4" t="s">
        <v>710</v>
      </c>
      <c r="B296" s="4" t="s">
        <v>7</v>
      </c>
      <c r="C296" s="4">
        <v>93</v>
      </c>
      <c r="D296" s="4">
        <v>90</v>
      </c>
      <c r="E296" s="5">
        <v>101.5</v>
      </c>
      <c r="F296" s="4">
        <v>64</v>
      </c>
      <c r="G296" s="4">
        <v>82</v>
      </c>
    </row>
    <row r="297" spans="1:7">
      <c r="A297" s="4" t="s">
        <v>710</v>
      </c>
      <c r="B297" s="4" t="s">
        <v>22</v>
      </c>
      <c r="C297" s="4">
        <v>91</v>
      </c>
      <c r="D297" s="4">
        <v>91</v>
      </c>
      <c r="E297" s="5">
        <v>104.5</v>
      </c>
      <c r="F297" s="4">
        <v>68</v>
      </c>
      <c r="G297" s="4">
        <v>76</v>
      </c>
    </row>
    <row r="298" spans="1:7">
      <c r="A298" s="4" t="s">
        <v>707</v>
      </c>
      <c r="B298" s="4" t="s">
        <v>309</v>
      </c>
      <c r="C298" s="4">
        <v>96</v>
      </c>
      <c r="D298" s="4">
        <v>69</v>
      </c>
      <c r="E298" s="5">
        <v>112.5</v>
      </c>
      <c r="F298" s="4">
        <v>75</v>
      </c>
      <c r="G298" s="4">
        <v>78</v>
      </c>
    </row>
    <row r="299" spans="1:7">
      <c r="A299" s="4" t="s">
        <v>712</v>
      </c>
      <c r="B299" s="4" t="s">
        <v>74</v>
      </c>
      <c r="C299" s="4">
        <v>96</v>
      </c>
      <c r="D299" s="4">
        <v>83</v>
      </c>
      <c r="E299" s="4">
        <v>105</v>
      </c>
      <c r="F299" s="4">
        <v>71</v>
      </c>
      <c r="G299" s="4">
        <v>75</v>
      </c>
    </row>
    <row r="300" spans="1:7">
      <c r="A300" s="4" t="s">
        <v>701</v>
      </c>
      <c r="B300" s="4" t="s">
        <v>418</v>
      </c>
      <c r="C300" s="4">
        <v>94</v>
      </c>
      <c r="D300" s="4">
        <v>82</v>
      </c>
      <c r="E300" s="4">
        <v>104</v>
      </c>
      <c r="F300" s="4">
        <v>65</v>
      </c>
      <c r="G300" s="4">
        <v>85</v>
      </c>
    </row>
    <row r="301" spans="1:7">
      <c r="A301" s="4" t="s">
        <v>707</v>
      </c>
      <c r="B301" s="4" t="s">
        <v>318</v>
      </c>
      <c r="C301" s="4">
        <v>97</v>
      </c>
      <c r="D301" s="4">
        <v>78</v>
      </c>
      <c r="E301" s="5">
        <v>107.5</v>
      </c>
      <c r="F301" s="4">
        <v>65</v>
      </c>
      <c r="G301" s="4">
        <v>82</v>
      </c>
    </row>
    <row r="302" spans="1:7">
      <c r="A302" s="4" t="s">
        <v>702</v>
      </c>
      <c r="B302" s="4" t="s">
        <v>361</v>
      </c>
      <c r="C302" s="4">
        <v>96</v>
      </c>
      <c r="D302" s="4">
        <v>102</v>
      </c>
      <c r="E302" s="4">
        <v>75</v>
      </c>
      <c r="F302" s="4">
        <v>69</v>
      </c>
      <c r="G302" s="4">
        <v>87</v>
      </c>
    </row>
    <row r="303" spans="1:7">
      <c r="A303" s="4" t="s">
        <v>711</v>
      </c>
      <c r="B303" s="4" t="s">
        <v>223</v>
      </c>
      <c r="C303" s="4">
        <v>96</v>
      </c>
      <c r="D303" s="4">
        <v>84</v>
      </c>
      <c r="E303" s="4">
        <v>100</v>
      </c>
      <c r="F303" s="4">
        <v>64</v>
      </c>
      <c r="G303" s="4">
        <v>85</v>
      </c>
    </row>
    <row r="304" spans="1:7">
      <c r="A304" s="4" t="s">
        <v>710</v>
      </c>
      <c r="B304" s="4" t="s">
        <v>34</v>
      </c>
      <c r="C304" s="4">
        <v>94</v>
      </c>
      <c r="D304" s="4">
        <v>88</v>
      </c>
      <c r="E304" s="4">
        <v>92</v>
      </c>
      <c r="F304" s="4">
        <v>77</v>
      </c>
      <c r="G304" s="4">
        <v>78</v>
      </c>
    </row>
    <row r="305" spans="1:7">
      <c r="A305" s="4" t="s">
        <v>703</v>
      </c>
      <c r="B305" s="4" t="s">
        <v>466</v>
      </c>
      <c r="C305" s="4">
        <v>81</v>
      </c>
      <c r="D305" s="4">
        <v>105</v>
      </c>
      <c r="E305" s="4">
        <v>96</v>
      </c>
      <c r="F305" s="4">
        <v>68</v>
      </c>
      <c r="G305" s="4">
        <v>79</v>
      </c>
    </row>
    <row r="306" spans="1:7">
      <c r="A306" s="4" t="s">
        <v>716</v>
      </c>
      <c r="B306" s="4" t="s">
        <v>132</v>
      </c>
      <c r="C306" s="4">
        <v>84</v>
      </c>
      <c r="D306" s="4">
        <v>91</v>
      </c>
      <c r="E306" s="5">
        <v>101.5</v>
      </c>
      <c r="F306" s="4">
        <v>73</v>
      </c>
      <c r="G306" s="4">
        <v>79</v>
      </c>
    </row>
    <row r="307" spans="1:7">
      <c r="A307" s="4" t="s">
        <v>709</v>
      </c>
      <c r="B307" s="4" t="s">
        <v>171</v>
      </c>
      <c r="C307" s="4">
        <v>81</v>
      </c>
      <c r="D307" s="4">
        <v>87</v>
      </c>
      <c r="E307" s="4">
        <v>113</v>
      </c>
      <c r="F307" s="4">
        <v>74</v>
      </c>
      <c r="G307" s="4">
        <v>73</v>
      </c>
    </row>
    <row r="308" spans="1:7">
      <c r="A308" s="4" t="s">
        <v>711</v>
      </c>
      <c r="B308" s="4" t="s">
        <v>230</v>
      </c>
      <c r="C308" s="4">
        <v>92</v>
      </c>
      <c r="D308" s="4">
        <v>92</v>
      </c>
      <c r="E308" s="5">
        <v>100.5</v>
      </c>
      <c r="F308" s="4">
        <v>70</v>
      </c>
      <c r="G308" s="4">
        <v>73</v>
      </c>
    </row>
    <row r="309" spans="1:7">
      <c r="A309" s="4" t="s">
        <v>705</v>
      </c>
      <c r="B309" s="4" t="s">
        <v>528</v>
      </c>
      <c r="C309" s="4">
        <v>94</v>
      </c>
      <c r="D309" s="4">
        <v>87</v>
      </c>
      <c r="E309" s="5">
        <v>100.5</v>
      </c>
      <c r="F309" s="4">
        <v>66</v>
      </c>
      <c r="G309" s="4">
        <v>80</v>
      </c>
    </row>
    <row r="310" spans="1:7">
      <c r="A310" s="4" t="s">
        <v>710</v>
      </c>
      <c r="B310" s="4" t="s">
        <v>40</v>
      </c>
      <c r="C310" s="4">
        <v>94</v>
      </c>
      <c r="D310" s="4">
        <v>91</v>
      </c>
      <c r="E310" s="5">
        <v>90.5</v>
      </c>
      <c r="F310" s="4">
        <v>68</v>
      </c>
      <c r="G310" s="4">
        <v>84</v>
      </c>
    </row>
    <row r="311" spans="1:7">
      <c r="A311" s="4" t="s">
        <v>706</v>
      </c>
      <c r="B311" s="4" t="s">
        <v>199</v>
      </c>
      <c r="C311" s="4">
        <v>92</v>
      </c>
      <c r="D311" s="4">
        <v>71</v>
      </c>
      <c r="E311" s="4">
        <v>113</v>
      </c>
      <c r="F311" s="4">
        <v>64</v>
      </c>
      <c r="G311" s="4">
        <v>87</v>
      </c>
    </row>
    <row r="312" spans="1:7">
      <c r="A312" s="4" t="s">
        <v>710</v>
      </c>
      <c r="B312" s="4" t="s">
        <v>33</v>
      </c>
      <c r="C312" s="4">
        <v>91</v>
      </c>
      <c r="D312" s="4">
        <v>85</v>
      </c>
      <c r="E312" s="4">
        <v>103</v>
      </c>
      <c r="F312" s="4">
        <v>76</v>
      </c>
      <c r="G312" s="4">
        <v>72</v>
      </c>
    </row>
    <row r="313" spans="1:7">
      <c r="A313" s="4" t="s">
        <v>711</v>
      </c>
      <c r="B313" s="4" t="s">
        <v>225</v>
      </c>
      <c r="C313" s="4">
        <v>92</v>
      </c>
      <c r="D313" s="4">
        <v>80</v>
      </c>
      <c r="E313" s="5">
        <v>96.5</v>
      </c>
      <c r="F313" s="4">
        <v>76</v>
      </c>
      <c r="G313" s="4">
        <v>82</v>
      </c>
    </row>
    <row r="314" spans="1:7">
      <c r="A314" s="4" t="s">
        <v>714</v>
      </c>
      <c r="B314" s="4" t="s">
        <v>689</v>
      </c>
      <c r="C314" s="4">
        <v>94</v>
      </c>
      <c r="D314" s="4">
        <v>84</v>
      </c>
      <c r="E314" s="5">
        <v>90.5</v>
      </c>
      <c r="F314" s="4">
        <v>76</v>
      </c>
      <c r="G314" s="4">
        <v>82</v>
      </c>
    </row>
    <row r="315" spans="1:7">
      <c r="A315" s="4" t="s">
        <v>709</v>
      </c>
      <c r="B315" s="4" t="s">
        <v>145</v>
      </c>
      <c r="C315" s="4">
        <v>85</v>
      </c>
      <c r="D315" s="4">
        <v>104</v>
      </c>
      <c r="E315" s="4">
        <v>89</v>
      </c>
      <c r="F315" s="4">
        <v>72</v>
      </c>
      <c r="G315" s="4">
        <v>76</v>
      </c>
    </row>
    <row r="316" spans="1:7">
      <c r="A316" s="4" t="s">
        <v>707</v>
      </c>
      <c r="B316" s="4" t="s">
        <v>330</v>
      </c>
      <c r="C316" s="4">
        <v>83</v>
      </c>
      <c r="D316" s="4">
        <v>91</v>
      </c>
      <c r="E316" s="4">
        <v>101</v>
      </c>
      <c r="F316" s="4">
        <v>75</v>
      </c>
      <c r="G316" s="4">
        <v>76</v>
      </c>
    </row>
    <row r="317" spans="1:7">
      <c r="A317" s="4" t="s">
        <v>703</v>
      </c>
      <c r="B317" s="4" t="s">
        <v>487</v>
      </c>
      <c r="C317" s="4">
        <v>84</v>
      </c>
      <c r="D317" s="4">
        <v>91</v>
      </c>
      <c r="E317" s="4">
        <v>110</v>
      </c>
      <c r="F317" s="4">
        <v>73</v>
      </c>
      <c r="G317" s="4">
        <v>68</v>
      </c>
    </row>
    <row r="318" spans="1:7">
      <c r="A318" s="4" t="s">
        <v>712</v>
      </c>
      <c r="B318" s="4" t="s">
        <v>48</v>
      </c>
      <c r="C318" s="4">
        <v>89</v>
      </c>
      <c r="D318" s="4">
        <v>89</v>
      </c>
      <c r="E318" s="5">
        <v>99.5</v>
      </c>
      <c r="F318" s="4">
        <v>79</v>
      </c>
      <c r="G318" s="4">
        <v>69</v>
      </c>
    </row>
    <row r="319" spans="1:7">
      <c r="A319" s="4" t="s">
        <v>714</v>
      </c>
      <c r="B319" s="4" t="s">
        <v>673</v>
      </c>
      <c r="C319" s="4">
        <v>96</v>
      </c>
      <c r="D319" s="4">
        <v>76</v>
      </c>
      <c r="E319" s="5">
        <v>91.5</v>
      </c>
      <c r="F319" s="4">
        <v>74</v>
      </c>
      <c r="G319" s="4">
        <v>88</v>
      </c>
    </row>
    <row r="320" spans="1:7">
      <c r="A320" s="4" t="s">
        <v>709</v>
      </c>
      <c r="B320" s="4" t="s">
        <v>169</v>
      </c>
      <c r="C320" s="4">
        <v>93</v>
      </c>
      <c r="D320" s="4">
        <v>81</v>
      </c>
      <c r="E320" s="4">
        <v>113</v>
      </c>
      <c r="F320" s="4">
        <v>62</v>
      </c>
      <c r="G320" s="4">
        <v>76</v>
      </c>
    </row>
    <row r="321" spans="1:7">
      <c r="A321" s="4" t="s">
        <v>707</v>
      </c>
      <c r="B321" s="4" t="s">
        <v>329</v>
      </c>
      <c r="C321" s="4">
        <v>79</v>
      </c>
      <c r="D321" s="4">
        <v>103</v>
      </c>
      <c r="E321" s="4">
        <v>93</v>
      </c>
      <c r="F321" s="4">
        <v>68</v>
      </c>
      <c r="G321" s="4">
        <v>82</v>
      </c>
    </row>
    <row r="322" spans="1:7">
      <c r="A322" s="4" t="s">
        <v>705</v>
      </c>
      <c r="B322" s="4" t="s">
        <v>503</v>
      </c>
      <c r="C322" s="4">
        <v>91</v>
      </c>
      <c r="D322" s="4">
        <v>84</v>
      </c>
      <c r="E322" s="5">
        <v>89.5</v>
      </c>
      <c r="F322" s="4">
        <v>80</v>
      </c>
      <c r="G322" s="4">
        <v>80</v>
      </c>
    </row>
    <row r="323" spans="1:7">
      <c r="A323" s="4" t="s">
        <v>710</v>
      </c>
      <c r="B323" s="4" t="s">
        <v>16</v>
      </c>
      <c r="C323" s="4">
        <v>97</v>
      </c>
      <c r="D323" s="4">
        <v>100</v>
      </c>
      <c r="E323" s="4">
        <v>90</v>
      </c>
      <c r="F323" s="4">
        <v>68</v>
      </c>
      <c r="G323" s="4">
        <v>69</v>
      </c>
    </row>
    <row r="324" spans="1:7">
      <c r="A324" s="4" t="s">
        <v>707</v>
      </c>
      <c r="B324" s="4" t="s">
        <v>304</v>
      </c>
      <c r="C324" s="4">
        <v>94</v>
      </c>
      <c r="D324" s="4">
        <v>93</v>
      </c>
      <c r="E324" s="4">
        <v>96</v>
      </c>
      <c r="F324" s="4">
        <v>71</v>
      </c>
      <c r="G324" s="4">
        <v>70</v>
      </c>
    </row>
    <row r="325" spans="1:7">
      <c r="A325" s="4" t="s">
        <v>701</v>
      </c>
      <c r="B325" s="4" t="s">
        <v>425</v>
      </c>
      <c r="C325" s="4">
        <v>98</v>
      </c>
      <c r="D325" s="4">
        <v>71</v>
      </c>
      <c r="E325" s="4">
        <v>104</v>
      </c>
      <c r="F325" s="4">
        <v>73</v>
      </c>
      <c r="G325" s="4">
        <v>78</v>
      </c>
    </row>
    <row r="326" spans="1:7">
      <c r="A326" s="4" t="s">
        <v>700</v>
      </c>
      <c r="B326" s="4" t="s">
        <v>284</v>
      </c>
      <c r="C326" s="4">
        <v>79</v>
      </c>
      <c r="D326" s="4">
        <v>100</v>
      </c>
      <c r="E326" s="4">
        <v>115</v>
      </c>
      <c r="F326" s="4">
        <v>65</v>
      </c>
      <c r="G326" s="4">
        <v>65</v>
      </c>
    </row>
    <row r="327" spans="1:7">
      <c r="A327" s="4" t="s">
        <v>712</v>
      </c>
      <c r="B327" s="4" t="s">
        <v>57</v>
      </c>
      <c r="C327" s="4">
        <v>91</v>
      </c>
      <c r="D327" s="4">
        <v>94</v>
      </c>
      <c r="E327" s="5">
        <v>97.5</v>
      </c>
      <c r="F327" s="4">
        <v>69</v>
      </c>
      <c r="G327" s="4">
        <v>72</v>
      </c>
    </row>
    <row r="328" spans="1:7">
      <c r="A328" s="4" t="s">
        <v>712</v>
      </c>
      <c r="B328" s="4" t="s">
        <v>88</v>
      </c>
      <c r="C328" s="4">
        <v>83</v>
      </c>
      <c r="D328" s="4">
        <v>86</v>
      </c>
      <c r="E328" s="5">
        <v>100.5</v>
      </c>
      <c r="F328" s="4">
        <v>79</v>
      </c>
      <c r="G328" s="4">
        <v>75</v>
      </c>
    </row>
    <row r="329" spans="1:7">
      <c r="A329" s="4" t="s">
        <v>710</v>
      </c>
      <c r="B329" s="4" t="s">
        <v>25</v>
      </c>
      <c r="C329" s="4">
        <v>95</v>
      </c>
      <c r="D329" s="4">
        <v>88</v>
      </c>
      <c r="E329" s="4">
        <v>92</v>
      </c>
      <c r="F329" s="4">
        <v>69</v>
      </c>
      <c r="G329" s="4">
        <v>78</v>
      </c>
    </row>
    <row r="330" spans="1:7">
      <c r="A330" s="4" t="s">
        <v>700</v>
      </c>
      <c r="B330" s="4" t="s">
        <v>285</v>
      </c>
      <c r="C330" s="4">
        <v>98</v>
      </c>
      <c r="D330" s="4">
        <v>92</v>
      </c>
      <c r="E330" s="4">
        <v>99</v>
      </c>
      <c r="F330" s="4">
        <v>67</v>
      </c>
      <c r="G330" s="4">
        <v>66</v>
      </c>
    </row>
    <row r="331" spans="1:7">
      <c r="A331" s="4" t="s">
        <v>711</v>
      </c>
      <c r="B331" s="4" t="s">
        <v>234</v>
      </c>
      <c r="C331" s="4">
        <v>82</v>
      </c>
      <c r="D331" s="4">
        <v>92</v>
      </c>
      <c r="E331" s="5">
        <v>96.5</v>
      </c>
      <c r="F331" s="4">
        <v>74</v>
      </c>
      <c r="G331" s="4">
        <v>77</v>
      </c>
    </row>
    <row r="332" spans="1:7">
      <c r="A332" s="4" t="s">
        <v>711</v>
      </c>
      <c r="B332" s="4" t="s">
        <v>245</v>
      </c>
      <c r="C332" s="4">
        <v>95</v>
      </c>
      <c r="D332" s="4">
        <v>73</v>
      </c>
      <c r="E332" s="5">
        <v>93.5</v>
      </c>
      <c r="F332" s="4">
        <v>78</v>
      </c>
      <c r="G332" s="4">
        <v>82</v>
      </c>
    </row>
    <row r="333" spans="1:7">
      <c r="A333" s="4" t="s">
        <v>711</v>
      </c>
      <c r="B333" s="4" t="s">
        <v>247</v>
      </c>
      <c r="C333" s="4">
        <v>94</v>
      </c>
      <c r="D333" s="4">
        <v>75</v>
      </c>
      <c r="E333" s="5">
        <v>103.5</v>
      </c>
      <c r="F333" s="4">
        <v>73</v>
      </c>
      <c r="G333" s="4">
        <v>76</v>
      </c>
    </row>
    <row r="334" spans="1:7">
      <c r="A334" s="4" t="s">
        <v>715</v>
      </c>
      <c r="B334" s="4" t="s">
        <v>580</v>
      </c>
      <c r="C334" s="4">
        <v>92</v>
      </c>
      <c r="D334" s="4">
        <v>99</v>
      </c>
      <c r="E334" s="5">
        <v>87.5</v>
      </c>
      <c r="F334" s="4">
        <v>66</v>
      </c>
      <c r="G334" s="4">
        <v>77</v>
      </c>
    </row>
    <row r="335" spans="1:7">
      <c r="A335" s="4" t="s">
        <v>708</v>
      </c>
      <c r="B335" s="4" t="s">
        <v>117</v>
      </c>
      <c r="C335" s="4">
        <v>104</v>
      </c>
      <c r="D335" s="4">
        <v>91</v>
      </c>
      <c r="E335" s="5">
        <v>102.5</v>
      </c>
      <c r="F335" s="4">
        <v>57</v>
      </c>
      <c r="G335" s="4">
        <v>67</v>
      </c>
    </row>
    <row r="336" spans="1:7">
      <c r="A336" s="4" t="s">
        <v>708</v>
      </c>
      <c r="B336" s="4" t="s">
        <v>120</v>
      </c>
      <c r="C336" s="4">
        <v>102</v>
      </c>
      <c r="D336" s="4">
        <v>80</v>
      </c>
      <c r="E336" s="5">
        <v>96.5</v>
      </c>
      <c r="F336" s="4">
        <v>72</v>
      </c>
      <c r="G336" s="4">
        <v>71</v>
      </c>
    </row>
    <row r="337" spans="1:7">
      <c r="A337" s="4" t="s">
        <v>717</v>
      </c>
      <c r="B337" s="4" t="s">
        <v>640</v>
      </c>
      <c r="C337" s="4">
        <v>87</v>
      </c>
      <c r="D337" s="4">
        <v>97</v>
      </c>
      <c r="E337" s="5">
        <v>104.5</v>
      </c>
      <c r="F337" s="4">
        <v>60</v>
      </c>
      <c r="G337" s="4">
        <v>73</v>
      </c>
    </row>
    <row r="338" spans="1:7">
      <c r="A338" s="4" t="s">
        <v>703</v>
      </c>
      <c r="B338" s="4" t="s">
        <v>481</v>
      </c>
      <c r="C338" s="4">
        <v>94</v>
      </c>
      <c r="D338" s="4">
        <v>97</v>
      </c>
      <c r="E338" s="5">
        <v>91.5</v>
      </c>
      <c r="F338" s="4">
        <v>76</v>
      </c>
      <c r="G338" s="4">
        <v>63</v>
      </c>
    </row>
    <row r="339" spans="1:7">
      <c r="A339" s="4" t="s">
        <v>709</v>
      </c>
      <c r="B339" s="4" t="s">
        <v>170</v>
      </c>
      <c r="C339" s="4">
        <v>93</v>
      </c>
      <c r="D339" s="4">
        <v>93</v>
      </c>
      <c r="E339" s="4">
        <v>108</v>
      </c>
      <c r="F339" s="4">
        <v>68</v>
      </c>
      <c r="G339" s="4">
        <v>59</v>
      </c>
    </row>
    <row r="340" spans="1:7">
      <c r="A340" s="4" t="s">
        <v>708</v>
      </c>
      <c r="B340" s="4" t="s">
        <v>116</v>
      </c>
      <c r="C340" s="4">
        <v>93</v>
      </c>
      <c r="D340" s="4">
        <v>68</v>
      </c>
      <c r="E340" s="4">
        <v>111</v>
      </c>
      <c r="F340" s="4">
        <v>63</v>
      </c>
      <c r="G340" s="4">
        <v>86</v>
      </c>
    </row>
    <row r="341" spans="1:7">
      <c r="A341" s="4" t="s">
        <v>703</v>
      </c>
      <c r="B341" s="4" t="s">
        <v>488</v>
      </c>
      <c r="C341" s="4">
        <v>92</v>
      </c>
      <c r="D341" s="4">
        <v>94</v>
      </c>
      <c r="E341" s="4">
        <v>97</v>
      </c>
      <c r="F341" s="4">
        <v>61</v>
      </c>
      <c r="G341" s="4">
        <v>77</v>
      </c>
    </row>
    <row r="342" spans="1:7">
      <c r="A342" s="4" t="s">
        <v>711</v>
      </c>
      <c r="B342" s="4" t="s">
        <v>227</v>
      </c>
      <c r="C342" s="4">
        <v>87</v>
      </c>
      <c r="D342" s="4">
        <v>82</v>
      </c>
      <c r="E342" s="4">
        <v>96</v>
      </c>
      <c r="F342" s="4">
        <v>78</v>
      </c>
      <c r="G342" s="4">
        <v>77</v>
      </c>
    </row>
    <row r="343" spans="1:7">
      <c r="A343" s="4" t="s">
        <v>711</v>
      </c>
      <c r="B343" s="4" t="s">
        <v>237</v>
      </c>
      <c r="C343" s="4">
        <v>88</v>
      </c>
      <c r="D343" s="4">
        <v>94</v>
      </c>
      <c r="E343" s="4">
        <v>89</v>
      </c>
      <c r="F343" s="4">
        <v>68</v>
      </c>
      <c r="G343" s="4">
        <v>81</v>
      </c>
    </row>
    <row r="344" spans="1:7">
      <c r="A344" s="4" t="s">
        <v>699</v>
      </c>
      <c r="B344" s="4" t="s">
        <v>389</v>
      </c>
      <c r="C344" s="4">
        <v>87</v>
      </c>
      <c r="D344" s="4">
        <v>88</v>
      </c>
      <c r="E344" s="4">
        <v>100</v>
      </c>
      <c r="F344" s="4">
        <v>71</v>
      </c>
      <c r="G344" s="4">
        <v>74</v>
      </c>
    </row>
    <row r="345" spans="1:7">
      <c r="A345" s="4" t="s">
        <v>709</v>
      </c>
      <c r="B345" s="4" t="s">
        <v>167</v>
      </c>
      <c r="C345" s="4">
        <v>90</v>
      </c>
      <c r="D345" s="4">
        <v>72</v>
      </c>
      <c r="E345" s="5">
        <v>100.5</v>
      </c>
      <c r="F345" s="4">
        <v>77</v>
      </c>
      <c r="G345" s="4">
        <v>80</v>
      </c>
    </row>
    <row r="346" spans="1:7">
      <c r="A346" s="4" t="s">
        <v>710</v>
      </c>
      <c r="B346" s="4" t="s">
        <v>32</v>
      </c>
      <c r="C346" s="4">
        <v>101</v>
      </c>
      <c r="D346" s="4">
        <v>80</v>
      </c>
      <c r="E346" s="4">
        <v>100</v>
      </c>
      <c r="F346" s="4">
        <v>72</v>
      </c>
      <c r="G346" s="4">
        <v>66</v>
      </c>
    </row>
    <row r="347" spans="1:7">
      <c r="A347" s="4" t="s">
        <v>707</v>
      </c>
      <c r="B347" s="4" t="s">
        <v>325</v>
      </c>
      <c r="C347" s="4">
        <v>94</v>
      </c>
      <c r="D347" s="4">
        <v>93</v>
      </c>
      <c r="E347" s="4">
        <v>99</v>
      </c>
      <c r="F347" s="4">
        <v>60</v>
      </c>
      <c r="G347" s="4">
        <v>73</v>
      </c>
    </row>
    <row r="348" spans="1:7">
      <c r="A348" s="4" t="s">
        <v>708</v>
      </c>
      <c r="B348" s="4" t="s">
        <v>123</v>
      </c>
      <c r="C348" s="4">
        <v>92</v>
      </c>
      <c r="D348" s="4">
        <v>95</v>
      </c>
      <c r="E348" s="5">
        <v>104.5</v>
      </c>
      <c r="F348" s="4">
        <v>59</v>
      </c>
      <c r="G348" s="4">
        <v>68</v>
      </c>
    </row>
    <row r="349" spans="1:7">
      <c r="A349" s="4" t="s">
        <v>712</v>
      </c>
      <c r="B349" s="4" t="s">
        <v>65</v>
      </c>
      <c r="C349" s="4">
        <v>85</v>
      </c>
      <c r="D349" s="4">
        <v>93</v>
      </c>
      <c r="E349" s="4">
        <v>110</v>
      </c>
      <c r="F349" s="4">
        <v>62</v>
      </c>
      <c r="G349" s="4">
        <v>68</v>
      </c>
    </row>
    <row r="350" spans="1:7">
      <c r="A350" s="4" t="s">
        <v>711</v>
      </c>
      <c r="B350" s="4" t="s">
        <v>240</v>
      </c>
      <c r="C350" s="4">
        <v>88</v>
      </c>
      <c r="D350" s="4">
        <v>72</v>
      </c>
      <c r="E350" s="4">
        <v>99</v>
      </c>
      <c r="F350" s="4">
        <v>81</v>
      </c>
      <c r="G350" s="4">
        <v>78</v>
      </c>
    </row>
    <row r="351" spans="1:7">
      <c r="A351" s="4" t="s">
        <v>709</v>
      </c>
      <c r="B351" s="4" t="s">
        <v>148</v>
      </c>
      <c r="C351" s="4">
        <v>85</v>
      </c>
      <c r="D351" s="4">
        <v>98</v>
      </c>
      <c r="E351" s="5">
        <v>79.5</v>
      </c>
      <c r="F351" s="4">
        <v>77</v>
      </c>
      <c r="G351" s="4">
        <v>78</v>
      </c>
    </row>
    <row r="352" spans="1:7">
      <c r="A352" s="4" t="s">
        <v>706</v>
      </c>
      <c r="B352" s="4" t="s">
        <v>200</v>
      </c>
      <c r="C352" s="4">
        <v>67</v>
      </c>
      <c r="D352" s="4">
        <v>91</v>
      </c>
      <c r="E352" s="4">
        <v>100</v>
      </c>
      <c r="F352" s="4">
        <v>78</v>
      </c>
      <c r="G352" s="4">
        <v>81</v>
      </c>
    </row>
    <row r="353" spans="1:7">
      <c r="A353" s="4" t="s">
        <v>706</v>
      </c>
      <c r="B353" s="4" t="s">
        <v>188</v>
      </c>
      <c r="C353" s="4">
        <v>92</v>
      </c>
      <c r="D353" s="4">
        <v>92</v>
      </c>
      <c r="E353" s="5">
        <v>98.5</v>
      </c>
      <c r="F353" s="4">
        <v>72</v>
      </c>
      <c r="G353" s="4">
        <v>62</v>
      </c>
    </row>
    <row r="354" spans="1:7">
      <c r="A354" s="4" t="s">
        <v>708</v>
      </c>
      <c r="B354" s="4" t="s">
        <v>109</v>
      </c>
      <c r="C354" s="4">
        <v>99</v>
      </c>
      <c r="D354" s="4">
        <v>65</v>
      </c>
      <c r="E354" s="5">
        <v>101.5</v>
      </c>
      <c r="F354" s="4">
        <v>68</v>
      </c>
      <c r="G354" s="4">
        <v>83</v>
      </c>
    </row>
    <row r="355" spans="1:7">
      <c r="A355" s="4" t="s">
        <v>715</v>
      </c>
      <c r="B355" s="4" t="s">
        <v>576</v>
      </c>
      <c r="C355" s="4">
        <v>90</v>
      </c>
      <c r="D355" s="4">
        <v>83</v>
      </c>
      <c r="E355" s="4">
        <v>92</v>
      </c>
      <c r="F355" s="4">
        <v>74</v>
      </c>
      <c r="G355" s="4">
        <v>77</v>
      </c>
    </row>
    <row r="356" spans="1:7">
      <c r="A356" s="4" t="s">
        <v>712</v>
      </c>
      <c r="B356" s="4" t="s">
        <v>84</v>
      </c>
      <c r="C356" s="4">
        <v>81</v>
      </c>
      <c r="D356" s="4">
        <v>98</v>
      </c>
      <c r="E356" s="4">
        <v>101</v>
      </c>
      <c r="F356" s="4">
        <v>59</v>
      </c>
      <c r="G356" s="4">
        <v>76</v>
      </c>
    </row>
    <row r="357" spans="1:7">
      <c r="A357" s="4" t="s">
        <v>711</v>
      </c>
      <c r="B357" s="4" t="s">
        <v>222</v>
      </c>
      <c r="C357" s="4">
        <v>95</v>
      </c>
      <c r="D357" s="4">
        <v>77</v>
      </c>
      <c r="E357" s="4">
        <v>98</v>
      </c>
      <c r="F357" s="4">
        <v>70</v>
      </c>
      <c r="G357" s="4">
        <v>75</v>
      </c>
    </row>
    <row r="358" spans="1:7">
      <c r="A358" s="4" t="s">
        <v>711</v>
      </c>
      <c r="B358" s="4" t="s">
        <v>244</v>
      </c>
      <c r="C358" s="4">
        <v>90</v>
      </c>
      <c r="D358" s="4">
        <v>81</v>
      </c>
      <c r="E358" s="4">
        <v>90</v>
      </c>
      <c r="F358" s="4">
        <v>78</v>
      </c>
      <c r="G358" s="4">
        <v>76</v>
      </c>
    </row>
    <row r="359" spans="1:7">
      <c r="A359" s="4" t="s">
        <v>717</v>
      </c>
      <c r="B359" s="4" t="s">
        <v>633</v>
      </c>
      <c r="C359" s="4">
        <v>91</v>
      </c>
      <c r="D359" s="4">
        <v>98</v>
      </c>
      <c r="E359" s="4">
        <v>73</v>
      </c>
      <c r="F359" s="4">
        <v>76</v>
      </c>
      <c r="G359" s="4">
        <v>77</v>
      </c>
    </row>
    <row r="360" spans="1:7">
      <c r="A360" s="4" t="s">
        <v>709</v>
      </c>
      <c r="B360" s="4" t="s">
        <v>154</v>
      </c>
      <c r="C360" s="4">
        <v>75</v>
      </c>
      <c r="D360" s="4">
        <v>95</v>
      </c>
      <c r="E360" s="4">
        <v>99</v>
      </c>
      <c r="F360" s="4">
        <v>69</v>
      </c>
      <c r="G360" s="4">
        <v>77</v>
      </c>
    </row>
    <row r="361" spans="1:7">
      <c r="A361" s="4" t="s">
        <v>706</v>
      </c>
      <c r="B361" s="4" t="s">
        <v>198</v>
      </c>
      <c r="C361" s="4">
        <v>91</v>
      </c>
      <c r="D361" s="4">
        <v>88</v>
      </c>
      <c r="E361" s="4">
        <v>103</v>
      </c>
      <c r="F361" s="4">
        <v>60</v>
      </c>
      <c r="G361" s="4">
        <v>73</v>
      </c>
    </row>
    <row r="362" spans="1:7">
      <c r="A362" s="4" t="s">
        <v>708</v>
      </c>
      <c r="B362" s="4" t="s">
        <v>104</v>
      </c>
      <c r="C362" s="4">
        <v>100</v>
      </c>
      <c r="D362" s="4">
        <v>66</v>
      </c>
      <c r="E362" s="4">
        <v>102</v>
      </c>
      <c r="F362" s="4">
        <v>62</v>
      </c>
      <c r="G362" s="4">
        <v>85</v>
      </c>
    </row>
    <row r="363" spans="1:7">
      <c r="A363" s="4" t="s">
        <v>700</v>
      </c>
      <c r="B363" s="4" t="s">
        <v>289</v>
      </c>
      <c r="C363" s="4">
        <v>91</v>
      </c>
      <c r="D363" s="4">
        <v>87</v>
      </c>
      <c r="E363" s="4">
        <v>97</v>
      </c>
      <c r="F363" s="4">
        <v>64</v>
      </c>
      <c r="G363" s="4">
        <v>76</v>
      </c>
    </row>
    <row r="364" spans="1:7">
      <c r="A364" s="4" t="s">
        <v>700</v>
      </c>
      <c r="B364" s="4" t="s">
        <v>256</v>
      </c>
      <c r="C364" s="4">
        <v>93</v>
      </c>
      <c r="D364" s="4">
        <v>98</v>
      </c>
      <c r="E364" s="5">
        <v>105.5</v>
      </c>
      <c r="F364" s="4">
        <v>55</v>
      </c>
      <c r="G364" s="4">
        <v>63</v>
      </c>
    </row>
    <row r="365" spans="1:7">
      <c r="A365" s="4" t="s">
        <v>710</v>
      </c>
      <c r="B365" s="4" t="s">
        <v>13</v>
      </c>
      <c r="C365" s="4">
        <v>93</v>
      </c>
      <c r="D365" s="4">
        <v>83</v>
      </c>
      <c r="E365" s="5">
        <v>91.5</v>
      </c>
      <c r="F365" s="4">
        <v>63</v>
      </c>
      <c r="G365" s="4">
        <v>84</v>
      </c>
    </row>
    <row r="366" spans="1:7">
      <c r="A366" s="4" t="s">
        <v>706</v>
      </c>
      <c r="B366" s="4" t="s">
        <v>191</v>
      </c>
      <c r="C366" s="4">
        <v>96</v>
      </c>
      <c r="D366" s="4">
        <v>65</v>
      </c>
      <c r="E366" s="4">
        <v>93</v>
      </c>
      <c r="F366" s="4">
        <v>76</v>
      </c>
      <c r="G366" s="4">
        <v>84</v>
      </c>
    </row>
    <row r="367" spans="1:7">
      <c r="A367" s="4" t="s">
        <v>707</v>
      </c>
      <c r="B367" s="4" t="s">
        <v>327</v>
      </c>
      <c r="C367" s="4">
        <v>80</v>
      </c>
      <c r="D367" s="4">
        <v>106</v>
      </c>
      <c r="E367" s="4">
        <v>83</v>
      </c>
      <c r="F367" s="4">
        <v>66</v>
      </c>
      <c r="G367" s="4">
        <v>79</v>
      </c>
    </row>
    <row r="368" spans="1:7">
      <c r="A368" s="4" t="s">
        <v>700</v>
      </c>
      <c r="B368" s="4" t="s">
        <v>266</v>
      </c>
      <c r="C368" s="4">
        <v>91</v>
      </c>
      <c r="D368" s="4">
        <v>84</v>
      </c>
      <c r="E368" s="4">
        <v>105</v>
      </c>
      <c r="F368" s="4">
        <v>60</v>
      </c>
      <c r="G368" s="4">
        <v>74</v>
      </c>
    </row>
    <row r="369" spans="1:7">
      <c r="A369" s="4" t="s">
        <v>700</v>
      </c>
      <c r="B369" s="4" t="s">
        <v>292</v>
      </c>
      <c r="C369" s="4">
        <v>93</v>
      </c>
      <c r="D369" s="4">
        <v>95</v>
      </c>
      <c r="E369" s="4">
        <v>94</v>
      </c>
      <c r="F369" s="4">
        <v>68</v>
      </c>
      <c r="G369" s="4">
        <v>64</v>
      </c>
    </row>
    <row r="370" spans="1:7">
      <c r="A370" s="4" t="s">
        <v>708</v>
      </c>
      <c r="B370" s="4" t="s">
        <v>106</v>
      </c>
      <c r="C370" s="4">
        <v>94</v>
      </c>
      <c r="D370" s="4">
        <v>84</v>
      </c>
      <c r="E370" s="4">
        <v>101</v>
      </c>
      <c r="F370" s="4">
        <v>66</v>
      </c>
      <c r="G370" s="4">
        <v>68</v>
      </c>
    </row>
    <row r="371" spans="1:7">
      <c r="A371" s="4" t="s">
        <v>712</v>
      </c>
      <c r="B371" s="4" t="s">
        <v>70</v>
      </c>
      <c r="C371" s="4">
        <v>91</v>
      </c>
      <c r="D371" s="4">
        <v>76</v>
      </c>
      <c r="E371" s="5">
        <v>102.5</v>
      </c>
      <c r="F371" s="4">
        <v>64</v>
      </c>
      <c r="G371" s="4">
        <v>79</v>
      </c>
    </row>
    <row r="372" spans="1:7">
      <c r="A372" s="4" t="s">
        <v>706</v>
      </c>
      <c r="B372" s="4" t="s">
        <v>211</v>
      </c>
      <c r="C372" s="4">
        <v>90</v>
      </c>
      <c r="D372" s="4">
        <v>78</v>
      </c>
      <c r="E372" s="5">
        <v>103.5</v>
      </c>
      <c r="F372" s="4">
        <v>60</v>
      </c>
      <c r="G372" s="4">
        <v>81</v>
      </c>
    </row>
    <row r="373" spans="1:7">
      <c r="A373" s="4" t="s">
        <v>707</v>
      </c>
      <c r="B373" s="4" t="s">
        <v>315</v>
      </c>
      <c r="C373" s="4">
        <v>80</v>
      </c>
      <c r="D373" s="4">
        <v>94</v>
      </c>
      <c r="E373" s="5">
        <v>100.5</v>
      </c>
      <c r="F373" s="4">
        <v>71</v>
      </c>
      <c r="G373" s="4">
        <v>67</v>
      </c>
    </row>
    <row r="374" spans="1:7">
      <c r="A374" s="4" t="s">
        <v>711</v>
      </c>
      <c r="B374" s="4" t="s">
        <v>218</v>
      </c>
      <c r="C374" s="4">
        <v>80</v>
      </c>
      <c r="D374" s="4">
        <v>83</v>
      </c>
      <c r="E374" s="5">
        <v>89.5</v>
      </c>
      <c r="F374" s="4">
        <v>78</v>
      </c>
      <c r="G374" s="4">
        <v>81</v>
      </c>
    </row>
    <row r="375" spans="1:7">
      <c r="A375" s="4" t="s">
        <v>699</v>
      </c>
      <c r="B375" s="4" t="s">
        <v>383</v>
      </c>
      <c r="C375" s="4">
        <v>84</v>
      </c>
      <c r="D375" s="4">
        <v>97</v>
      </c>
      <c r="E375" s="4">
        <v>94</v>
      </c>
      <c r="F375" s="4">
        <v>67</v>
      </c>
      <c r="G375" s="4">
        <v>69</v>
      </c>
    </row>
    <row r="376" spans="1:7">
      <c r="A376" s="4" t="s">
        <v>716</v>
      </c>
      <c r="B376" s="4" t="s">
        <v>535</v>
      </c>
      <c r="C376" s="4">
        <v>84</v>
      </c>
      <c r="D376" s="4">
        <v>88</v>
      </c>
      <c r="E376" s="5">
        <v>109.5</v>
      </c>
      <c r="F376" s="4">
        <v>64</v>
      </c>
      <c r="G376" s="4">
        <v>65</v>
      </c>
    </row>
    <row r="377" spans="1:7">
      <c r="A377" s="4" t="s">
        <v>715</v>
      </c>
      <c r="B377" s="4" t="s">
        <v>607</v>
      </c>
      <c r="C377" s="4">
        <v>94</v>
      </c>
      <c r="D377" s="4">
        <v>71</v>
      </c>
      <c r="E377" s="5">
        <v>92.5</v>
      </c>
      <c r="F377" s="4">
        <v>77</v>
      </c>
      <c r="G377" s="4">
        <v>76</v>
      </c>
    </row>
    <row r="378" spans="1:7">
      <c r="A378" s="4" t="s">
        <v>714</v>
      </c>
      <c r="B378" s="4" t="s">
        <v>656</v>
      </c>
      <c r="C378" s="4">
        <v>90</v>
      </c>
      <c r="D378" s="4">
        <v>79</v>
      </c>
      <c r="E378" s="5">
        <v>95.5</v>
      </c>
      <c r="F378" s="4">
        <v>68</v>
      </c>
      <c r="G378" s="4">
        <v>78</v>
      </c>
    </row>
    <row r="379" spans="1:7">
      <c r="A379" s="4" t="s">
        <v>707</v>
      </c>
      <c r="B379" s="4" t="s">
        <v>319</v>
      </c>
      <c r="C379" s="4">
        <v>86</v>
      </c>
      <c r="D379" s="4">
        <v>80</v>
      </c>
      <c r="E379" s="5">
        <v>95.5</v>
      </c>
      <c r="F379" s="4">
        <v>69</v>
      </c>
      <c r="G379" s="4">
        <v>80</v>
      </c>
    </row>
    <row r="380" spans="1:7">
      <c r="A380" s="4" t="s">
        <v>703</v>
      </c>
      <c r="B380" s="4" t="s">
        <v>475</v>
      </c>
      <c r="C380" s="4">
        <v>87</v>
      </c>
      <c r="D380" s="4">
        <v>94</v>
      </c>
      <c r="E380" s="5">
        <v>104.5</v>
      </c>
      <c r="F380" s="4">
        <v>55</v>
      </c>
      <c r="G380" s="4">
        <v>70</v>
      </c>
    </row>
    <row r="381" spans="1:7">
      <c r="A381" s="4" t="s">
        <v>712</v>
      </c>
      <c r="B381" s="4" t="s">
        <v>76</v>
      </c>
      <c r="C381" s="4">
        <v>88</v>
      </c>
      <c r="D381" s="4">
        <v>78</v>
      </c>
      <c r="E381" s="4">
        <v>88</v>
      </c>
      <c r="F381" s="4">
        <v>75</v>
      </c>
      <c r="G381" s="4">
        <v>81</v>
      </c>
    </row>
    <row r="382" spans="1:7">
      <c r="A382" s="4" t="s">
        <v>708</v>
      </c>
      <c r="B382" s="4" t="s">
        <v>119</v>
      </c>
      <c r="C382" s="4">
        <v>94</v>
      </c>
      <c r="D382" s="4">
        <v>88</v>
      </c>
      <c r="E382" s="4">
        <v>80</v>
      </c>
      <c r="F382" s="4">
        <v>77</v>
      </c>
      <c r="G382" s="4">
        <v>71</v>
      </c>
    </row>
    <row r="383" spans="1:7">
      <c r="A383" s="4" t="s">
        <v>717</v>
      </c>
      <c r="B383" s="4" t="s">
        <v>652</v>
      </c>
      <c r="C383" s="4">
        <v>92</v>
      </c>
      <c r="D383" s="4">
        <v>75</v>
      </c>
      <c r="E383" s="4">
        <v>98</v>
      </c>
      <c r="F383" s="4">
        <v>73</v>
      </c>
      <c r="G383" s="4">
        <v>72</v>
      </c>
    </row>
    <row r="384" spans="1:7">
      <c r="A384" s="4" t="s">
        <v>705</v>
      </c>
      <c r="B384" s="4" t="s">
        <v>514</v>
      </c>
      <c r="C384" s="4">
        <v>95</v>
      </c>
      <c r="D384" s="4">
        <v>91</v>
      </c>
      <c r="E384" s="5">
        <v>97.5</v>
      </c>
      <c r="F384" s="4">
        <v>54</v>
      </c>
      <c r="G384" s="4">
        <v>72</v>
      </c>
    </row>
    <row r="385" spans="1:7">
      <c r="A385" s="4" t="s">
        <v>715</v>
      </c>
      <c r="B385" s="4" t="s">
        <v>613</v>
      </c>
      <c r="C385" s="4">
        <v>98</v>
      </c>
      <c r="D385" s="4">
        <v>80</v>
      </c>
      <c r="E385" s="5">
        <v>89.5</v>
      </c>
      <c r="F385" s="4">
        <v>65</v>
      </c>
      <c r="G385" s="4">
        <v>77</v>
      </c>
    </row>
    <row r="386" spans="1:7">
      <c r="A386" s="4" t="s">
        <v>717</v>
      </c>
      <c r="B386" s="4" t="s">
        <v>650</v>
      </c>
      <c r="C386" s="4">
        <v>84</v>
      </c>
      <c r="D386" s="4">
        <v>84</v>
      </c>
      <c r="E386" s="4">
        <v>94</v>
      </c>
      <c r="F386" s="4">
        <v>74</v>
      </c>
      <c r="G386" s="4">
        <v>73</v>
      </c>
    </row>
    <row r="387" spans="1:7">
      <c r="A387" s="4" t="s">
        <v>717</v>
      </c>
      <c r="B387" s="4" t="s">
        <v>632</v>
      </c>
      <c r="C387" s="4">
        <v>87</v>
      </c>
      <c r="D387" s="4">
        <v>81</v>
      </c>
      <c r="E387" s="4">
        <v>93</v>
      </c>
      <c r="F387" s="4">
        <v>74</v>
      </c>
      <c r="G387" s="4">
        <v>73</v>
      </c>
    </row>
    <row r="388" spans="1:7">
      <c r="A388" s="4" t="s">
        <v>715</v>
      </c>
      <c r="B388" s="4" t="s">
        <v>593</v>
      </c>
      <c r="C388" s="4">
        <v>92</v>
      </c>
      <c r="D388" s="4">
        <v>71</v>
      </c>
      <c r="E388" s="4">
        <v>112</v>
      </c>
      <c r="F388" s="4">
        <v>55</v>
      </c>
      <c r="G388" s="4">
        <v>78</v>
      </c>
    </row>
    <row r="389" spans="1:7">
      <c r="A389" s="4" t="s">
        <v>709</v>
      </c>
      <c r="B389" s="4" t="s">
        <v>162</v>
      </c>
      <c r="C389" s="4">
        <v>81</v>
      </c>
      <c r="D389" s="4">
        <v>91</v>
      </c>
      <c r="E389" s="4">
        <v>100</v>
      </c>
      <c r="F389" s="4">
        <v>68</v>
      </c>
      <c r="G389" s="4">
        <v>67</v>
      </c>
    </row>
    <row r="390" spans="1:7">
      <c r="A390" s="4" t="s">
        <v>699</v>
      </c>
      <c r="B390" s="4" t="s">
        <v>391</v>
      </c>
      <c r="C390" s="4">
        <v>85</v>
      </c>
      <c r="D390" s="4">
        <v>94</v>
      </c>
      <c r="E390" s="4">
        <v>84</v>
      </c>
      <c r="F390" s="4">
        <v>70</v>
      </c>
      <c r="G390" s="4">
        <v>74</v>
      </c>
    </row>
    <row r="391" spans="1:7">
      <c r="A391" s="4" t="s">
        <v>701</v>
      </c>
      <c r="B391" s="4" t="s">
        <v>450</v>
      </c>
      <c r="C391" s="4">
        <v>84</v>
      </c>
      <c r="D391" s="4">
        <v>86</v>
      </c>
      <c r="E391" s="4">
        <v>100</v>
      </c>
      <c r="F391" s="4">
        <v>69</v>
      </c>
      <c r="G391" s="4">
        <v>68</v>
      </c>
    </row>
    <row r="392" spans="1:7">
      <c r="A392" s="4" t="s">
        <v>716</v>
      </c>
      <c r="B392" s="4" t="s">
        <v>555</v>
      </c>
      <c r="C392" s="4">
        <v>102</v>
      </c>
      <c r="D392" s="4">
        <v>67</v>
      </c>
      <c r="E392" s="5">
        <v>93.5</v>
      </c>
      <c r="F392" s="4">
        <v>66</v>
      </c>
      <c r="G392" s="4">
        <v>78</v>
      </c>
    </row>
    <row r="393" spans="1:7">
      <c r="A393" s="4" t="s">
        <v>717</v>
      </c>
      <c r="B393" s="4" t="s">
        <v>630</v>
      </c>
      <c r="C393" s="4">
        <v>93</v>
      </c>
      <c r="D393" s="4">
        <v>76</v>
      </c>
      <c r="E393" s="5">
        <v>94.5</v>
      </c>
      <c r="F393" s="4">
        <v>67</v>
      </c>
      <c r="G393" s="4">
        <v>76</v>
      </c>
    </row>
    <row r="394" spans="1:7">
      <c r="A394" s="4" t="s">
        <v>706</v>
      </c>
      <c r="B394" s="4" t="s">
        <v>185</v>
      </c>
      <c r="C394" s="4">
        <v>86</v>
      </c>
      <c r="D394" s="4">
        <v>88</v>
      </c>
      <c r="E394" s="5">
        <v>89.5</v>
      </c>
      <c r="F394" s="4">
        <v>62</v>
      </c>
      <c r="G394" s="4">
        <v>81</v>
      </c>
    </row>
    <row r="395" spans="1:7">
      <c r="A395" s="4" t="s">
        <v>714</v>
      </c>
      <c r="B395" s="4" t="s">
        <v>665</v>
      </c>
      <c r="C395" s="4">
        <v>97</v>
      </c>
      <c r="D395" s="4">
        <v>88</v>
      </c>
      <c r="E395" s="5">
        <v>69.5</v>
      </c>
      <c r="F395" s="4">
        <v>75</v>
      </c>
      <c r="G395" s="4">
        <v>77</v>
      </c>
    </row>
    <row r="396" spans="1:7">
      <c r="A396" s="4" t="s">
        <v>709</v>
      </c>
      <c r="B396" s="4" t="s">
        <v>141</v>
      </c>
      <c r="C396" s="4">
        <v>88</v>
      </c>
      <c r="D396" s="4">
        <v>88</v>
      </c>
      <c r="E396" s="5">
        <v>100.5</v>
      </c>
      <c r="F396" s="4">
        <v>68</v>
      </c>
      <c r="G396" s="4">
        <v>61</v>
      </c>
    </row>
    <row r="397" spans="1:7">
      <c r="A397" s="4" t="s">
        <v>709</v>
      </c>
      <c r="B397" s="4" t="s">
        <v>150</v>
      </c>
      <c r="C397" s="4">
        <v>81</v>
      </c>
      <c r="D397" s="4">
        <v>82</v>
      </c>
      <c r="E397" s="5">
        <v>93.5</v>
      </c>
      <c r="F397" s="4">
        <v>69</v>
      </c>
      <c r="G397" s="4">
        <v>80</v>
      </c>
    </row>
    <row r="398" spans="1:7">
      <c r="A398" s="4" t="s">
        <v>705</v>
      </c>
      <c r="B398" s="4" t="s">
        <v>519</v>
      </c>
      <c r="C398" s="4">
        <v>88</v>
      </c>
      <c r="D398" s="4">
        <v>77</v>
      </c>
      <c r="E398" s="4">
        <v>106</v>
      </c>
      <c r="F398" s="4">
        <v>75</v>
      </c>
      <c r="G398" s="4">
        <v>58</v>
      </c>
    </row>
    <row r="399" spans="1:7">
      <c r="A399" s="4" t="s">
        <v>706</v>
      </c>
      <c r="B399" s="4" t="s">
        <v>189</v>
      </c>
      <c r="C399" s="4">
        <v>100</v>
      </c>
      <c r="D399" s="4">
        <v>80</v>
      </c>
      <c r="E399" s="4">
        <v>80</v>
      </c>
      <c r="F399" s="4">
        <v>77</v>
      </c>
      <c r="G399" s="4">
        <v>67</v>
      </c>
    </row>
    <row r="400" spans="1:7">
      <c r="A400" s="4" t="s">
        <v>708</v>
      </c>
      <c r="B400" s="4" t="s">
        <v>131</v>
      </c>
      <c r="C400" s="4">
        <v>93</v>
      </c>
      <c r="D400" s="4">
        <v>81</v>
      </c>
      <c r="E400" s="4">
        <v>100</v>
      </c>
      <c r="F400" s="4">
        <v>55</v>
      </c>
      <c r="G400" s="4">
        <v>75</v>
      </c>
    </row>
    <row r="401" spans="1:7">
      <c r="A401" s="4" t="s">
        <v>700</v>
      </c>
      <c r="B401" s="4" t="s">
        <v>278</v>
      </c>
      <c r="C401" s="4">
        <v>97</v>
      </c>
      <c r="D401" s="4">
        <v>82</v>
      </c>
      <c r="E401" s="4">
        <v>102</v>
      </c>
      <c r="F401" s="4">
        <v>57</v>
      </c>
      <c r="G401" s="4">
        <v>66</v>
      </c>
    </row>
    <row r="402" spans="1:7">
      <c r="A402" s="4" t="s">
        <v>712</v>
      </c>
      <c r="B402" s="4" t="s">
        <v>52</v>
      </c>
      <c r="C402" s="4">
        <v>87</v>
      </c>
      <c r="D402" s="4">
        <v>91</v>
      </c>
      <c r="E402" s="5">
        <v>102.5</v>
      </c>
      <c r="F402" s="4">
        <v>60</v>
      </c>
      <c r="G402" s="4">
        <v>63</v>
      </c>
    </row>
    <row r="403" spans="1:7">
      <c r="A403" s="4" t="s">
        <v>711</v>
      </c>
      <c r="B403" s="4" t="s">
        <v>241</v>
      </c>
      <c r="C403" s="4">
        <v>94</v>
      </c>
      <c r="D403" s="4">
        <v>48</v>
      </c>
      <c r="E403" s="5">
        <v>107.5</v>
      </c>
      <c r="F403" s="4">
        <v>76</v>
      </c>
      <c r="G403" s="4">
        <v>78</v>
      </c>
    </row>
    <row r="404" spans="1:7">
      <c r="A404" s="4" t="s">
        <v>711</v>
      </c>
      <c r="B404" s="4" t="s">
        <v>251</v>
      </c>
      <c r="C404" s="4">
        <v>89</v>
      </c>
      <c r="D404" s="4">
        <v>98</v>
      </c>
      <c r="E404" s="4">
        <v>80</v>
      </c>
      <c r="F404" s="4">
        <v>66</v>
      </c>
      <c r="G404" s="4">
        <v>70</v>
      </c>
    </row>
    <row r="405" spans="1:7">
      <c r="A405" s="4" t="s">
        <v>703</v>
      </c>
      <c r="B405" s="4" t="s">
        <v>455</v>
      </c>
      <c r="C405" s="4">
        <v>82</v>
      </c>
      <c r="D405" s="4">
        <v>89</v>
      </c>
      <c r="E405" s="5">
        <v>71.5</v>
      </c>
      <c r="F405" s="4">
        <v>78</v>
      </c>
      <c r="G405" s="4">
        <v>82</v>
      </c>
    </row>
    <row r="406" spans="1:7">
      <c r="A406" s="4" t="s">
        <v>716</v>
      </c>
      <c r="B406" s="4" t="s">
        <v>534</v>
      </c>
      <c r="C406" s="4">
        <v>92</v>
      </c>
      <c r="D406" s="4">
        <v>75</v>
      </c>
      <c r="E406" s="5">
        <v>71.5</v>
      </c>
      <c r="F406" s="4">
        <v>77</v>
      </c>
      <c r="G406" s="4">
        <v>87</v>
      </c>
    </row>
    <row r="407" spans="1:7">
      <c r="A407" s="4" t="s">
        <v>703</v>
      </c>
      <c r="B407" s="6" t="s">
        <v>718</v>
      </c>
      <c r="C407" s="4">
        <v>80</v>
      </c>
      <c r="D407" s="4">
        <v>89</v>
      </c>
      <c r="E407" s="5">
        <v>96.5</v>
      </c>
      <c r="F407" s="4">
        <v>74</v>
      </c>
      <c r="G407" s="4">
        <v>63</v>
      </c>
    </row>
    <row r="408" spans="1:7">
      <c r="A408" s="4" t="s">
        <v>712</v>
      </c>
      <c r="B408" s="4" t="s">
        <v>67</v>
      </c>
      <c r="C408" s="4">
        <v>96</v>
      </c>
      <c r="D408" s="4">
        <v>83</v>
      </c>
      <c r="E408" s="4">
        <v>90</v>
      </c>
      <c r="F408" s="4">
        <v>58</v>
      </c>
      <c r="G408" s="4">
        <v>75</v>
      </c>
    </row>
    <row r="409" spans="1:7">
      <c r="A409" s="4" t="s">
        <v>712</v>
      </c>
      <c r="B409" s="4" t="s">
        <v>89</v>
      </c>
      <c r="C409" s="4">
        <v>83</v>
      </c>
      <c r="D409" s="4">
        <v>72</v>
      </c>
      <c r="E409" s="5">
        <v>101.5</v>
      </c>
      <c r="F409" s="4">
        <v>71</v>
      </c>
      <c r="G409" s="4">
        <v>74</v>
      </c>
    </row>
    <row r="410" spans="1:7">
      <c r="A410" s="4" t="s">
        <v>717</v>
      </c>
      <c r="B410" s="4" t="s">
        <v>637</v>
      </c>
      <c r="C410" s="4">
        <v>89</v>
      </c>
      <c r="D410" s="4">
        <v>99</v>
      </c>
      <c r="E410" s="5">
        <v>71.5</v>
      </c>
      <c r="F410" s="4">
        <v>74</v>
      </c>
      <c r="G410" s="4">
        <v>68</v>
      </c>
    </row>
    <row r="411" spans="1:7">
      <c r="A411" s="4" t="s">
        <v>710</v>
      </c>
      <c r="B411" s="4" t="s">
        <v>17</v>
      </c>
      <c r="C411" s="4">
        <v>92</v>
      </c>
      <c r="D411" s="4">
        <v>74</v>
      </c>
      <c r="E411" s="5">
        <v>83.5</v>
      </c>
      <c r="F411" s="4">
        <v>70</v>
      </c>
      <c r="G411" s="4">
        <v>82</v>
      </c>
    </row>
    <row r="412" spans="1:7">
      <c r="A412" s="4" t="s">
        <v>700</v>
      </c>
      <c r="B412" s="4" t="s">
        <v>287</v>
      </c>
      <c r="C412" s="4">
        <v>91</v>
      </c>
      <c r="D412" s="4">
        <v>91</v>
      </c>
      <c r="E412" s="5">
        <v>83.5</v>
      </c>
      <c r="F412" s="4">
        <v>54</v>
      </c>
      <c r="G412" s="4">
        <v>82</v>
      </c>
    </row>
    <row r="413" spans="1:7">
      <c r="A413" s="4" t="s">
        <v>702</v>
      </c>
      <c r="B413" s="4" t="s">
        <v>337</v>
      </c>
      <c r="C413" s="4">
        <v>77</v>
      </c>
      <c r="D413" s="4">
        <v>82</v>
      </c>
      <c r="E413" s="5">
        <v>109.5</v>
      </c>
      <c r="F413" s="4">
        <v>65</v>
      </c>
      <c r="G413" s="4">
        <v>67</v>
      </c>
    </row>
    <row r="414" spans="1:7">
      <c r="A414" s="4" t="s">
        <v>710</v>
      </c>
      <c r="B414" s="4" t="s">
        <v>39</v>
      </c>
      <c r="C414" s="4">
        <v>97</v>
      </c>
      <c r="D414" s="4">
        <v>58</v>
      </c>
      <c r="E414" s="4">
        <v>103</v>
      </c>
      <c r="F414" s="4">
        <v>70</v>
      </c>
      <c r="G414" s="4">
        <v>72</v>
      </c>
    </row>
    <row r="415" spans="1:7">
      <c r="A415" s="4" t="s">
        <v>702</v>
      </c>
      <c r="B415" s="4" t="s">
        <v>340</v>
      </c>
      <c r="C415" s="4">
        <v>92</v>
      </c>
      <c r="D415" s="4">
        <v>93</v>
      </c>
      <c r="E415" s="5">
        <v>86.5</v>
      </c>
      <c r="F415" s="4">
        <v>61</v>
      </c>
      <c r="G415" s="4">
        <v>67</v>
      </c>
    </row>
    <row r="416" spans="1:7">
      <c r="A416" s="4" t="s">
        <v>717</v>
      </c>
      <c r="B416" s="4" t="s">
        <v>622</v>
      </c>
      <c r="C416" s="4">
        <v>87</v>
      </c>
      <c r="D416" s="4">
        <v>78</v>
      </c>
      <c r="E416" s="5">
        <v>87.5</v>
      </c>
      <c r="F416" s="4">
        <v>79</v>
      </c>
      <c r="G416" s="4">
        <v>68</v>
      </c>
    </row>
    <row r="417" spans="1:7">
      <c r="A417" s="4" t="s">
        <v>700</v>
      </c>
      <c r="B417" s="4" t="s">
        <v>262</v>
      </c>
      <c r="C417" s="4">
        <v>90</v>
      </c>
      <c r="D417" s="4">
        <v>92</v>
      </c>
      <c r="E417" s="5">
        <v>96.5</v>
      </c>
      <c r="F417" s="4">
        <v>50</v>
      </c>
      <c r="G417" s="4">
        <v>71</v>
      </c>
    </row>
    <row r="418" spans="1:7">
      <c r="A418" s="4" t="s">
        <v>714</v>
      </c>
      <c r="B418" s="4" t="s">
        <v>662</v>
      </c>
      <c r="C418" s="4">
        <v>92</v>
      </c>
      <c r="D418" s="4">
        <v>72</v>
      </c>
      <c r="E418" s="5">
        <v>81.5</v>
      </c>
      <c r="F418" s="4">
        <v>75</v>
      </c>
      <c r="G418" s="4">
        <v>79</v>
      </c>
    </row>
    <row r="419" spans="1:7">
      <c r="A419" s="4" t="s">
        <v>710</v>
      </c>
      <c r="B419" s="4" t="s">
        <v>28</v>
      </c>
      <c r="C419" s="4">
        <v>92</v>
      </c>
      <c r="D419" s="4">
        <v>65</v>
      </c>
      <c r="E419" s="4">
        <v>102</v>
      </c>
      <c r="F419" s="4">
        <v>65</v>
      </c>
      <c r="G419" s="4">
        <v>75</v>
      </c>
    </row>
    <row r="420" spans="1:7">
      <c r="A420" s="4" t="s">
        <v>711</v>
      </c>
      <c r="B420" s="4" t="s">
        <v>239</v>
      </c>
      <c r="C420" s="4">
        <v>85</v>
      </c>
      <c r="D420" s="4">
        <v>65</v>
      </c>
      <c r="E420" s="5">
        <v>103.5</v>
      </c>
      <c r="F420" s="4">
        <v>71</v>
      </c>
      <c r="G420" s="4">
        <v>74</v>
      </c>
    </row>
    <row r="421" spans="1:7">
      <c r="A421" s="4" t="s">
        <v>714</v>
      </c>
      <c r="B421" s="4" t="s">
        <v>672</v>
      </c>
      <c r="C421" s="4">
        <v>97</v>
      </c>
      <c r="D421" s="4">
        <v>71</v>
      </c>
      <c r="E421" s="5">
        <v>85.5</v>
      </c>
      <c r="F421" s="4">
        <v>61</v>
      </c>
      <c r="G421" s="4">
        <v>84</v>
      </c>
    </row>
    <row r="422" spans="1:7">
      <c r="A422" s="4" t="s">
        <v>710</v>
      </c>
      <c r="B422" s="4" t="s">
        <v>21</v>
      </c>
      <c r="C422" s="4">
        <v>86</v>
      </c>
      <c r="D422" s="4">
        <v>89</v>
      </c>
      <c r="E422" s="5">
        <v>91.5</v>
      </c>
      <c r="F422" s="4">
        <v>65</v>
      </c>
      <c r="G422" s="4">
        <v>67</v>
      </c>
    </row>
    <row r="423" spans="1:7">
      <c r="A423" s="4" t="s">
        <v>712</v>
      </c>
      <c r="B423" s="4" t="s">
        <v>64</v>
      </c>
      <c r="C423" s="4">
        <v>89</v>
      </c>
      <c r="D423" s="4">
        <v>89</v>
      </c>
      <c r="E423" s="4">
        <v>101</v>
      </c>
      <c r="F423" s="4">
        <v>48</v>
      </c>
      <c r="G423" s="4">
        <v>71</v>
      </c>
    </row>
    <row r="424" spans="1:7">
      <c r="A424" s="4" t="s">
        <v>709</v>
      </c>
      <c r="B424" s="4" t="s">
        <v>166</v>
      </c>
      <c r="C424" s="4">
        <v>85</v>
      </c>
      <c r="D424" s="4">
        <v>89</v>
      </c>
      <c r="E424" s="4">
        <v>90</v>
      </c>
      <c r="F424" s="4">
        <v>69</v>
      </c>
      <c r="G424" s="4">
        <v>64</v>
      </c>
    </row>
    <row r="425" spans="1:7">
      <c r="A425" s="4" t="s">
        <v>708</v>
      </c>
      <c r="B425" s="4" t="s">
        <v>110</v>
      </c>
      <c r="C425" s="4">
        <v>86</v>
      </c>
      <c r="D425" s="4">
        <v>77</v>
      </c>
      <c r="E425" s="4">
        <v>101</v>
      </c>
      <c r="F425" s="4">
        <v>66</v>
      </c>
      <c r="G425" s="4">
        <v>67</v>
      </c>
    </row>
    <row r="426" spans="1:7">
      <c r="A426" s="4" t="s">
        <v>706</v>
      </c>
      <c r="B426" s="4" t="s">
        <v>183</v>
      </c>
      <c r="C426" s="4">
        <v>95</v>
      </c>
      <c r="D426" s="4">
        <v>65</v>
      </c>
      <c r="E426" s="5">
        <v>103.5</v>
      </c>
      <c r="F426" s="4">
        <v>65</v>
      </c>
      <c r="G426" s="4">
        <v>68</v>
      </c>
    </row>
    <row r="427" spans="1:7">
      <c r="A427" s="4" t="s">
        <v>710</v>
      </c>
      <c r="B427" s="4" t="s">
        <v>29</v>
      </c>
      <c r="C427" s="4">
        <v>91</v>
      </c>
      <c r="D427" s="4">
        <v>73</v>
      </c>
      <c r="E427" s="5">
        <v>98.5</v>
      </c>
      <c r="F427" s="4">
        <v>62</v>
      </c>
      <c r="G427" s="4">
        <v>72</v>
      </c>
    </row>
    <row r="428" spans="1:7">
      <c r="A428" s="4" t="s">
        <v>710</v>
      </c>
      <c r="B428" s="4" t="s">
        <v>31</v>
      </c>
      <c r="C428" s="4">
        <v>90</v>
      </c>
      <c r="D428" s="4">
        <v>76</v>
      </c>
      <c r="E428" s="5">
        <v>95.5</v>
      </c>
      <c r="F428" s="4">
        <v>54</v>
      </c>
      <c r="G428" s="4">
        <v>81</v>
      </c>
    </row>
    <row r="429" spans="1:7">
      <c r="A429" s="4" t="s">
        <v>703</v>
      </c>
      <c r="B429" s="4" t="s">
        <v>485</v>
      </c>
      <c r="C429" s="4">
        <v>94</v>
      </c>
      <c r="D429" s="4">
        <v>75</v>
      </c>
      <c r="E429" s="5">
        <v>98.5</v>
      </c>
      <c r="F429" s="4">
        <v>58</v>
      </c>
      <c r="G429" s="4">
        <v>70</v>
      </c>
    </row>
    <row r="430" spans="1:7">
      <c r="A430" s="4" t="s">
        <v>714</v>
      </c>
      <c r="B430" s="4" t="s">
        <v>680</v>
      </c>
      <c r="C430" s="4">
        <v>96</v>
      </c>
      <c r="D430" s="4">
        <v>84</v>
      </c>
      <c r="E430" s="5">
        <v>90.5</v>
      </c>
      <c r="F430" s="4">
        <v>52</v>
      </c>
      <c r="G430" s="4">
        <v>72</v>
      </c>
    </row>
    <row r="431" spans="1:7">
      <c r="A431" s="4" t="s">
        <v>701</v>
      </c>
      <c r="B431" s="4" t="s">
        <v>719</v>
      </c>
      <c r="C431" s="4">
        <v>83</v>
      </c>
      <c r="D431" s="4">
        <v>78</v>
      </c>
      <c r="E431" s="5">
        <v>94.5</v>
      </c>
      <c r="F431" s="4">
        <v>70</v>
      </c>
      <c r="G431" s="4">
        <v>69</v>
      </c>
    </row>
    <row r="432" spans="1:7">
      <c r="A432" s="4" t="s">
        <v>712</v>
      </c>
      <c r="B432" s="4" t="s">
        <v>54</v>
      </c>
      <c r="C432" s="4">
        <v>82</v>
      </c>
      <c r="D432" s="4">
        <v>72</v>
      </c>
      <c r="E432" s="4">
        <v>103</v>
      </c>
      <c r="F432" s="4">
        <v>73</v>
      </c>
      <c r="G432" s="4">
        <v>64</v>
      </c>
    </row>
    <row r="433" spans="1:7">
      <c r="A433" s="4" t="s">
        <v>716</v>
      </c>
      <c r="B433" s="4" t="s">
        <v>558</v>
      </c>
      <c r="C433" s="4">
        <v>86</v>
      </c>
      <c r="D433" s="4">
        <v>92</v>
      </c>
      <c r="E433" s="4">
        <v>84</v>
      </c>
      <c r="F433" s="4">
        <v>73</v>
      </c>
      <c r="G433" s="4">
        <v>59</v>
      </c>
    </row>
    <row r="434" spans="1:7">
      <c r="A434" s="4" t="s">
        <v>716</v>
      </c>
      <c r="B434" s="4" t="s">
        <v>720</v>
      </c>
      <c r="C434" s="4">
        <v>82</v>
      </c>
      <c r="D434" s="4">
        <v>71</v>
      </c>
      <c r="E434" s="5">
        <v>93.5</v>
      </c>
      <c r="F434" s="4">
        <v>73</v>
      </c>
      <c r="G434" s="4">
        <v>74</v>
      </c>
    </row>
    <row r="435" spans="1:7">
      <c r="A435" s="4" t="s">
        <v>700</v>
      </c>
      <c r="B435" s="4" t="s">
        <v>280</v>
      </c>
      <c r="C435" s="4">
        <v>95</v>
      </c>
      <c r="D435" s="4">
        <v>74</v>
      </c>
      <c r="E435" s="4">
        <v>97</v>
      </c>
      <c r="F435" s="4">
        <v>65</v>
      </c>
      <c r="G435" s="4">
        <v>62</v>
      </c>
    </row>
    <row r="436" spans="1:7">
      <c r="A436" s="4" t="s">
        <v>717</v>
      </c>
      <c r="B436" s="4" t="s">
        <v>721</v>
      </c>
      <c r="C436" s="4">
        <v>87</v>
      </c>
      <c r="D436" s="4">
        <v>90</v>
      </c>
      <c r="E436" s="4">
        <v>98</v>
      </c>
      <c r="F436" s="4">
        <v>55</v>
      </c>
      <c r="G436" s="4">
        <v>63</v>
      </c>
    </row>
    <row r="437" spans="1:7">
      <c r="A437" s="4" t="s">
        <v>709</v>
      </c>
      <c r="B437" s="4" t="s">
        <v>157</v>
      </c>
      <c r="C437" s="4">
        <v>90</v>
      </c>
      <c r="D437" s="4">
        <v>77</v>
      </c>
      <c r="E437" s="5">
        <v>87.5</v>
      </c>
      <c r="F437" s="4">
        <v>71</v>
      </c>
      <c r="G437" s="4">
        <v>67</v>
      </c>
    </row>
    <row r="438" spans="1:7">
      <c r="A438" s="4" t="s">
        <v>715</v>
      </c>
      <c r="B438" s="4" t="s">
        <v>579</v>
      </c>
      <c r="C438" s="4">
        <v>78</v>
      </c>
      <c r="D438" s="4">
        <v>88</v>
      </c>
      <c r="E438" s="5">
        <v>83.5</v>
      </c>
      <c r="F438" s="4">
        <v>71</v>
      </c>
      <c r="G438" s="4">
        <v>72</v>
      </c>
    </row>
    <row r="439" spans="1:7">
      <c r="A439" s="4" t="s">
        <v>699</v>
      </c>
      <c r="B439" s="4" t="s">
        <v>381</v>
      </c>
      <c r="C439" s="4">
        <v>83</v>
      </c>
      <c r="D439" s="4">
        <v>85</v>
      </c>
      <c r="E439" s="4">
        <v>80</v>
      </c>
      <c r="F439" s="4">
        <v>65</v>
      </c>
      <c r="G439" s="4">
        <v>79</v>
      </c>
    </row>
    <row r="440" spans="1:7">
      <c r="A440" s="4" t="s">
        <v>710</v>
      </c>
      <c r="B440" s="4" t="s">
        <v>10</v>
      </c>
      <c r="C440" s="4">
        <v>88</v>
      </c>
      <c r="D440" s="4">
        <v>94</v>
      </c>
      <c r="E440" s="4">
        <v>90</v>
      </c>
      <c r="F440" s="4">
        <v>57</v>
      </c>
      <c r="G440" s="4">
        <v>63</v>
      </c>
    </row>
    <row r="441" spans="1:7">
      <c r="A441" s="4" t="s">
        <v>701</v>
      </c>
      <c r="B441" s="4" t="s">
        <v>451</v>
      </c>
      <c r="C441" s="4">
        <v>80</v>
      </c>
      <c r="D441" s="4">
        <v>87</v>
      </c>
      <c r="E441" s="5">
        <v>97.5</v>
      </c>
      <c r="F441" s="4">
        <v>61</v>
      </c>
      <c r="G441" s="4">
        <v>66</v>
      </c>
    </row>
    <row r="442" spans="1:7">
      <c r="A442" s="4" t="s">
        <v>709</v>
      </c>
      <c r="B442" s="4" t="s">
        <v>164</v>
      </c>
      <c r="C442" s="4">
        <v>84</v>
      </c>
      <c r="D442" s="4">
        <v>72</v>
      </c>
      <c r="E442" s="4">
        <v>89</v>
      </c>
      <c r="F442" s="4">
        <v>69</v>
      </c>
      <c r="G442" s="4">
        <v>77</v>
      </c>
    </row>
    <row r="443" spans="1:7">
      <c r="A443" s="4" t="s">
        <v>710</v>
      </c>
      <c r="B443" s="4" t="s">
        <v>15</v>
      </c>
      <c r="C443" s="4">
        <v>84</v>
      </c>
      <c r="D443" s="4">
        <v>89</v>
      </c>
      <c r="E443" s="4">
        <v>80</v>
      </c>
      <c r="F443" s="4">
        <v>63</v>
      </c>
      <c r="G443" s="4">
        <v>75</v>
      </c>
    </row>
    <row r="444" spans="1:7">
      <c r="A444" s="4" t="s">
        <v>702</v>
      </c>
      <c r="B444" s="4" t="s">
        <v>334</v>
      </c>
      <c r="C444" s="4">
        <v>80</v>
      </c>
      <c r="D444" s="4">
        <v>84</v>
      </c>
      <c r="E444" s="5">
        <v>80.5</v>
      </c>
      <c r="F444" s="4">
        <v>66</v>
      </c>
      <c r="G444" s="4">
        <v>80</v>
      </c>
    </row>
    <row r="445" spans="1:7">
      <c r="A445" s="4" t="s">
        <v>715</v>
      </c>
      <c r="B445" s="4" t="s">
        <v>589</v>
      </c>
      <c r="C445" s="4">
        <v>86</v>
      </c>
      <c r="D445" s="4">
        <v>58</v>
      </c>
      <c r="E445" s="5">
        <v>92.5</v>
      </c>
      <c r="F445" s="4">
        <v>79</v>
      </c>
      <c r="G445" s="4">
        <v>75</v>
      </c>
    </row>
    <row r="446" spans="1:7">
      <c r="A446" s="4" t="s">
        <v>711</v>
      </c>
      <c r="B446" s="4" t="s">
        <v>226</v>
      </c>
      <c r="C446" s="4">
        <v>76</v>
      </c>
      <c r="D446" s="4">
        <v>80</v>
      </c>
      <c r="E446" s="5">
        <v>84.5</v>
      </c>
      <c r="F446" s="4">
        <v>69</v>
      </c>
      <c r="G446" s="4">
        <v>80</v>
      </c>
    </row>
    <row r="447" spans="1:7">
      <c r="A447" s="4" t="s">
        <v>711</v>
      </c>
      <c r="B447" s="4" t="s">
        <v>235</v>
      </c>
      <c r="C447" s="4">
        <v>86</v>
      </c>
      <c r="D447" s="4">
        <v>83</v>
      </c>
      <c r="E447" s="5">
        <v>79.5</v>
      </c>
      <c r="F447" s="4">
        <v>67</v>
      </c>
      <c r="G447" s="4">
        <v>74</v>
      </c>
    </row>
    <row r="448" spans="1:7">
      <c r="A448" s="4" t="s">
        <v>714</v>
      </c>
      <c r="B448" s="4" t="s">
        <v>667</v>
      </c>
      <c r="C448" s="4">
        <v>82</v>
      </c>
      <c r="D448" s="4">
        <v>83</v>
      </c>
      <c r="E448" s="5">
        <v>82.5</v>
      </c>
      <c r="F448" s="4">
        <v>72</v>
      </c>
      <c r="G448" s="4">
        <v>70</v>
      </c>
    </row>
    <row r="449" spans="1:7">
      <c r="A449" s="4" t="s">
        <v>701</v>
      </c>
      <c r="B449" s="4" t="s">
        <v>440</v>
      </c>
      <c r="C449" s="4">
        <v>86</v>
      </c>
      <c r="D449" s="4">
        <v>96</v>
      </c>
      <c r="E449" s="5">
        <v>70.5</v>
      </c>
      <c r="F449" s="4">
        <v>72</v>
      </c>
      <c r="G449" s="4">
        <v>65</v>
      </c>
    </row>
    <row r="450" spans="1:7">
      <c r="A450" s="4" t="s">
        <v>715</v>
      </c>
      <c r="B450" s="4" t="s">
        <v>602</v>
      </c>
      <c r="C450" s="4">
        <v>88</v>
      </c>
      <c r="D450" s="4">
        <v>93</v>
      </c>
      <c r="E450" s="5">
        <v>93.5</v>
      </c>
      <c r="F450" s="4">
        <v>55</v>
      </c>
      <c r="G450" s="4">
        <v>59</v>
      </c>
    </row>
    <row r="451" spans="1:7">
      <c r="A451" s="4" t="s">
        <v>708</v>
      </c>
      <c r="B451" s="4" t="s">
        <v>92</v>
      </c>
      <c r="C451" s="4">
        <v>93</v>
      </c>
      <c r="D451" s="4">
        <v>51</v>
      </c>
      <c r="E451" s="4">
        <v>99</v>
      </c>
      <c r="F451" s="4">
        <v>58</v>
      </c>
      <c r="G451" s="4">
        <v>87</v>
      </c>
    </row>
    <row r="452" spans="1:7">
      <c r="A452" s="4" t="s">
        <v>716</v>
      </c>
      <c r="B452" s="4" t="s">
        <v>538</v>
      </c>
      <c r="C452" s="4">
        <v>89</v>
      </c>
      <c r="D452" s="4">
        <v>81</v>
      </c>
      <c r="E452" s="5">
        <v>71.5</v>
      </c>
      <c r="F452" s="4">
        <v>69</v>
      </c>
      <c r="G452" s="4">
        <v>77</v>
      </c>
    </row>
    <row r="453" spans="1:7">
      <c r="A453" s="4" t="s">
        <v>715</v>
      </c>
      <c r="B453" s="4" t="s">
        <v>611</v>
      </c>
      <c r="C453" s="4">
        <v>81</v>
      </c>
      <c r="D453" s="4">
        <v>87</v>
      </c>
      <c r="E453" s="5">
        <v>74.5</v>
      </c>
      <c r="F453" s="4">
        <v>65</v>
      </c>
      <c r="G453" s="4">
        <v>80</v>
      </c>
    </row>
    <row r="454" spans="1:7">
      <c r="A454" s="4" t="s">
        <v>716</v>
      </c>
      <c r="B454" s="4" t="s">
        <v>542</v>
      </c>
      <c r="C454" s="4">
        <v>89</v>
      </c>
      <c r="D454" s="4">
        <v>73</v>
      </c>
      <c r="E454" s="5">
        <v>85.5</v>
      </c>
      <c r="F454" s="4">
        <v>57</v>
      </c>
      <c r="G454" s="4">
        <v>82</v>
      </c>
    </row>
    <row r="455" spans="1:7">
      <c r="A455" s="4" t="s">
        <v>709</v>
      </c>
      <c r="B455" s="4" t="s">
        <v>146</v>
      </c>
      <c r="C455" s="4">
        <v>86</v>
      </c>
      <c r="D455" s="4">
        <v>88</v>
      </c>
      <c r="E455" s="4">
        <v>86</v>
      </c>
      <c r="F455" s="4">
        <v>66</v>
      </c>
      <c r="G455" s="4">
        <v>60</v>
      </c>
    </row>
    <row r="456" spans="1:7">
      <c r="A456" s="4" t="s">
        <v>709</v>
      </c>
      <c r="B456" s="4" t="s">
        <v>156</v>
      </c>
      <c r="C456" s="4">
        <v>79</v>
      </c>
      <c r="D456" s="4">
        <v>81</v>
      </c>
      <c r="E456" s="4">
        <v>91</v>
      </c>
      <c r="F456" s="4">
        <v>62</v>
      </c>
      <c r="G456" s="4">
        <v>73</v>
      </c>
    </row>
    <row r="457" spans="1:7">
      <c r="A457" s="4" t="s">
        <v>710</v>
      </c>
      <c r="B457" s="4" t="s">
        <v>9</v>
      </c>
      <c r="C457" s="4">
        <v>78</v>
      </c>
      <c r="D457" s="4">
        <v>75</v>
      </c>
      <c r="E457" s="4">
        <v>89</v>
      </c>
      <c r="F457" s="4">
        <v>65</v>
      </c>
      <c r="G457" s="4">
        <v>79</v>
      </c>
    </row>
    <row r="458" spans="1:7">
      <c r="A458" s="4" t="s">
        <v>708</v>
      </c>
      <c r="B458" s="4" t="s">
        <v>98</v>
      </c>
      <c r="C458" s="4">
        <v>81</v>
      </c>
      <c r="D458" s="4">
        <v>77</v>
      </c>
      <c r="E458" s="4">
        <v>74</v>
      </c>
      <c r="F458" s="4">
        <v>77</v>
      </c>
      <c r="G458" s="4">
        <v>77</v>
      </c>
    </row>
    <row r="459" spans="1:7">
      <c r="A459" s="4" t="s">
        <v>711</v>
      </c>
      <c r="B459" s="4" t="s">
        <v>224</v>
      </c>
      <c r="C459" s="4">
        <v>88</v>
      </c>
      <c r="D459" s="4">
        <v>60</v>
      </c>
      <c r="E459" s="5">
        <v>93.5</v>
      </c>
      <c r="F459" s="4">
        <v>64</v>
      </c>
      <c r="G459" s="4">
        <v>80</v>
      </c>
    </row>
    <row r="460" spans="1:7">
      <c r="A460" s="4" t="s">
        <v>717</v>
      </c>
      <c r="B460" s="4" t="s">
        <v>625</v>
      </c>
      <c r="C460" s="4">
        <v>86</v>
      </c>
      <c r="D460" s="4">
        <v>81</v>
      </c>
      <c r="E460" s="5">
        <v>84.5</v>
      </c>
      <c r="F460" s="4">
        <v>57</v>
      </c>
      <c r="G460" s="4">
        <v>77</v>
      </c>
    </row>
    <row r="461" spans="1:7">
      <c r="A461" s="4" t="s">
        <v>705</v>
      </c>
      <c r="B461" s="4" t="s">
        <v>509</v>
      </c>
      <c r="C461" s="4">
        <v>80</v>
      </c>
      <c r="D461" s="4">
        <v>93</v>
      </c>
      <c r="E461" s="4">
        <v>69</v>
      </c>
      <c r="F461" s="4">
        <v>70</v>
      </c>
      <c r="G461" s="4">
        <v>73</v>
      </c>
    </row>
    <row r="462" spans="1:7">
      <c r="A462" s="4" t="s">
        <v>708</v>
      </c>
      <c r="B462" s="4" t="s">
        <v>99</v>
      </c>
      <c r="C462" s="4">
        <v>94</v>
      </c>
      <c r="D462" s="4">
        <v>75</v>
      </c>
      <c r="E462" s="4">
        <v>85</v>
      </c>
      <c r="F462" s="4">
        <v>64</v>
      </c>
      <c r="G462" s="4">
        <v>66</v>
      </c>
    </row>
    <row r="463" spans="1:7">
      <c r="A463" s="4" t="s">
        <v>709</v>
      </c>
      <c r="B463" s="4" t="s">
        <v>152</v>
      </c>
      <c r="C463" s="4">
        <v>89</v>
      </c>
      <c r="D463" s="4">
        <v>59</v>
      </c>
      <c r="E463" s="5">
        <v>94.5</v>
      </c>
      <c r="F463" s="4">
        <v>53</v>
      </c>
      <c r="G463" s="4">
        <v>88</v>
      </c>
    </row>
    <row r="464" spans="1:7">
      <c r="A464" s="4" t="s">
        <v>706</v>
      </c>
      <c r="B464" s="4" t="s">
        <v>186</v>
      </c>
      <c r="C464" s="4">
        <v>91</v>
      </c>
      <c r="D464" s="4">
        <v>65</v>
      </c>
      <c r="E464" s="4">
        <v>92</v>
      </c>
      <c r="F464" s="4">
        <v>69</v>
      </c>
      <c r="G464" s="4">
        <v>66</v>
      </c>
    </row>
    <row r="465" spans="1:7">
      <c r="A465" s="4" t="s">
        <v>714</v>
      </c>
      <c r="B465" s="4" t="s">
        <v>674</v>
      </c>
      <c r="C465" s="4">
        <v>90</v>
      </c>
      <c r="D465" s="4">
        <v>69</v>
      </c>
      <c r="E465" s="4">
        <v>75</v>
      </c>
      <c r="F465" s="4">
        <v>63</v>
      </c>
      <c r="G465" s="4">
        <v>86</v>
      </c>
    </row>
    <row r="466" spans="1:7">
      <c r="A466" s="4" t="s">
        <v>717</v>
      </c>
      <c r="B466" s="4" t="s">
        <v>643</v>
      </c>
      <c r="C466" s="4">
        <v>85</v>
      </c>
      <c r="D466" s="4">
        <v>78</v>
      </c>
      <c r="E466" s="4">
        <v>107</v>
      </c>
      <c r="F466" s="4">
        <v>55</v>
      </c>
      <c r="G466" s="4">
        <v>58</v>
      </c>
    </row>
    <row r="467" spans="1:7">
      <c r="A467" s="4" t="s">
        <v>717</v>
      </c>
      <c r="B467" s="4" t="s">
        <v>644</v>
      </c>
      <c r="C467" s="4">
        <v>82</v>
      </c>
      <c r="D467" s="4">
        <v>80</v>
      </c>
      <c r="E467" s="5">
        <v>99.5</v>
      </c>
      <c r="F467" s="4">
        <v>54</v>
      </c>
      <c r="G467" s="4">
        <v>67</v>
      </c>
    </row>
    <row r="468" spans="1:7">
      <c r="A468" s="4" t="s">
        <v>715</v>
      </c>
      <c r="B468" s="4" t="s">
        <v>601</v>
      </c>
      <c r="C468" s="4">
        <v>81</v>
      </c>
      <c r="D468" s="4">
        <v>84</v>
      </c>
      <c r="E468" s="4">
        <v>90</v>
      </c>
      <c r="F468" s="4">
        <v>50</v>
      </c>
      <c r="G468" s="4">
        <v>77</v>
      </c>
    </row>
    <row r="469" spans="1:7">
      <c r="A469" s="4" t="s">
        <v>714</v>
      </c>
      <c r="B469" s="4" t="s">
        <v>690</v>
      </c>
      <c r="C469" s="4">
        <v>101</v>
      </c>
      <c r="D469" s="4">
        <v>75</v>
      </c>
      <c r="E469" s="4">
        <v>74</v>
      </c>
      <c r="F469" s="4">
        <v>65</v>
      </c>
      <c r="G469" s="4">
        <v>67</v>
      </c>
    </row>
    <row r="470" spans="1:7">
      <c r="A470" s="4" t="s">
        <v>710</v>
      </c>
      <c r="B470" s="4" t="s">
        <v>41</v>
      </c>
      <c r="C470" s="4">
        <v>89</v>
      </c>
      <c r="D470" s="4">
        <v>70</v>
      </c>
      <c r="E470" s="4">
        <v>86</v>
      </c>
      <c r="F470" s="4">
        <v>67</v>
      </c>
      <c r="G470" s="4">
        <v>70</v>
      </c>
    </row>
    <row r="471" spans="1:7">
      <c r="A471" s="4" t="s">
        <v>708</v>
      </c>
      <c r="B471" s="4" t="s">
        <v>128</v>
      </c>
      <c r="C471" s="4">
        <v>88</v>
      </c>
      <c r="D471" s="4">
        <v>50</v>
      </c>
      <c r="E471" s="5">
        <v>96.5</v>
      </c>
      <c r="F471" s="4">
        <v>62</v>
      </c>
      <c r="G471" s="4">
        <v>85</v>
      </c>
    </row>
    <row r="472" spans="1:7">
      <c r="A472" s="4" t="s">
        <v>702</v>
      </c>
      <c r="B472" s="4" t="s">
        <v>346</v>
      </c>
      <c r="C472" s="4">
        <v>91</v>
      </c>
      <c r="D472" s="4">
        <v>69</v>
      </c>
      <c r="E472" s="4">
        <v>84</v>
      </c>
      <c r="F472" s="4">
        <v>68</v>
      </c>
      <c r="G472" s="4">
        <v>69</v>
      </c>
    </row>
    <row r="473" spans="1:7">
      <c r="A473" s="4" t="s">
        <v>717</v>
      </c>
      <c r="B473" s="4" t="s">
        <v>722</v>
      </c>
      <c r="C473" s="4">
        <v>83</v>
      </c>
      <c r="D473" s="4">
        <v>64</v>
      </c>
      <c r="E473" s="5">
        <v>91.5</v>
      </c>
      <c r="F473" s="4">
        <v>74</v>
      </c>
      <c r="G473" s="4">
        <v>68</v>
      </c>
    </row>
    <row r="474" spans="1:7">
      <c r="A474" s="4" t="s">
        <v>715</v>
      </c>
      <c r="B474" s="4" t="s">
        <v>596</v>
      </c>
      <c r="C474" s="4">
        <v>85</v>
      </c>
      <c r="D474" s="4">
        <v>77</v>
      </c>
      <c r="E474" s="5">
        <v>91.5</v>
      </c>
      <c r="F474" s="4">
        <v>59</v>
      </c>
      <c r="G474" s="4">
        <v>68</v>
      </c>
    </row>
    <row r="475" spans="1:7">
      <c r="A475" s="4" t="s">
        <v>716</v>
      </c>
      <c r="B475" s="4" t="s">
        <v>561</v>
      </c>
      <c r="C475" s="4">
        <v>63</v>
      </c>
      <c r="D475" s="4">
        <v>74</v>
      </c>
      <c r="E475" s="4">
        <v>106</v>
      </c>
      <c r="F475" s="4">
        <v>69</v>
      </c>
      <c r="G475" s="4">
        <v>68</v>
      </c>
    </row>
    <row r="476" spans="1:7">
      <c r="A476" s="4" t="s">
        <v>699</v>
      </c>
      <c r="B476" s="4" t="s">
        <v>401</v>
      </c>
      <c r="C476" s="4">
        <v>85</v>
      </c>
      <c r="D476" s="4">
        <v>84</v>
      </c>
      <c r="E476" s="5">
        <v>80.5</v>
      </c>
      <c r="F476" s="4">
        <v>64</v>
      </c>
      <c r="G476" s="4">
        <v>66</v>
      </c>
    </row>
    <row r="477" spans="1:7">
      <c r="A477" s="4" t="s">
        <v>717</v>
      </c>
      <c r="B477" s="4" t="s">
        <v>616</v>
      </c>
      <c r="C477" s="4">
        <v>82</v>
      </c>
      <c r="D477" s="4">
        <v>88</v>
      </c>
      <c r="E477" s="5">
        <v>70.5</v>
      </c>
      <c r="F477" s="4">
        <v>62</v>
      </c>
      <c r="G477" s="4">
        <v>76</v>
      </c>
    </row>
    <row r="478" spans="1:7">
      <c r="A478" s="4" t="s">
        <v>712</v>
      </c>
      <c r="B478" s="4" t="s">
        <v>69</v>
      </c>
      <c r="C478" s="4">
        <v>83</v>
      </c>
      <c r="D478" s="4">
        <v>75</v>
      </c>
      <c r="E478" s="4">
        <v>100</v>
      </c>
      <c r="F478" s="4">
        <v>64</v>
      </c>
      <c r="G478" s="4">
        <v>56</v>
      </c>
    </row>
    <row r="479" spans="1:7">
      <c r="A479" s="4" t="s">
        <v>717</v>
      </c>
      <c r="B479" s="4" t="s">
        <v>618</v>
      </c>
      <c r="C479" s="4">
        <v>83</v>
      </c>
      <c r="D479" s="4">
        <v>51</v>
      </c>
      <c r="E479" s="4">
        <v>100</v>
      </c>
      <c r="F479" s="4">
        <v>67</v>
      </c>
      <c r="G479" s="4">
        <v>77</v>
      </c>
    </row>
    <row r="480" spans="1:7">
      <c r="A480" s="4" t="s">
        <v>708</v>
      </c>
      <c r="B480" s="4" t="s">
        <v>108</v>
      </c>
      <c r="C480" s="4">
        <v>84</v>
      </c>
      <c r="D480" s="4">
        <v>87</v>
      </c>
      <c r="E480" s="4">
        <v>77</v>
      </c>
      <c r="F480" s="4">
        <v>58</v>
      </c>
      <c r="G480" s="4">
        <v>72</v>
      </c>
    </row>
    <row r="481" spans="1:7">
      <c r="A481" s="4" t="s">
        <v>715</v>
      </c>
      <c r="B481" s="4" t="s">
        <v>585</v>
      </c>
      <c r="C481" s="4">
        <v>80</v>
      </c>
      <c r="D481" s="4">
        <v>74</v>
      </c>
      <c r="E481" s="5">
        <v>80.5</v>
      </c>
      <c r="F481" s="4">
        <v>58</v>
      </c>
      <c r="G481" s="4">
        <v>84</v>
      </c>
    </row>
    <row r="482" spans="1:7">
      <c r="A482" s="4" t="s">
        <v>717</v>
      </c>
      <c r="B482" s="4" t="s">
        <v>649</v>
      </c>
      <c r="C482" s="4">
        <v>83</v>
      </c>
      <c r="D482" s="4">
        <v>78</v>
      </c>
      <c r="E482" s="5">
        <v>69.5</v>
      </c>
      <c r="F482" s="4">
        <v>73</v>
      </c>
      <c r="G482" s="4">
        <v>73</v>
      </c>
    </row>
    <row r="483" spans="1:7">
      <c r="A483" s="4" t="s">
        <v>702</v>
      </c>
      <c r="B483" s="4" t="s">
        <v>353</v>
      </c>
      <c r="C483" s="4">
        <v>90</v>
      </c>
      <c r="D483" s="4">
        <v>77</v>
      </c>
      <c r="E483" s="4">
        <v>86</v>
      </c>
      <c r="F483" s="4">
        <v>55</v>
      </c>
      <c r="G483" s="4">
        <v>68</v>
      </c>
    </row>
    <row r="484" spans="1:7">
      <c r="A484" s="4" t="s">
        <v>717</v>
      </c>
      <c r="B484" s="4" t="s">
        <v>645</v>
      </c>
      <c r="C484" s="4">
        <v>85</v>
      </c>
      <c r="D484" s="4">
        <v>93</v>
      </c>
      <c r="E484" s="4">
        <v>70</v>
      </c>
      <c r="F484" s="4">
        <v>62</v>
      </c>
      <c r="G484" s="4">
        <v>66</v>
      </c>
    </row>
    <row r="485" spans="1:7">
      <c r="A485" s="4" t="s">
        <v>707</v>
      </c>
      <c r="B485" s="4" t="s">
        <v>723</v>
      </c>
      <c r="C485" s="4">
        <v>91</v>
      </c>
      <c r="D485" s="4">
        <v>61</v>
      </c>
      <c r="E485" s="5">
        <v>85.5</v>
      </c>
      <c r="F485" s="4">
        <v>62</v>
      </c>
      <c r="G485" s="4">
        <v>76</v>
      </c>
    </row>
    <row r="486" spans="1:7">
      <c r="A486" s="4" t="s">
        <v>709</v>
      </c>
      <c r="B486" s="4" t="s">
        <v>159</v>
      </c>
      <c r="C486" s="4">
        <v>86</v>
      </c>
      <c r="D486" s="4">
        <v>91</v>
      </c>
      <c r="E486" s="5">
        <v>65.5</v>
      </c>
      <c r="F486" s="4">
        <v>70</v>
      </c>
      <c r="G486" s="4">
        <v>62</v>
      </c>
    </row>
    <row r="487" spans="1:7">
      <c r="A487" s="4" t="s">
        <v>715</v>
      </c>
      <c r="B487" s="4" t="s">
        <v>584</v>
      </c>
      <c r="C487" s="4">
        <v>75</v>
      </c>
      <c r="D487" s="4">
        <v>88</v>
      </c>
      <c r="E487" s="5">
        <v>80.5</v>
      </c>
      <c r="F487" s="4">
        <v>57</v>
      </c>
      <c r="G487" s="4">
        <v>74</v>
      </c>
    </row>
    <row r="488" spans="1:7">
      <c r="A488" s="4" t="s">
        <v>706</v>
      </c>
      <c r="B488" s="4" t="s">
        <v>195</v>
      </c>
      <c r="C488" s="4">
        <v>93</v>
      </c>
      <c r="D488" s="4">
        <v>48</v>
      </c>
      <c r="E488" s="5">
        <v>95.5</v>
      </c>
      <c r="F488" s="4">
        <v>60</v>
      </c>
      <c r="G488" s="4">
        <v>78</v>
      </c>
    </row>
    <row r="489" spans="1:7">
      <c r="A489" s="4" t="s">
        <v>710</v>
      </c>
      <c r="B489" s="4" t="s">
        <v>36</v>
      </c>
      <c r="C489" s="4">
        <v>80</v>
      </c>
      <c r="D489" s="4">
        <v>86</v>
      </c>
      <c r="E489" s="5">
        <v>74.5</v>
      </c>
      <c r="F489" s="4">
        <v>54</v>
      </c>
      <c r="G489" s="4">
        <v>80</v>
      </c>
    </row>
    <row r="490" spans="1:7">
      <c r="A490" s="4" t="s">
        <v>708</v>
      </c>
      <c r="B490" s="4" t="s">
        <v>97</v>
      </c>
      <c r="C490" s="4">
        <v>89</v>
      </c>
      <c r="D490" s="4">
        <v>51</v>
      </c>
      <c r="E490" s="5">
        <v>97.5</v>
      </c>
      <c r="F490" s="4">
        <v>77</v>
      </c>
      <c r="G490" s="4">
        <v>60</v>
      </c>
    </row>
    <row r="491" spans="1:7">
      <c r="A491" s="4" t="s">
        <v>699</v>
      </c>
      <c r="B491" s="4" t="s">
        <v>394</v>
      </c>
      <c r="C491" s="4">
        <v>94</v>
      </c>
      <c r="D491" s="4">
        <v>68</v>
      </c>
      <c r="E491" s="5">
        <v>81.5</v>
      </c>
      <c r="F491" s="4">
        <v>54</v>
      </c>
      <c r="G491" s="4">
        <v>76</v>
      </c>
    </row>
    <row r="492" spans="1:7">
      <c r="A492" s="4" t="s">
        <v>712</v>
      </c>
      <c r="B492" s="4" t="s">
        <v>63</v>
      </c>
      <c r="C492" s="4">
        <v>87</v>
      </c>
      <c r="D492" s="4">
        <v>70</v>
      </c>
      <c r="E492" s="4">
        <v>91</v>
      </c>
      <c r="F492" s="4">
        <v>53</v>
      </c>
      <c r="G492" s="4">
        <v>72</v>
      </c>
    </row>
    <row r="493" spans="1:7">
      <c r="A493" s="4" t="s">
        <v>716</v>
      </c>
      <c r="B493" s="4" t="s">
        <v>557</v>
      </c>
      <c r="C493" s="4">
        <v>83</v>
      </c>
      <c r="D493" s="4">
        <v>82</v>
      </c>
      <c r="E493" s="4">
        <v>99</v>
      </c>
      <c r="F493" s="4">
        <v>45</v>
      </c>
      <c r="G493" s="4">
        <v>64</v>
      </c>
    </row>
    <row r="494" spans="1:7">
      <c r="A494" s="4" t="s">
        <v>715</v>
      </c>
      <c r="B494" s="4" t="s">
        <v>610</v>
      </c>
      <c r="C494" s="4">
        <v>84</v>
      </c>
      <c r="D494" s="4">
        <v>72</v>
      </c>
      <c r="E494" s="4">
        <v>84</v>
      </c>
      <c r="F494" s="4">
        <v>69</v>
      </c>
      <c r="G494" s="4">
        <v>64</v>
      </c>
    </row>
    <row r="495" spans="1:7">
      <c r="A495" s="4" t="s">
        <v>714</v>
      </c>
      <c r="B495" s="4" t="s">
        <v>675</v>
      </c>
      <c r="C495" s="4">
        <v>88</v>
      </c>
      <c r="D495" s="4">
        <v>96</v>
      </c>
      <c r="E495" s="4">
        <v>62</v>
      </c>
      <c r="F495" s="4">
        <v>68</v>
      </c>
      <c r="G495" s="4">
        <v>59</v>
      </c>
    </row>
    <row r="496" spans="1:7">
      <c r="A496" s="4" t="s">
        <v>712</v>
      </c>
      <c r="B496" s="4" t="s">
        <v>82</v>
      </c>
      <c r="C496" s="4">
        <v>81</v>
      </c>
      <c r="D496" s="4">
        <v>77</v>
      </c>
      <c r="E496" s="5">
        <v>91.5</v>
      </c>
      <c r="F496" s="4">
        <v>69</v>
      </c>
      <c r="G496" s="4">
        <v>54</v>
      </c>
    </row>
    <row r="497" spans="1:7">
      <c r="A497" s="4" t="s">
        <v>714</v>
      </c>
      <c r="B497" s="4" t="s">
        <v>692</v>
      </c>
      <c r="C497" s="4">
        <v>86</v>
      </c>
      <c r="D497" s="4">
        <v>71</v>
      </c>
      <c r="E497" s="4">
        <v>73</v>
      </c>
      <c r="F497" s="4">
        <v>69</v>
      </c>
      <c r="G497" s="4">
        <v>73</v>
      </c>
    </row>
    <row r="498" spans="1:7">
      <c r="A498" s="4" t="s">
        <v>708</v>
      </c>
      <c r="B498" s="4" t="s">
        <v>124</v>
      </c>
      <c r="C498" s="4">
        <v>92</v>
      </c>
      <c r="D498" s="4">
        <v>61</v>
      </c>
      <c r="E498" s="4">
        <v>94</v>
      </c>
      <c r="F498" s="4">
        <v>56</v>
      </c>
      <c r="G498" s="4">
        <v>69</v>
      </c>
    </row>
    <row r="499" spans="1:7">
      <c r="A499" s="4" t="s">
        <v>708</v>
      </c>
      <c r="B499" s="4" t="s">
        <v>125</v>
      </c>
      <c r="C499" s="4">
        <v>82</v>
      </c>
      <c r="D499" s="4">
        <v>85</v>
      </c>
      <c r="E499" s="4">
        <v>73</v>
      </c>
      <c r="F499" s="4">
        <v>72</v>
      </c>
      <c r="G499" s="4">
        <v>60</v>
      </c>
    </row>
    <row r="500" spans="1:7">
      <c r="A500" s="4" t="s">
        <v>716</v>
      </c>
      <c r="B500" s="4" t="s">
        <v>548</v>
      </c>
      <c r="C500" s="4">
        <v>80</v>
      </c>
      <c r="D500" s="4">
        <v>65</v>
      </c>
      <c r="E500" s="5">
        <v>85.5</v>
      </c>
      <c r="F500" s="4">
        <v>65</v>
      </c>
      <c r="G500" s="4">
        <v>76</v>
      </c>
    </row>
    <row r="501" spans="1:7">
      <c r="A501" s="4" t="s">
        <v>709</v>
      </c>
      <c r="B501" s="4" t="s">
        <v>173</v>
      </c>
      <c r="C501" s="4">
        <v>81</v>
      </c>
      <c r="D501" s="4">
        <v>63</v>
      </c>
      <c r="E501" s="5">
        <v>71.5</v>
      </c>
      <c r="F501" s="4">
        <v>77</v>
      </c>
      <c r="G501" s="4">
        <v>79</v>
      </c>
    </row>
    <row r="502" spans="1:7">
      <c r="A502" s="4" t="s">
        <v>714</v>
      </c>
      <c r="B502" s="4" t="s">
        <v>676</v>
      </c>
      <c r="C502" s="4">
        <v>81</v>
      </c>
      <c r="D502" s="4">
        <v>88</v>
      </c>
      <c r="E502" s="5">
        <v>78.5</v>
      </c>
      <c r="F502" s="4">
        <v>62</v>
      </c>
      <c r="G502" s="4">
        <v>62</v>
      </c>
    </row>
    <row r="503" spans="1:7">
      <c r="A503" s="4" t="s">
        <v>711</v>
      </c>
      <c r="B503" s="4" t="s">
        <v>252</v>
      </c>
      <c r="C503" s="4">
        <v>80</v>
      </c>
      <c r="D503" s="4">
        <v>59</v>
      </c>
      <c r="E503" s="4">
        <v>89</v>
      </c>
      <c r="F503" s="4">
        <v>71</v>
      </c>
      <c r="G503" s="4">
        <v>72</v>
      </c>
    </row>
    <row r="504" spans="1:7">
      <c r="A504" s="4" t="s">
        <v>716</v>
      </c>
      <c r="B504" s="4" t="s">
        <v>549</v>
      </c>
      <c r="C504" s="4">
        <v>89</v>
      </c>
      <c r="D504" s="4">
        <v>77</v>
      </c>
      <c r="E504" s="5">
        <v>72.5</v>
      </c>
      <c r="F504" s="4">
        <v>59</v>
      </c>
      <c r="G504" s="4">
        <v>73</v>
      </c>
    </row>
    <row r="505" spans="1:7">
      <c r="A505" s="4" t="s">
        <v>706</v>
      </c>
      <c r="B505" s="4" t="s">
        <v>190</v>
      </c>
      <c r="C505" s="4">
        <v>83</v>
      </c>
      <c r="D505" s="4">
        <v>76</v>
      </c>
      <c r="E505" s="5">
        <v>85.5</v>
      </c>
      <c r="F505" s="4">
        <v>47</v>
      </c>
      <c r="G505" s="4">
        <v>79</v>
      </c>
    </row>
    <row r="506" spans="1:7">
      <c r="A506" s="4" t="s">
        <v>714</v>
      </c>
      <c r="B506" s="4" t="s">
        <v>681</v>
      </c>
      <c r="C506" s="4">
        <v>86</v>
      </c>
      <c r="D506" s="4">
        <v>73</v>
      </c>
      <c r="E506" s="5">
        <v>65.5</v>
      </c>
      <c r="F506" s="4">
        <v>65</v>
      </c>
      <c r="G506" s="4">
        <v>81</v>
      </c>
    </row>
    <row r="507" spans="1:7">
      <c r="A507" s="4" t="s">
        <v>715</v>
      </c>
      <c r="B507" s="4" t="s">
        <v>614</v>
      </c>
      <c r="C507" s="4">
        <v>76</v>
      </c>
      <c r="D507" s="4">
        <v>85</v>
      </c>
      <c r="E507" s="4">
        <v>93</v>
      </c>
      <c r="F507" s="4">
        <v>61</v>
      </c>
      <c r="G507" s="4">
        <v>55</v>
      </c>
    </row>
    <row r="508" spans="1:7">
      <c r="A508" s="4" t="s">
        <v>712</v>
      </c>
      <c r="B508" s="4" t="s">
        <v>86</v>
      </c>
      <c r="C508" s="4">
        <v>99</v>
      </c>
      <c r="D508" s="4">
        <v>68</v>
      </c>
      <c r="E508" s="4">
        <v>80</v>
      </c>
      <c r="F508" s="4">
        <v>48</v>
      </c>
      <c r="G508" s="4">
        <v>74</v>
      </c>
    </row>
    <row r="509" spans="1:7">
      <c r="A509" s="4" t="s">
        <v>707</v>
      </c>
      <c r="B509" s="4" t="s">
        <v>332</v>
      </c>
      <c r="C509" s="4">
        <v>82</v>
      </c>
      <c r="D509" s="4">
        <v>86</v>
      </c>
      <c r="E509" s="5">
        <v>54.5</v>
      </c>
      <c r="F509" s="4">
        <v>62</v>
      </c>
      <c r="G509" s="4">
        <v>84</v>
      </c>
    </row>
    <row r="510" spans="1:7">
      <c r="A510" s="4" t="s">
        <v>708</v>
      </c>
      <c r="B510" s="4" t="s">
        <v>111</v>
      </c>
      <c r="C510" s="4">
        <v>91</v>
      </c>
      <c r="D510" s="4">
        <v>75</v>
      </c>
      <c r="E510" s="4">
        <v>70</v>
      </c>
      <c r="F510" s="4">
        <v>64</v>
      </c>
      <c r="G510" s="4">
        <v>68</v>
      </c>
    </row>
    <row r="511" spans="1:7">
      <c r="A511" s="4" t="s">
        <v>714</v>
      </c>
      <c r="B511" s="4" t="s">
        <v>663</v>
      </c>
      <c r="C511" s="4">
        <v>82</v>
      </c>
      <c r="D511" s="4">
        <v>49</v>
      </c>
      <c r="E511" s="5">
        <v>101.5</v>
      </c>
      <c r="F511" s="4">
        <v>68</v>
      </c>
      <c r="G511" s="4">
        <v>67</v>
      </c>
    </row>
    <row r="512" spans="1:7">
      <c r="A512" s="4" t="s">
        <v>715</v>
      </c>
      <c r="B512" s="4" t="s">
        <v>594</v>
      </c>
      <c r="C512" s="4">
        <v>83</v>
      </c>
      <c r="D512" s="4">
        <v>70</v>
      </c>
      <c r="E512" s="4">
        <v>83</v>
      </c>
      <c r="F512" s="4">
        <v>62</v>
      </c>
      <c r="G512" s="4">
        <v>69</v>
      </c>
    </row>
    <row r="513" spans="1:7">
      <c r="A513" s="4" t="s">
        <v>706</v>
      </c>
      <c r="B513" s="4" t="s">
        <v>192</v>
      </c>
      <c r="C513" s="4">
        <v>85</v>
      </c>
      <c r="D513" s="4">
        <v>61</v>
      </c>
      <c r="E513" s="4">
        <v>86</v>
      </c>
      <c r="F513" s="4">
        <v>73</v>
      </c>
      <c r="G513" s="4">
        <v>62</v>
      </c>
    </row>
    <row r="514" spans="1:7">
      <c r="A514" s="4" t="s">
        <v>706</v>
      </c>
      <c r="B514" s="4" t="s">
        <v>204</v>
      </c>
      <c r="C514" s="4">
        <v>90</v>
      </c>
      <c r="D514" s="4">
        <v>51</v>
      </c>
      <c r="E514" s="4">
        <v>99</v>
      </c>
      <c r="F514" s="4">
        <v>47</v>
      </c>
      <c r="G514" s="4">
        <v>80</v>
      </c>
    </row>
    <row r="515" spans="1:7">
      <c r="A515" s="4" t="s">
        <v>712</v>
      </c>
      <c r="B515" s="4" t="s">
        <v>49</v>
      </c>
      <c r="C515" s="4">
        <v>79</v>
      </c>
      <c r="D515" s="4">
        <v>85</v>
      </c>
      <c r="E515" s="4">
        <v>93</v>
      </c>
      <c r="F515" s="4">
        <v>50</v>
      </c>
      <c r="G515" s="4">
        <v>58</v>
      </c>
    </row>
    <row r="516" spans="1:7">
      <c r="A516" s="4" t="s">
        <v>706</v>
      </c>
      <c r="B516" s="4" t="s">
        <v>209</v>
      </c>
      <c r="C516" s="4">
        <v>80</v>
      </c>
      <c r="D516" s="4">
        <v>76</v>
      </c>
      <c r="E516" s="4">
        <v>67</v>
      </c>
      <c r="F516" s="4">
        <v>64</v>
      </c>
      <c r="G516" s="4">
        <v>77</v>
      </c>
    </row>
    <row r="517" spans="1:7">
      <c r="A517" s="4" t="s">
        <v>708</v>
      </c>
      <c r="B517" s="4" t="s">
        <v>103</v>
      </c>
      <c r="C517" s="4">
        <v>72</v>
      </c>
      <c r="D517" s="4">
        <v>93</v>
      </c>
      <c r="E517" s="5">
        <v>78.5</v>
      </c>
      <c r="F517" s="4">
        <v>65</v>
      </c>
      <c r="G517" s="4">
        <v>55</v>
      </c>
    </row>
    <row r="518" spans="1:7">
      <c r="A518" s="4" t="s">
        <v>710</v>
      </c>
      <c r="B518" s="4" t="s">
        <v>14</v>
      </c>
      <c r="C518" s="4">
        <v>75</v>
      </c>
      <c r="D518" s="4">
        <v>63</v>
      </c>
      <c r="E518" s="4">
        <v>81</v>
      </c>
      <c r="F518" s="4">
        <v>64</v>
      </c>
      <c r="G518" s="4">
        <v>80</v>
      </c>
    </row>
    <row r="519" spans="1:7">
      <c r="A519" s="4" t="s">
        <v>708</v>
      </c>
      <c r="B519" s="4" t="s">
        <v>115</v>
      </c>
      <c r="C519" s="4">
        <v>85</v>
      </c>
      <c r="D519" s="4">
        <v>52</v>
      </c>
      <c r="E519" s="4">
        <v>76</v>
      </c>
      <c r="F519" s="4">
        <v>81</v>
      </c>
      <c r="G519" s="4">
        <v>68</v>
      </c>
    </row>
    <row r="520" spans="1:7">
      <c r="A520" s="4" t="s">
        <v>716</v>
      </c>
      <c r="B520" s="4" t="s">
        <v>540</v>
      </c>
      <c r="C520" s="4">
        <v>96</v>
      </c>
      <c r="D520" s="4">
        <v>38</v>
      </c>
      <c r="E520" s="4">
        <v>87</v>
      </c>
      <c r="F520" s="4">
        <v>72</v>
      </c>
      <c r="G520" s="4">
        <v>68</v>
      </c>
    </row>
    <row r="521" spans="1:7">
      <c r="A521" s="4" t="s">
        <v>709</v>
      </c>
      <c r="B521" s="4" t="s">
        <v>135</v>
      </c>
      <c r="C521" s="4">
        <v>82</v>
      </c>
      <c r="D521" s="4">
        <v>61</v>
      </c>
      <c r="E521" s="5">
        <v>80.5</v>
      </c>
      <c r="F521" s="4">
        <v>59</v>
      </c>
      <c r="G521" s="4">
        <v>78</v>
      </c>
    </row>
    <row r="522" spans="1:7">
      <c r="A522" s="4" t="s">
        <v>714</v>
      </c>
      <c r="B522" s="4" t="s">
        <v>677</v>
      </c>
      <c r="C522" s="4">
        <v>83</v>
      </c>
      <c r="D522" s="4">
        <v>53</v>
      </c>
      <c r="E522" s="4">
        <v>91</v>
      </c>
      <c r="F522" s="4">
        <v>65</v>
      </c>
      <c r="G522" s="4">
        <v>68</v>
      </c>
    </row>
    <row r="523" spans="1:7">
      <c r="A523" s="4" t="s">
        <v>712</v>
      </c>
      <c r="B523" s="4" t="s">
        <v>50</v>
      </c>
      <c r="C523" s="4">
        <v>94</v>
      </c>
      <c r="D523" s="4">
        <v>63</v>
      </c>
      <c r="E523" s="5">
        <v>72.5</v>
      </c>
      <c r="F523" s="4">
        <v>74</v>
      </c>
      <c r="G523" s="4">
        <v>56</v>
      </c>
    </row>
    <row r="524" spans="1:7">
      <c r="A524" s="4" t="s">
        <v>714</v>
      </c>
      <c r="B524" s="4" t="s">
        <v>682</v>
      </c>
      <c r="C524" s="4">
        <v>77</v>
      </c>
      <c r="D524" s="4">
        <v>65</v>
      </c>
      <c r="E524" s="5">
        <v>77.5</v>
      </c>
      <c r="F524" s="4">
        <v>59</v>
      </c>
      <c r="G524" s="4">
        <v>81</v>
      </c>
    </row>
    <row r="525" spans="1:7">
      <c r="A525" s="4" t="s">
        <v>714</v>
      </c>
      <c r="B525" s="4" t="s">
        <v>686</v>
      </c>
      <c r="C525" s="4">
        <v>81</v>
      </c>
      <c r="D525" s="4">
        <v>64</v>
      </c>
      <c r="E525" s="5">
        <v>82.5</v>
      </c>
      <c r="F525" s="4">
        <v>71</v>
      </c>
      <c r="G525" s="4">
        <v>61</v>
      </c>
    </row>
    <row r="526" spans="1:7">
      <c r="A526" s="4" t="s">
        <v>709</v>
      </c>
      <c r="B526" s="4" t="s">
        <v>155</v>
      </c>
      <c r="C526" s="4">
        <v>85</v>
      </c>
      <c r="D526" s="4">
        <v>69</v>
      </c>
      <c r="E526" s="5">
        <v>94.5</v>
      </c>
      <c r="F526" s="4">
        <v>54</v>
      </c>
      <c r="G526" s="4">
        <v>56</v>
      </c>
    </row>
    <row r="527" spans="1:7">
      <c r="A527" s="4" t="s">
        <v>717</v>
      </c>
      <c r="B527" s="4" t="s">
        <v>615</v>
      </c>
      <c r="C527" s="4">
        <v>78</v>
      </c>
      <c r="D527" s="4">
        <v>72</v>
      </c>
      <c r="E527" s="4">
        <v>84</v>
      </c>
      <c r="F527" s="4">
        <v>60</v>
      </c>
      <c r="G527" s="4">
        <v>64</v>
      </c>
    </row>
    <row r="528" spans="1:7">
      <c r="A528" s="4" t="s">
        <v>711</v>
      </c>
      <c r="B528" s="4" t="s">
        <v>253</v>
      </c>
      <c r="C528" s="4">
        <v>80</v>
      </c>
      <c r="D528" s="4">
        <v>65</v>
      </c>
      <c r="E528" s="5">
        <v>65.5</v>
      </c>
      <c r="F528" s="4">
        <v>74</v>
      </c>
      <c r="G528" s="4">
        <v>73</v>
      </c>
    </row>
    <row r="529" spans="1:7">
      <c r="A529" s="4" t="s">
        <v>714</v>
      </c>
      <c r="B529" s="4" t="s">
        <v>659</v>
      </c>
      <c r="C529" s="4">
        <v>85</v>
      </c>
      <c r="D529" s="4">
        <v>60</v>
      </c>
      <c r="E529" s="4">
        <v>76</v>
      </c>
      <c r="F529" s="4">
        <v>62</v>
      </c>
      <c r="G529" s="4">
        <v>74</v>
      </c>
    </row>
    <row r="530" spans="1:7">
      <c r="A530" s="4" t="s">
        <v>715</v>
      </c>
      <c r="B530" s="4" t="s">
        <v>599</v>
      </c>
      <c r="C530" s="4">
        <v>84</v>
      </c>
      <c r="D530" s="4">
        <v>77</v>
      </c>
      <c r="E530" s="4">
        <v>77</v>
      </c>
      <c r="F530" s="4">
        <v>60</v>
      </c>
      <c r="G530" s="4">
        <v>58</v>
      </c>
    </row>
    <row r="531" spans="1:7">
      <c r="A531" s="4" t="s">
        <v>712</v>
      </c>
      <c r="B531" s="4" t="s">
        <v>55</v>
      </c>
      <c r="C531" s="4">
        <v>80</v>
      </c>
      <c r="D531" s="4">
        <v>78</v>
      </c>
      <c r="E531" s="4">
        <v>89</v>
      </c>
      <c r="F531" s="4">
        <v>51</v>
      </c>
      <c r="G531" s="4">
        <v>57</v>
      </c>
    </row>
    <row r="532" spans="1:7">
      <c r="A532" s="4" t="s">
        <v>709</v>
      </c>
      <c r="B532" s="4" t="s">
        <v>134</v>
      </c>
      <c r="C532" s="4">
        <v>78</v>
      </c>
      <c r="D532" s="4">
        <v>75</v>
      </c>
      <c r="E532" s="4">
        <v>86</v>
      </c>
      <c r="F532" s="4">
        <v>51</v>
      </c>
      <c r="G532" s="4">
        <v>65</v>
      </c>
    </row>
    <row r="533" spans="1:7">
      <c r="A533" s="4" t="s">
        <v>709</v>
      </c>
      <c r="B533" s="4" t="s">
        <v>151</v>
      </c>
      <c r="C533" s="4">
        <v>84</v>
      </c>
      <c r="D533" s="4">
        <v>68</v>
      </c>
      <c r="E533" s="4">
        <v>101</v>
      </c>
      <c r="F533" s="4">
        <v>57</v>
      </c>
      <c r="G533" s="4">
        <v>45</v>
      </c>
    </row>
    <row r="534" spans="1:7">
      <c r="A534" s="4" t="s">
        <v>710</v>
      </c>
      <c r="B534" s="4" t="s">
        <v>18</v>
      </c>
      <c r="C534" s="4">
        <v>94</v>
      </c>
      <c r="D534" s="4">
        <v>35</v>
      </c>
      <c r="E534" s="4">
        <v>87</v>
      </c>
      <c r="F534" s="4">
        <v>60</v>
      </c>
      <c r="G534" s="4">
        <v>78</v>
      </c>
    </row>
    <row r="535" spans="1:7">
      <c r="A535" s="4" t="s">
        <v>709</v>
      </c>
      <c r="B535" s="4" t="s">
        <v>142</v>
      </c>
      <c r="C535" s="4">
        <v>88</v>
      </c>
      <c r="D535" s="4">
        <v>67</v>
      </c>
      <c r="E535" s="5">
        <v>85.5</v>
      </c>
      <c r="F535" s="4">
        <v>44</v>
      </c>
      <c r="G535" s="4">
        <v>69</v>
      </c>
    </row>
    <row r="536" spans="1:7">
      <c r="A536" s="4" t="s">
        <v>715</v>
      </c>
      <c r="B536" s="4" t="s">
        <v>604</v>
      </c>
      <c r="C536" s="4">
        <v>85</v>
      </c>
      <c r="D536" s="4">
        <v>72</v>
      </c>
      <c r="E536" s="4">
        <v>76</v>
      </c>
      <c r="F536" s="4">
        <v>50</v>
      </c>
      <c r="G536" s="4">
        <v>70</v>
      </c>
    </row>
    <row r="537" spans="1:7">
      <c r="A537" s="4" t="s">
        <v>715</v>
      </c>
      <c r="B537" s="4" t="s">
        <v>573</v>
      </c>
      <c r="C537" s="4">
        <v>76</v>
      </c>
      <c r="D537" s="4">
        <v>84</v>
      </c>
      <c r="E537" s="5">
        <v>58.5</v>
      </c>
      <c r="F537" s="4">
        <v>68</v>
      </c>
      <c r="G537" s="4">
        <v>66</v>
      </c>
    </row>
    <row r="538" spans="1:7">
      <c r="A538" s="4" t="s">
        <v>716</v>
      </c>
      <c r="B538" s="4" t="s">
        <v>544</v>
      </c>
      <c r="C538" s="4">
        <v>95</v>
      </c>
      <c r="D538" s="4">
        <v>56</v>
      </c>
      <c r="E538" s="4">
        <v>58</v>
      </c>
      <c r="F538" s="4">
        <v>67</v>
      </c>
      <c r="G538" s="4">
        <v>76</v>
      </c>
    </row>
    <row r="539" spans="1:7">
      <c r="A539" s="4" t="s">
        <v>708</v>
      </c>
      <c r="B539" s="4" t="s">
        <v>129</v>
      </c>
      <c r="C539" s="4">
        <v>84</v>
      </c>
      <c r="D539" s="4">
        <v>47</v>
      </c>
      <c r="E539" s="4">
        <v>80</v>
      </c>
      <c r="F539" s="4">
        <v>70</v>
      </c>
      <c r="G539" s="4">
        <v>71</v>
      </c>
    </row>
    <row r="540" spans="1:7">
      <c r="A540" s="4" t="s">
        <v>705</v>
      </c>
      <c r="B540" s="4" t="s">
        <v>510</v>
      </c>
      <c r="C540" s="4">
        <v>82</v>
      </c>
      <c r="D540" s="4">
        <v>51</v>
      </c>
      <c r="E540" s="5">
        <v>96.5</v>
      </c>
      <c r="F540" s="4">
        <v>62</v>
      </c>
      <c r="G540" s="4">
        <v>60</v>
      </c>
    </row>
    <row r="541" spans="1:7">
      <c r="A541" s="4" t="s">
        <v>709</v>
      </c>
      <c r="B541" s="4" t="s">
        <v>163</v>
      </c>
      <c r="C541" s="4">
        <v>86</v>
      </c>
      <c r="D541" s="4">
        <v>69</v>
      </c>
      <c r="E541" s="5">
        <v>78.5</v>
      </c>
      <c r="F541" s="4">
        <v>48</v>
      </c>
      <c r="G541" s="4">
        <v>70</v>
      </c>
    </row>
    <row r="542" spans="1:7">
      <c r="A542" s="4" t="s">
        <v>715</v>
      </c>
      <c r="B542" s="4" t="s">
        <v>582</v>
      </c>
      <c r="C542" s="4">
        <v>73</v>
      </c>
      <c r="D542" s="4">
        <v>64</v>
      </c>
      <c r="E542" s="5">
        <v>77.5</v>
      </c>
      <c r="F542" s="4">
        <v>70</v>
      </c>
      <c r="G542" s="4">
        <v>67</v>
      </c>
    </row>
    <row r="543" spans="1:7">
      <c r="A543" s="4" t="s">
        <v>712</v>
      </c>
      <c r="B543" s="4" t="s">
        <v>68</v>
      </c>
      <c r="C543" s="4">
        <v>89</v>
      </c>
      <c r="D543" s="4">
        <v>50</v>
      </c>
      <c r="E543" s="5">
        <v>78.5</v>
      </c>
      <c r="F543" s="4">
        <v>59</v>
      </c>
      <c r="G543" s="4">
        <v>74</v>
      </c>
    </row>
    <row r="544" spans="1:7">
      <c r="A544" s="4" t="s">
        <v>708</v>
      </c>
      <c r="B544" s="4" t="s">
        <v>95</v>
      </c>
      <c r="C544" s="4">
        <v>89</v>
      </c>
      <c r="D544" s="4">
        <v>65</v>
      </c>
      <c r="E544" s="5">
        <v>69.5</v>
      </c>
      <c r="F544" s="4">
        <v>66</v>
      </c>
      <c r="G544" s="4">
        <v>61</v>
      </c>
    </row>
    <row r="545" spans="1:7">
      <c r="A545" s="4" t="s">
        <v>715</v>
      </c>
      <c r="B545" s="4" t="s">
        <v>574</v>
      </c>
      <c r="C545" s="4">
        <v>85</v>
      </c>
      <c r="D545" s="4">
        <v>60</v>
      </c>
      <c r="E545" s="5">
        <v>80.5</v>
      </c>
      <c r="F545" s="4">
        <v>52</v>
      </c>
      <c r="G545" s="4">
        <v>72</v>
      </c>
    </row>
    <row r="546" spans="1:7">
      <c r="A546" s="4" t="s">
        <v>710</v>
      </c>
      <c r="B546" s="4" t="s">
        <v>11</v>
      </c>
      <c r="C546" s="4">
        <v>82</v>
      </c>
      <c r="D546" s="4">
        <v>72</v>
      </c>
      <c r="E546" s="4">
        <v>83</v>
      </c>
      <c r="F546" s="4">
        <v>47</v>
      </c>
      <c r="G546" s="4">
        <v>65</v>
      </c>
    </row>
    <row r="547" spans="1:7">
      <c r="A547" s="4" t="s">
        <v>708</v>
      </c>
      <c r="B547" s="4" t="s">
        <v>121</v>
      </c>
      <c r="C547" s="4">
        <v>79</v>
      </c>
      <c r="D547" s="4">
        <v>82</v>
      </c>
      <c r="E547" s="5">
        <v>97.5</v>
      </c>
      <c r="F547" s="4">
        <v>39</v>
      </c>
      <c r="G547" s="4">
        <v>50</v>
      </c>
    </row>
    <row r="548" spans="1:7">
      <c r="A548" s="4" t="s">
        <v>714</v>
      </c>
      <c r="B548" s="4" t="s">
        <v>658</v>
      </c>
      <c r="C548" s="4">
        <v>82</v>
      </c>
      <c r="D548" s="4">
        <v>60</v>
      </c>
      <c r="E548" s="4">
        <v>56</v>
      </c>
      <c r="F548" s="4">
        <v>82</v>
      </c>
      <c r="G548" s="4">
        <v>67</v>
      </c>
    </row>
    <row r="549" spans="1:7">
      <c r="A549" s="4" t="s">
        <v>701</v>
      </c>
      <c r="B549" s="4" t="s">
        <v>444</v>
      </c>
      <c r="C549" s="4">
        <v>87</v>
      </c>
      <c r="D549" s="4">
        <v>53</v>
      </c>
      <c r="E549" s="4">
        <v>99</v>
      </c>
      <c r="F549" s="4">
        <v>46</v>
      </c>
      <c r="G549" s="4">
        <v>62</v>
      </c>
    </row>
    <row r="550" spans="1:7">
      <c r="A550" s="4" t="s">
        <v>715</v>
      </c>
      <c r="B550" s="4" t="s">
        <v>581</v>
      </c>
      <c r="C550" s="4">
        <v>77</v>
      </c>
      <c r="D550" s="4">
        <v>47</v>
      </c>
      <c r="E550" s="4">
        <v>79</v>
      </c>
      <c r="F550" s="4">
        <v>62</v>
      </c>
      <c r="G550" s="4">
        <v>81</v>
      </c>
    </row>
    <row r="551" spans="1:7">
      <c r="A551" s="4" t="s">
        <v>714</v>
      </c>
      <c r="B551" s="4" t="s">
        <v>693</v>
      </c>
      <c r="C551" s="4">
        <v>84</v>
      </c>
      <c r="D551" s="4">
        <v>75</v>
      </c>
      <c r="E551" s="4">
        <v>63</v>
      </c>
      <c r="F551" s="4">
        <v>71</v>
      </c>
      <c r="G551" s="4">
        <v>53</v>
      </c>
    </row>
    <row r="552" spans="1:7">
      <c r="A552" s="4" t="s">
        <v>706</v>
      </c>
      <c r="B552" s="4" t="s">
        <v>187</v>
      </c>
      <c r="C552" s="4">
        <v>93</v>
      </c>
      <c r="D552" s="4">
        <v>40</v>
      </c>
      <c r="E552" s="5">
        <v>79.5</v>
      </c>
      <c r="F552" s="4">
        <v>51</v>
      </c>
      <c r="G552" s="4">
        <v>82</v>
      </c>
    </row>
    <row r="553" spans="1:7">
      <c r="A553" s="4" t="s">
        <v>710</v>
      </c>
      <c r="B553" s="4" t="s">
        <v>42</v>
      </c>
      <c r="C553" s="4">
        <v>85</v>
      </c>
      <c r="D553" s="4">
        <v>71</v>
      </c>
      <c r="E553" s="5">
        <v>66.5</v>
      </c>
      <c r="F553" s="4">
        <v>54</v>
      </c>
      <c r="G553" s="4">
        <v>69</v>
      </c>
    </row>
    <row r="554" spans="1:7">
      <c r="A554" s="4" t="s">
        <v>716</v>
      </c>
      <c r="B554" s="4" t="s">
        <v>724</v>
      </c>
      <c r="C554" s="4">
        <v>89</v>
      </c>
      <c r="D554" s="4">
        <v>82</v>
      </c>
      <c r="E554" s="5">
        <v>38.5</v>
      </c>
      <c r="F554" s="4">
        <v>72</v>
      </c>
      <c r="G554" s="4">
        <v>63</v>
      </c>
    </row>
    <row r="555" spans="1:7">
      <c r="A555" s="4" t="s">
        <v>717</v>
      </c>
      <c r="B555" s="4" t="s">
        <v>646</v>
      </c>
      <c r="C555" s="4">
        <v>71</v>
      </c>
      <c r="D555" s="4">
        <v>73</v>
      </c>
      <c r="E555" s="5">
        <v>71.5</v>
      </c>
      <c r="F555" s="4">
        <v>67</v>
      </c>
      <c r="G555" s="4">
        <v>62</v>
      </c>
    </row>
    <row r="556" spans="1:7">
      <c r="A556" s="4" t="s">
        <v>703</v>
      </c>
      <c r="B556" s="4" t="s">
        <v>492</v>
      </c>
      <c r="C556" s="4">
        <v>64</v>
      </c>
      <c r="D556" s="4">
        <v>75</v>
      </c>
      <c r="E556" s="5">
        <v>88.5</v>
      </c>
      <c r="F556" s="4">
        <v>57</v>
      </c>
      <c r="G556" s="4">
        <v>60</v>
      </c>
    </row>
    <row r="557" spans="1:7">
      <c r="A557" s="4" t="s">
        <v>711</v>
      </c>
      <c r="B557" s="4" t="s">
        <v>249</v>
      </c>
      <c r="C557" s="4">
        <v>77</v>
      </c>
      <c r="D557" s="4">
        <v>77</v>
      </c>
      <c r="E557" s="4">
        <v>87</v>
      </c>
      <c r="F557" s="4">
        <v>52</v>
      </c>
      <c r="G557" s="4">
        <v>51</v>
      </c>
    </row>
    <row r="558" spans="1:7">
      <c r="A558" s="4" t="s">
        <v>715</v>
      </c>
      <c r="B558" s="4" t="s">
        <v>590</v>
      </c>
      <c r="C558" s="4">
        <v>88</v>
      </c>
      <c r="D558" s="4">
        <v>68</v>
      </c>
      <c r="E558" s="4">
        <v>82</v>
      </c>
      <c r="F558" s="4">
        <v>46</v>
      </c>
      <c r="G558" s="4">
        <v>60</v>
      </c>
    </row>
    <row r="559" spans="1:7">
      <c r="A559" s="4" t="s">
        <v>699</v>
      </c>
      <c r="B559" s="4" t="s">
        <v>406</v>
      </c>
      <c r="C559" s="4">
        <v>85</v>
      </c>
      <c r="D559" s="4">
        <v>60</v>
      </c>
      <c r="E559" s="5">
        <v>76.5</v>
      </c>
      <c r="F559" s="4">
        <v>56</v>
      </c>
      <c r="G559" s="4">
        <v>66</v>
      </c>
    </row>
    <row r="560" spans="1:7">
      <c r="A560" s="4" t="s">
        <v>717</v>
      </c>
      <c r="B560" s="4" t="s">
        <v>651</v>
      </c>
      <c r="C560" s="4">
        <v>83</v>
      </c>
      <c r="D560" s="4">
        <v>53</v>
      </c>
      <c r="E560" s="5">
        <v>81.5</v>
      </c>
      <c r="F560" s="4">
        <v>55</v>
      </c>
      <c r="G560" s="4">
        <v>71</v>
      </c>
    </row>
    <row r="561" spans="1:7">
      <c r="A561" s="4" t="s">
        <v>717</v>
      </c>
      <c r="B561" s="4" t="s">
        <v>624</v>
      </c>
      <c r="C561" s="4">
        <v>74</v>
      </c>
      <c r="D561" s="4">
        <v>64</v>
      </c>
      <c r="E561" s="5">
        <v>87.5</v>
      </c>
      <c r="F561" s="4">
        <v>53</v>
      </c>
      <c r="G561" s="4">
        <v>64</v>
      </c>
    </row>
    <row r="562" spans="1:7">
      <c r="A562" s="4" t="s">
        <v>714</v>
      </c>
      <c r="B562" s="4" t="s">
        <v>671</v>
      </c>
      <c r="C562" s="4">
        <v>87</v>
      </c>
      <c r="D562" s="4">
        <v>43</v>
      </c>
      <c r="E562" s="5">
        <v>92.5</v>
      </c>
      <c r="F562" s="4">
        <v>71</v>
      </c>
      <c r="G562" s="4">
        <v>49</v>
      </c>
    </row>
    <row r="563" spans="1:7">
      <c r="A563" s="4" t="s">
        <v>716</v>
      </c>
      <c r="B563" s="4" t="s">
        <v>537</v>
      </c>
      <c r="C563" s="4">
        <v>95</v>
      </c>
      <c r="D563" s="4">
        <v>57</v>
      </c>
      <c r="E563" s="4">
        <v>69</v>
      </c>
      <c r="F563" s="4">
        <v>57</v>
      </c>
      <c r="G563" s="4">
        <v>64</v>
      </c>
    </row>
    <row r="564" spans="1:7">
      <c r="A564" s="4" t="s">
        <v>708</v>
      </c>
      <c r="B564" s="4" t="s">
        <v>725</v>
      </c>
      <c r="C564" s="4">
        <v>82</v>
      </c>
      <c r="D564" s="4">
        <v>63</v>
      </c>
      <c r="E564" s="4">
        <v>89</v>
      </c>
      <c r="F564" s="4">
        <v>49</v>
      </c>
      <c r="G564" s="4">
        <v>59</v>
      </c>
    </row>
    <row r="565" spans="1:7">
      <c r="A565" s="4" t="s">
        <v>715</v>
      </c>
      <c r="B565" s="4" t="s">
        <v>583</v>
      </c>
      <c r="C565" s="4">
        <v>75</v>
      </c>
      <c r="D565" s="4">
        <v>70</v>
      </c>
      <c r="E565" s="5">
        <v>73.5</v>
      </c>
      <c r="F565" s="4">
        <v>57</v>
      </c>
      <c r="G565" s="4">
        <v>66</v>
      </c>
    </row>
    <row r="566" spans="1:7">
      <c r="A566" s="4" t="s">
        <v>712</v>
      </c>
      <c r="B566" s="4" t="s">
        <v>81</v>
      </c>
      <c r="C566" s="4">
        <v>78</v>
      </c>
      <c r="D566" s="4">
        <v>55</v>
      </c>
      <c r="E566" s="4">
        <v>82</v>
      </c>
      <c r="F566" s="4">
        <v>52</v>
      </c>
      <c r="G566" s="4">
        <v>74</v>
      </c>
    </row>
    <row r="567" spans="1:7">
      <c r="A567" s="4" t="s">
        <v>699</v>
      </c>
      <c r="B567" s="4" t="s">
        <v>390</v>
      </c>
      <c r="C567" s="4">
        <v>82</v>
      </c>
      <c r="D567" s="4">
        <v>54</v>
      </c>
      <c r="E567" s="4">
        <v>85</v>
      </c>
      <c r="F567" s="4">
        <v>52</v>
      </c>
      <c r="G567" s="4">
        <v>68</v>
      </c>
    </row>
    <row r="568" spans="1:7">
      <c r="A568" s="4" t="s">
        <v>710</v>
      </c>
      <c r="B568" s="4" t="s">
        <v>20</v>
      </c>
      <c r="C568" s="4">
        <v>76</v>
      </c>
      <c r="D568" s="4">
        <v>67</v>
      </c>
      <c r="E568" s="4">
        <v>75</v>
      </c>
      <c r="F568" s="4">
        <v>68</v>
      </c>
      <c r="G568" s="4">
        <v>54</v>
      </c>
    </row>
    <row r="569" spans="1:7">
      <c r="A569" s="4" t="s">
        <v>709</v>
      </c>
      <c r="B569" s="4" t="s">
        <v>168</v>
      </c>
      <c r="C569" s="4">
        <v>74</v>
      </c>
      <c r="D569" s="4">
        <v>76</v>
      </c>
      <c r="E569" s="5">
        <v>81.5</v>
      </c>
      <c r="F569" s="4">
        <v>57</v>
      </c>
      <c r="G569" s="4">
        <v>51</v>
      </c>
    </row>
    <row r="570" spans="1:7">
      <c r="A570" s="4" t="s">
        <v>715</v>
      </c>
      <c r="B570" s="4" t="s">
        <v>588</v>
      </c>
      <c r="C570" s="4">
        <v>86</v>
      </c>
      <c r="D570" s="4">
        <v>63</v>
      </c>
      <c r="E570" s="5">
        <v>61.5</v>
      </c>
      <c r="F570" s="4">
        <v>63</v>
      </c>
      <c r="G570" s="4">
        <v>66</v>
      </c>
    </row>
    <row r="571" spans="1:7">
      <c r="A571" s="4" t="s">
        <v>715</v>
      </c>
      <c r="B571" s="4" t="s">
        <v>595</v>
      </c>
      <c r="C571" s="4">
        <v>92</v>
      </c>
      <c r="D571" s="4">
        <v>65</v>
      </c>
      <c r="E571" s="5">
        <v>40.5</v>
      </c>
      <c r="F571" s="4">
        <v>72</v>
      </c>
      <c r="G571" s="4">
        <v>69</v>
      </c>
    </row>
    <row r="572" spans="1:7">
      <c r="A572" s="4" t="s">
        <v>709</v>
      </c>
      <c r="B572" s="4" t="s">
        <v>147</v>
      </c>
      <c r="C572" s="4">
        <v>89</v>
      </c>
      <c r="D572" s="4">
        <v>57</v>
      </c>
      <c r="E572" s="5">
        <v>58.5</v>
      </c>
      <c r="F572" s="4">
        <v>71</v>
      </c>
      <c r="G572" s="4">
        <v>62</v>
      </c>
    </row>
    <row r="573" spans="1:7">
      <c r="A573" s="4" t="s">
        <v>714</v>
      </c>
      <c r="B573" s="4" t="s">
        <v>691</v>
      </c>
      <c r="C573" s="4">
        <v>71</v>
      </c>
      <c r="D573" s="4">
        <v>54</v>
      </c>
      <c r="E573" s="5">
        <v>88.5</v>
      </c>
      <c r="F573" s="4">
        <v>59</v>
      </c>
      <c r="G573" s="4">
        <v>65</v>
      </c>
    </row>
    <row r="574" spans="1:7">
      <c r="A574" s="4" t="s">
        <v>717</v>
      </c>
      <c r="B574" s="4" t="s">
        <v>641</v>
      </c>
      <c r="C574" s="4">
        <v>91</v>
      </c>
      <c r="D574" s="4">
        <v>53</v>
      </c>
      <c r="E574" s="5">
        <v>65.5</v>
      </c>
      <c r="F574" s="4">
        <v>59</v>
      </c>
      <c r="G574" s="4">
        <v>69</v>
      </c>
    </row>
    <row r="575" spans="1:7">
      <c r="A575" s="4" t="s">
        <v>717</v>
      </c>
      <c r="B575" s="4" t="s">
        <v>620</v>
      </c>
      <c r="C575" s="4">
        <v>72</v>
      </c>
      <c r="D575" s="4">
        <v>83</v>
      </c>
      <c r="E575" s="4">
        <v>57</v>
      </c>
      <c r="F575" s="4">
        <v>56</v>
      </c>
      <c r="G575" s="4">
        <v>69</v>
      </c>
    </row>
    <row r="576" spans="1:7">
      <c r="A576" s="4" t="s">
        <v>715</v>
      </c>
      <c r="B576" s="4" t="s">
        <v>577</v>
      </c>
      <c r="C576" s="4">
        <v>71</v>
      </c>
      <c r="D576" s="4">
        <v>92</v>
      </c>
      <c r="E576" s="5">
        <v>42.5</v>
      </c>
      <c r="F576" s="4">
        <v>69</v>
      </c>
      <c r="G576" s="4">
        <v>62</v>
      </c>
    </row>
    <row r="577" spans="1:7">
      <c r="A577" s="4" t="s">
        <v>714</v>
      </c>
      <c r="B577" s="4" t="s">
        <v>661</v>
      </c>
      <c r="C577" s="4">
        <v>88</v>
      </c>
      <c r="D577" s="4">
        <v>50</v>
      </c>
      <c r="E577" s="5">
        <v>75.5</v>
      </c>
      <c r="F577" s="4">
        <v>62</v>
      </c>
      <c r="G577" s="4">
        <v>61</v>
      </c>
    </row>
    <row r="578" spans="1:7">
      <c r="A578" s="4" t="s">
        <v>716</v>
      </c>
      <c r="B578" s="4" t="s">
        <v>567</v>
      </c>
      <c r="C578" s="4">
        <v>92</v>
      </c>
      <c r="D578" s="4">
        <v>65</v>
      </c>
      <c r="E578" s="4">
        <v>63</v>
      </c>
      <c r="F578" s="4">
        <v>48</v>
      </c>
      <c r="G578" s="4">
        <v>68</v>
      </c>
    </row>
    <row r="579" spans="1:7">
      <c r="A579" s="4" t="s">
        <v>710</v>
      </c>
      <c r="B579" s="4" t="s">
        <v>30</v>
      </c>
      <c r="C579" s="4">
        <v>80</v>
      </c>
      <c r="D579" s="4">
        <v>62</v>
      </c>
      <c r="E579" s="4">
        <v>76</v>
      </c>
      <c r="F579" s="4">
        <v>59</v>
      </c>
      <c r="G579" s="4">
        <v>58</v>
      </c>
    </row>
    <row r="580" spans="1:7">
      <c r="A580" s="4" t="s">
        <v>711</v>
      </c>
      <c r="B580" s="4" t="s">
        <v>232</v>
      </c>
      <c r="C580" s="4">
        <v>91</v>
      </c>
      <c r="D580" s="4">
        <v>63</v>
      </c>
      <c r="E580" s="5">
        <v>68.5</v>
      </c>
      <c r="F580" s="4">
        <v>44</v>
      </c>
      <c r="G580" s="4">
        <v>67</v>
      </c>
    </row>
    <row r="581" spans="1:7">
      <c r="A581" s="4" t="s">
        <v>709</v>
      </c>
      <c r="B581" s="4" t="s">
        <v>136</v>
      </c>
      <c r="C581" s="4">
        <v>81</v>
      </c>
      <c r="D581" s="4">
        <v>67</v>
      </c>
      <c r="E581" s="5">
        <v>97.5</v>
      </c>
      <c r="F581" s="4">
        <v>40</v>
      </c>
      <c r="G581" s="4">
        <v>48</v>
      </c>
    </row>
    <row r="582" spans="1:7">
      <c r="A582" s="4" t="s">
        <v>715</v>
      </c>
      <c r="B582" s="4" t="s">
        <v>578</v>
      </c>
      <c r="C582" s="4">
        <v>79</v>
      </c>
      <c r="D582" s="4">
        <v>48</v>
      </c>
      <c r="E582" s="5">
        <v>65.5</v>
      </c>
      <c r="F582" s="4">
        <v>57</v>
      </c>
      <c r="G582" s="4">
        <v>84</v>
      </c>
    </row>
    <row r="583" spans="1:7">
      <c r="A583" s="4" t="s">
        <v>716</v>
      </c>
      <c r="B583" s="4" t="s">
        <v>552</v>
      </c>
      <c r="C583" s="4">
        <v>80</v>
      </c>
      <c r="D583" s="4">
        <v>65</v>
      </c>
      <c r="E583" s="4">
        <v>56</v>
      </c>
      <c r="F583" s="4">
        <v>68</v>
      </c>
      <c r="G583" s="4">
        <v>64</v>
      </c>
    </row>
    <row r="584" spans="1:7">
      <c r="A584" s="4" t="s">
        <v>710</v>
      </c>
      <c r="B584" s="4" t="s">
        <v>37</v>
      </c>
      <c r="C584" s="4">
        <v>74</v>
      </c>
      <c r="D584" s="4">
        <v>73</v>
      </c>
      <c r="E584" s="4">
        <v>74</v>
      </c>
      <c r="F584" s="4">
        <v>65</v>
      </c>
      <c r="G584" s="4">
        <v>47</v>
      </c>
    </row>
    <row r="585" spans="1:7">
      <c r="A585" s="4" t="s">
        <v>717</v>
      </c>
      <c r="B585" s="4" t="s">
        <v>634</v>
      </c>
      <c r="C585" s="4">
        <v>77</v>
      </c>
      <c r="D585" s="4">
        <v>68</v>
      </c>
      <c r="E585" s="5">
        <v>70.5</v>
      </c>
      <c r="F585" s="4">
        <v>59</v>
      </c>
      <c r="G585" s="4">
        <v>58</v>
      </c>
    </row>
    <row r="586" spans="1:7">
      <c r="A586" s="4" t="s">
        <v>712</v>
      </c>
      <c r="B586" s="4" t="s">
        <v>91</v>
      </c>
      <c r="C586" s="4">
        <v>68</v>
      </c>
      <c r="D586" s="4">
        <v>68</v>
      </c>
      <c r="E586" s="5">
        <v>80.5</v>
      </c>
      <c r="F586" s="4">
        <v>61</v>
      </c>
      <c r="G586" s="4">
        <v>55</v>
      </c>
    </row>
    <row r="587" spans="1:7">
      <c r="A587" s="4" t="s">
        <v>716</v>
      </c>
      <c r="B587" s="4" t="s">
        <v>541</v>
      </c>
      <c r="C587" s="4">
        <v>88</v>
      </c>
      <c r="D587" s="4">
        <v>47</v>
      </c>
      <c r="E587" s="4">
        <v>73</v>
      </c>
      <c r="F587" s="4">
        <v>58</v>
      </c>
      <c r="G587" s="4">
        <v>66</v>
      </c>
    </row>
    <row r="588" spans="1:7">
      <c r="A588" s="4" t="s">
        <v>717</v>
      </c>
      <c r="B588" s="4" t="s">
        <v>629</v>
      </c>
      <c r="C588" s="4">
        <v>74</v>
      </c>
      <c r="D588" s="4">
        <v>66</v>
      </c>
      <c r="E588" s="5">
        <v>71.5</v>
      </c>
      <c r="F588" s="4">
        <v>59</v>
      </c>
      <c r="G588" s="4">
        <v>61</v>
      </c>
    </row>
    <row r="589" spans="1:7">
      <c r="A589" s="4" t="s">
        <v>715</v>
      </c>
      <c r="B589" s="4" t="s">
        <v>575</v>
      </c>
      <c r="C589" s="4">
        <v>77</v>
      </c>
      <c r="D589" s="4">
        <v>84</v>
      </c>
      <c r="E589" s="5">
        <v>50.5</v>
      </c>
      <c r="F589" s="4">
        <v>48</v>
      </c>
      <c r="G589" s="4">
        <v>71</v>
      </c>
    </row>
    <row r="590" spans="1:7">
      <c r="A590" s="4" t="s">
        <v>716</v>
      </c>
      <c r="B590" s="4" t="s">
        <v>560</v>
      </c>
      <c r="C590" s="4">
        <v>87</v>
      </c>
      <c r="D590" s="4">
        <v>52</v>
      </c>
      <c r="E590" s="4">
        <v>51</v>
      </c>
      <c r="F590" s="4">
        <v>62</v>
      </c>
      <c r="G590" s="4">
        <v>77</v>
      </c>
    </row>
    <row r="591" spans="1:7">
      <c r="A591" s="4" t="s">
        <v>712</v>
      </c>
      <c r="B591" s="4" t="s">
        <v>59</v>
      </c>
      <c r="C591" s="4">
        <v>74</v>
      </c>
      <c r="D591" s="4">
        <v>68</v>
      </c>
      <c r="E591" s="5">
        <v>64.5</v>
      </c>
      <c r="F591" s="4">
        <v>57</v>
      </c>
      <c r="G591" s="4">
        <v>65</v>
      </c>
    </row>
    <row r="592" spans="1:7">
      <c r="A592" s="4" t="s">
        <v>717</v>
      </c>
      <c r="B592" s="4" t="s">
        <v>636</v>
      </c>
      <c r="C592" s="4">
        <v>70</v>
      </c>
      <c r="D592" s="4">
        <v>59</v>
      </c>
      <c r="E592" s="5">
        <v>65.5</v>
      </c>
      <c r="F592" s="4">
        <v>69</v>
      </c>
      <c r="G592" s="4">
        <v>65</v>
      </c>
    </row>
    <row r="593" spans="1:7">
      <c r="A593" s="4" t="s">
        <v>716</v>
      </c>
      <c r="B593" s="4" t="s">
        <v>563</v>
      </c>
      <c r="C593" s="4">
        <v>86</v>
      </c>
      <c r="D593" s="4">
        <v>50</v>
      </c>
      <c r="E593" s="4">
        <v>74</v>
      </c>
      <c r="F593" s="4">
        <v>61</v>
      </c>
      <c r="G593" s="4">
        <v>57</v>
      </c>
    </row>
    <row r="594" spans="1:7">
      <c r="A594" s="4" t="s">
        <v>709</v>
      </c>
      <c r="B594" s="4" t="s">
        <v>140</v>
      </c>
      <c r="C594" s="4">
        <v>62</v>
      </c>
      <c r="D594" s="4">
        <v>53</v>
      </c>
      <c r="E594" s="5">
        <v>78.5</v>
      </c>
      <c r="F594" s="4">
        <v>67</v>
      </c>
      <c r="G594" s="4">
        <v>67</v>
      </c>
    </row>
    <row r="595" spans="1:7">
      <c r="A595" s="4" t="s">
        <v>711</v>
      </c>
      <c r="B595" s="4" t="s">
        <v>250</v>
      </c>
      <c r="C595" s="4">
        <v>77</v>
      </c>
      <c r="D595" s="4">
        <v>64</v>
      </c>
      <c r="E595" s="4">
        <v>59</v>
      </c>
      <c r="F595" s="4">
        <v>65</v>
      </c>
      <c r="G595" s="4">
        <v>62</v>
      </c>
    </row>
    <row r="596" spans="1:7">
      <c r="A596" s="4" t="s">
        <v>706</v>
      </c>
      <c r="B596" s="4" t="s">
        <v>174</v>
      </c>
      <c r="C596" s="4">
        <v>78</v>
      </c>
      <c r="D596" s="4">
        <v>64</v>
      </c>
      <c r="E596" s="4">
        <v>49</v>
      </c>
      <c r="F596" s="4">
        <v>69</v>
      </c>
      <c r="G596" s="4">
        <v>66</v>
      </c>
    </row>
    <row r="597" spans="1:7">
      <c r="A597" s="4" t="s">
        <v>708</v>
      </c>
      <c r="B597" s="4" t="s">
        <v>130</v>
      </c>
      <c r="C597" s="4">
        <v>86</v>
      </c>
      <c r="D597" s="4">
        <v>65</v>
      </c>
      <c r="E597" s="4">
        <v>63</v>
      </c>
      <c r="F597" s="4">
        <v>53</v>
      </c>
      <c r="G597" s="4">
        <v>59</v>
      </c>
    </row>
    <row r="598" spans="1:7">
      <c r="A598" s="4" t="s">
        <v>717</v>
      </c>
      <c r="B598" s="4" t="s">
        <v>628</v>
      </c>
      <c r="C598" s="4">
        <v>66</v>
      </c>
      <c r="D598" s="4">
        <v>61</v>
      </c>
      <c r="E598" s="4">
        <v>78</v>
      </c>
      <c r="F598" s="4">
        <v>55</v>
      </c>
      <c r="G598" s="4">
        <v>63</v>
      </c>
    </row>
    <row r="599" spans="1:7">
      <c r="A599" s="4" t="s">
        <v>715</v>
      </c>
      <c r="B599" s="4" t="s">
        <v>612</v>
      </c>
      <c r="C599" s="4">
        <v>87</v>
      </c>
      <c r="D599" s="4">
        <v>47</v>
      </c>
      <c r="E599" s="4">
        <v>68</v>
      </c>
      <c r="F599" s="4">
        <v>58</v>
      </c>
      <c r="G599" s="4">
        <v>62</v>
      </c>
    </row>
    <row r="600" spans="1:7">
      <c r="A600" s="4" t="s">
        <v>716</v>
      </c>
      <c r="B600" s="4" t="s">
        <v>566</v>
      </c>
      <c r="C600" s="4">
        <v>87</v>
      </c>
      <c r="D600" s="4">
        <v>51</v>
      </c>
      <c r="E600" s="5">
        <v>71.5</v>
      </c>
      <c r="F600" s="4">
        <v>50</v>
      </c>
      <c r="G600" s="4">
        <v>62</v>
      </c>
    </row>
    <row r="601" spans="1:7">
      <c r="A601" s="4" t="s">
        <v>714</v>
      </c>
      <c r="B601" s="4" t="s">
        <v>687</v>
      </c>
      <c r="C601" s="4">
        <v>67</v>
      </c>
      <c r="D601" s="4">
        <v>63</v>
      </c>
      <c r="E601" s="5">
        <v>70.5</v>
      </c>
      <c r="F601" s="4">
        <v>57</v>
      </c>
      <c r="G601" s="4">
        <v>63</v>
      </c>
    </row>
    <row r="602" spans="1:7">
      <c r="A602" s="4" t="s">
        <v>715</v>
      </c>
      <c r="B602" s="4" t="s">
        <v>586</v>
      </c>
      <c r="C602" s="4">
        <v>70</v>
      </c>
      <c r="D602" s="4">
        <v>66</v>
      </c>
      <c r="E602" s="4">
        <v>74</v>
      </c>
      <c r="F602" s="4">
        <v>56</v>
      </c>
      <c r="G602" s="4">
        <v>51</v>
      </c>
    </row>
    <row r="603" spans="1:7">
      <c r="A603" s="4" t="s">
        <v>714</v>
      </c>
      <c r="B603" s="4" t="s">
        <v>670</v>
      </c>
      <c r="C603" s="4">
        <v>88</v>
      </c>
      <c r="D603" s="4">
        <v>56</v>
      </c>
      <c r="E603" s="4">
        <v>59</v>
      </c>
      <c r="F603" s="4">
        <v>53</v>
      </c>
      <c r="G603" s="4">
        <v>60</v>
      </c>
    </row>
    <row r="604" spans="1:7">
      <c r="A604" s="4" t="s">
        <v>716</v>
      </c>
      <c r="B604" s="4" t="s">
        <v>539</v>
      </c>
      <c r="C604" s="4">
        <v>70</v>
      </c>
      <c r="D604" s="4">
        <v>51</v>
      </c>
      <c r="E604" s="5">
        <v>78.5</v>
      </c>
      <c r="F604" s="4">
        <v>58</v>
      </c>
      <c r="G604" s="4">
        <v>56</v>
      </c>
    </row>
    <row r="605" spans="1:7">
      <c r="A605" s="4" t="s">
        <v>714</v>
      </c>
      <c r="B605" s="4" t="s">
        <v>669</v>
      </c>
      <c r="C605" s="4">
        <v>83</v>
      </c>
      <c r="D605" s="4">
        <v>48</v>
      </c>
      <c r="E605" s="4">
        <v>56</v>
      </c>
      <c r="F605" s="4">
        <v>58</v>
      </c>
      <c r="G605" s="4">
        <v>68</v>
      </c>
    </row>
    <row r="606" spans="1:7">
      <c r="A606" s="4" t="s">
        <v>712</v>
      </c>
      <c r="B606" s="4" t="s">
        <v>75</v>
      </c>
      <c r="C606" s="4">
        <v>82</v>
      </c>
      <c r="D606" s="4">
        <v>46</v>
      </c>
      <c r="E606" s="5">
        <v>71.5</v>
      </c>
      <c r="F606" s="4">
        <v>47</v>
      </c>
      <c r="G606" s="4">
        <v>66</v>
      </c>
    </row>
    <row r="607" spans="1:7">
      <c r="A607" s="4" t="s">
        <v>712</v>
      </c>
      <c r="B607" s="4" t="s">
        <v>51</v>
      </c>
      <c r="C607" s="4">
        <v>75</v>
      </c>
      <c r="D607" s="4">
        <v>47</v>
      </c>
      <c r="E607" s="4">
        <v>48</v>
      </c>
      <c r="F607" s="4">
        <v>60</v>
      </c>
      <c r="G607" s="4">
        <v>80</v>
      </c>
    </row>
    <row r="608" spans="1:7">
      <c r="A608" s="4" t="s">
        <v>716</v>
      </c>
      <c r="B608" s="4" t="s">
        <v>547</v>
      </c>
      <c r="C608" s="4">
        <v>86</v>
      </c>
      <c r="D608" s="4">
        <v>37</v>
      </c>
      <c r="E608" s="5">
        <v>59.5</v>
      </c>
      <c r="F608" s="4">
        <v>63</v>
      </c>
      <c r="G608" s="4">
        <v>64</v>
      </c>
    </row>
    <row r="609" spans="1:7">
      <c r="A609" s="4" t="s">
        <v>712</v>
      </c>
      <c r="B609" s="4" t="s">
        <v>73</v>
      </c>
      <c r="C609" s="4">
        <v>83</v>
      </c>
      <c r="D609" s="4">
        <v>50</v>
      </c>
      <c r="E609" s="4">
        <v>73</v>
      </c>
      <c r="F609" s="4">
        <v>54</v>
      </c>
      <c r="G609" s="4">
        <v>49</v>
      </c>
    </row>
    <row r="610" spans="1:7">
      <c r="A610" s="4" t="s">
        <v>715</v>
      </c>
      <c r="B610" s="4" t="s">
        <v>606</v>
      </c>
      <c r="C610" s="4">
        <v>78</v>
      </c>
      <c r="D610" s="4">
        <v>54</v>
      </c>
      <c r="E610" s="4">
        <v>66</v>
      </c>
      <c r="F610" s="4">
        <v>53</v>
      </c>
      <c r="G610" s="4">
        <v>58</v>
      </c>
    </row>
    <row r="611" spans="1:7">
      <c r="A611" s="4" t="s">
        <v>706</v>
      </c>
      <c r="B611" s="4" t="s">
        <v>196</v>
      </c>
      <c r="C611" s="4">
        <v>66</v>
      </c>
      <c r="D611" s="4">
        <v>61</v>
      </c>
      <c r="E611" s="4">
        <v>69</v>
      </c>
      <c r="F611" s="4">
        <v>60</v>
      </c>
      <c r="G611" s="4">
        <v>53</v>
      </c>
    </row>
    <row r="612" spans="1:7">
      <c r="A612" s="4" t="s">
        <v>709</v>
      </c>
      <c r="B612" s="4" t="s">
        <v>133</v>
      </c>
      <c r="C612" s="4">
        <v>80</v>
      </c>
      <c r="D612" s="4">
        <v>46</v>
      </c>
      <c r="E612" s="5">
        <v>75.5</v>
      </c>
      <c r="F612" s="4">
        <v>42</v>
      </c>
      <c r="G612" s="4">
        <v>65</v>
      </c>
    </row>
    <row r="613" spans="1:7">
      <c r="A613" s="4" t="s">
        <v>706</v>
      </c>
      <c r="B613" s="4" t="s">
        <v>177</v>
      </c>
      <c r="C613" s="4">
        <v>77</v>
      </c>
      <c r="D613" s="4">
        <v>58</v>
      </c>
      <c r="E613" s="4">
        <v>70</v>
      </c>
      <c r="F613" s="4">
        <v>57</v>
      </c>
      <c r="G613" s="4">
        <v>46</v>
      </c>
    </row>
    <row r="614" spans="1:7">
      <c r="A614" s="4" t="s">
        <v>711</v>
      </c>
      <c r="B614" s="4" t="s">
        <v>238</v>
      </c>
      <c r="C614" s="4">
        <v>82</v>
      </c>
      <c r="D614" s="4">
        <v>49</v>
      </c>
      <c r="E614" s="5">
        <v>48.5</v>
      </c>
      <c r="F614" s="4">
        <v>55</v>
      </c>
      <c r="G614" s="4">
        <v>71</v>
      </c>
    </row>
    <row r="615" spans="1:7">
      <c r="A615" s="4" t="s">
        <v>715</v>
      </c>
      <c r="B615" s="4" t="s">
        <v>605</v>
      </c>
      <c r="C615" s="4">
        <v>71</v>
      </c>
      <c r="D615" s="4">
        <v>68</v>
      </c>
      <c r="E615" s="5">
        <v>43.5</v>
      </c>
      <c r="F615" s="4">
        <v>61</v>
      </c>
      <c r="G615" s="4">
        <v>59</v>
      </c>
    </row>
    <row r="616" spans="1:7">
      <c r="A616" s="4" t="s">
        <v>709</v>
      </c>
      <c r="B616" s="4" t="s">
        <v>149</v>
      </c>
      <c r="C616" s="4">
        <v>71</v>
      </c>
      <c r="D616" s="4">
        <v>74</v>
      </c>
      <c r="E616" s="4">
        <v>53</v>
      </c>
      <c r="F616" s="4">
        <v>50</v>
      </c>
      <c r="G616" s="4">
        <v>54</v>
      </c>
    </row>
    <row r="617" spans="1:7">
      <c r="A617" s="4" t="s">
        <v>717</v>
      </c>
      <c r="B617" s="4" t="s">
        <v>626</v>
      </c>
      <c r="C617" s="4">
        <v>73</v>
      </c>
      <c r="D617" s="4">
        <v>71</v>
      </c>
      <c r="E617" s="5">
        <v>48.5</v>
      </c>
      <c r="F617" s="4">
        <v>47</v>
      </c>
      <c r="G617" s="4">
        <v>62</v>
      </c>
    </row>
    <row r="618" spans="1:7">
      <c r="A618" s="4" t="s">
        <v>714</v>
      </c>
      <c r="B618" s="4" t="s">
        <v>668</v>
      </c>
      <c r="C618" s="4">
        <v>83</v>
      </c>
      <c r="D618" s="4">
        <v>32</v>
      </c>
      <c r="E618" s="5">
        <v>64.5</v>
      </c>
      <c r="F618" s="4">
        <v>67</v>
      </c>
      <c r="G618" s="4">
        <v>55</v>
      </c>
    </row>
    <row r="619" spans="1:7">
      <c r="A619" s="4" t="s">
        <v>711</v>
      </c>
      <c r="B619" s="4" t="s">
        <v>236</v>
      </c>
      <c r="C619" s="4">
        <v>72</v>
      </c>
      <c r="D619" s="4">
        <v>44</v>
      </c>
      <c r="E619" s="4">
        <v>58</v>
      </c>
      <c r="F619" s="4">
        <v>58</v>
      </c>
      <c r="G619" s="4">
        <v>63</v>
      </c>
    </row>
    <row r="620" spans="1:7">
      <c r="A620" s="4" t="s">
        <v>714</v>
      </c>
      <c r="B620" s="4" t="s">
        <v>655</v>
      </c>
      <c r="C620" s="4">
        <v>84</v>
      </c>
      <c r="D620" s="4">
        <v>56</v>
      </c>
      <c r="E620" s="4">
        <v>40</v>
      </c>
      <c r="F620" s="4">
        <v>58</v>
      </c>
      <c r="G620" s="4">
        <v>57</v>
      </c>
    </row>
    <row r="621" spans="1:7">
      <c r="A621" s="4" t="s">
        <v>716</v>
      </c>
      <c r="B621" s="4" t="s">
        <v>565</v>
      </c>
      <c r="C621" s="4">
        <v>65</v>
      </c>
      <c r="D621" s="4">
        <v>48</v>
      </c>
      <c r="E621" s="5">
        <v>51.5</v>
      </c>
      <c r="F621" s="4">
        <v>65</v>
      </c>
      <c r="G621" s="4">
        <v>65</v>
      </c>
    </row>
    <row r="622" spans="1:7">
      <c r="A622" s="4" t="s">
        <v>716</v>
      </c>
      <c r="B622" s="4" t="s">
        <v>559</v>
      </c>
      <c r="C622" s="4">
        <v>65</v>
      </c>
      <c r="D622" s="4">
        <v>58</v>
      </c>
      <c r="E622" s="4">
        <v>45</v>
      </c>
      <c r="F622" s="4">
        <v>62</v>
      </c>
      <c r="G622" s="4">
        <v>64</v>
      </c>
    </row>
    <row r="623" spans="1:7">
      <c r="A623" s="4" t="s">
        <v>716</v>
      </c>
      <c r="B623" s="4" t="s">
        <v>564</v>
      </c>
      <c r="C623" s="4">
        <v>90</v>
      </c>
      <c r="D623" s="4">
        <v>52</v>
      </c>
      <c r="E623" s="4">
        <v>47</v>
      </c>
      <c r="F623" s="4">
        <v>41</v>
      </c>
      <c r="G623" s="4">
        <v>64</v>
      </c>
    </row>
    <row r="624" spans="1:7">
      <c r="A624" s="4" t="s">
        <v>708</v>
      </c>
      <c r="B624" s="4" t="s">
        <v>101</v>
      </c>
      <c r="C624" s="4">
        <v>65</v>
      </c>
      <c r="D624" s="4">
        <v>45</v>
      </c>
      <c r="E624" s="5">
        <v>75.5</v>
      </c>
      <c r="F624" s="4">
        <v>48</v>
      </c>
      <c r="G624" s="4">
        <v>59</v>
      </c>
    </row>
    <row r="625" spans="1:7">
      <c r="A625" s="4" t="s">
        <v>711</v>
      </c>
      <c r="B625" s="4" t="s">
        <v>229</v>
      </c>
      <c r="C625" s="4">
        <v>65</v>
      </c>
      <c r="D625" s="4">
        <v>41</v>
      </c>
      <c r="E625" s="5">
        <v>58.5</v>
      </c>
      <c r="F625" s="4">
        <v>58</v>
      </c>
      <c r="G625" s="4">
        <v>68</v>
      </c>
    </row>
    <row r="626" spans="1:7">
      <c r="A626" s="4" t="s">
        <v>715</v>
      </c>
      <c r="B626" s="4" t="s">
        <v>609</v>
      </c>
      <c r="C626" s="4">
        <v>66</v>
      </c>
      <c r="D626" s="4">
        <v>53</v>
      </c>
      <c r="E626" s="4">
        <v>55</v>
      </c>
      <c r="F626" s="4">
        <v>52</v>
      </c>
      <c r="G626" s="4">
        <v>64</v>
      </c>
    </row>
    <row r="627" spans="1:7">
      <c r="A627" s="4" t="s">
        <v>714</v>
      </c>
      <c r="B627" s="4" t="s">
        <v>684</v>
      </c>
      <c r="C627" s="4">
        <v>75</v>
      </c>
      <c r="D627" s="4">
        <v>31</v>
      </c>
      <c r="E627" s="5">
        <v>64.5</v>
      </c>
      <c r="F627" s="4">
        <v>57</v>
      </c>
      <c r="G627" s="4">
        <v>62</v>
      </c>
    </row>
    <row r="628" spans="1:7">
      <c r="A628" s="4" t="s">
        <v>716</v>
      </c>
      <c r="B628" s="4" t="s">
        <v>545</v>
      </c>
      <c r="C628" s="4">
        <v>77</v>
      </c>
      <c r="D628" s="4">
        <v>42</v>
      </c>
      <c r="E628" s="4">
        <v>71</v>
      </c>
      <c r="F628" s="4">
        <v>47</v>
      </c>
      <c r="G628" s="4">
        <v>52</v>
      </c>
    </row>
    <row r="629" spans="1:7">
      <c r="A629" s="4" t="s">
        <v>706</v>
      </c>
      <c r="B629" s="4" t="s">
        <v>181</v>
      </c>
      <c r="C629" s="4">
        <v>83</v>
      </c>
      <c r="D629" s="4">
        <v>38</v>
      </c>
      <c r="E629" s="4">
        <v>56</v>
      </c>
      <c r="F629" s="4">
        <v>51</v>
      </c>
      <c r="G629" s="4">
        <v>61</v>
      </c>
    </row>
    <row r="630" spans="1:7">
      <c r="A630" s="4" t="s">
        <v>716</v>
      </c>
      <c r="B630" s="4" t="s">
        <v>546</v>
      </c>
      <c r="C630" s="4">
        <v>67</v>
      </c>
      <c r="D630" s="4">
        <v>53</v>
      </c>
      <c r="E630" s="4">
        <v>64</v>
      </c>
      <c r="F630" s="4">
        <v>48</v>
      </c>
      <c r="G630" s="4">
        <v>56</v>
      </c>
    </row>
    <row r="631" spans="1:7">
      <c r="A631" s="4" t="s">
        <v>710</v>
      </c>
      <c r="B631" s="4" t="s">
        <v>23</v>
      </c>
      <c r="C631" s="4">
        <v>73</v>
      </c>
      <c r="D631" s="4">
        <v>56</v>
      </c>
      <c r="E631" s="4">
        <v>19</v>
      </c>
      <c r="F631" s="4">
        <v>71</v>
      </c>
      <c r="G631" s="4">
        <v>69</v>
      </c>
    </row>
    <row r="632" spans="1:7">
      <c r="A632" s="4" t="s">
        <v>716</v>
      </c>
      <c r="B632" s="4" t="s">
        <v>726</v>
      </c>
      <c r="C632" s="4">
        <v>88</v>
      </c>
      <c r="D632" s="4">
        <v>43</v>
      </c>
      <c r="E632" s="5">
        <v>70.5</v>
      </c>
      <c r="F632" s="4">
        <v>40</v>
      </c>
      <c r="G632" s="4">
        <v>46</v>
      </c>
    </row>
    <row r="633" spans="1:7">
      <c r="A633" s="4" t="s">
        <v>710</v>
      </c>
      <c r="B633" s="4" t="s">
        <v>8</v>
      </c>
      <c r="C633" s="4">
        <v>61</v>
      </c>
      <c r="D633" s="4">
        <v>67</v>
      </c>
      <c r="E633" s="4">
        <v>67</v>
      </c>
      <c r="F633" s="4">
        <v>45</v>
      </c>
      <c r="G633" s="4">
        <v>46</v>
      </c>
    </row>
    <row r="634" spans="1:7">
      <c r="A634" s="4" t="s">
        <v>710</v>
      </c>
      <c r="B634" s="6" t="s">
        <v>35</v>
      </c>
      <c r="C634" s="4">
        <v>56</v>
      </c>
      <c r="D634" s="4">
        <v>46</v>
      </c>
      <c r="E634" s="4">
        <v>68</v>
      </c>
      <c r="F634" s="4">
        <v>48</v>
      </c>
      <c r="G634" s="4">
        <v>65</v>
      </c>
    </row>
    <row r="635" spans="1:7">
      <c r="A635" s="4" t="s">
        <v>717</v>
      </c>
      <c r="B635" s="4" t="s">
        <v>653</v>
      </c>
      <c r="C635" s="4">
        <v>65</v>
      </c>
      <c r="D635" s="4">
        <v>49</v>
      </c>
      <c r="E635" s="4">
        <v>47</v>
      </c>
      <c r="F635" s="4">
        <v>58</v>
      </c>
      <c r="G635" s="4">
        <v>63</v>
      </c>
    </row>
    <row r="636" spans="1:7">
      <c r="A636" s="4" t="s">
        <v>710</v>
      </c>
      <c r="B636" s="4" t="s">
        <v>44</v>
      </c>
      <c r="C636" s="4">
        <v>80</v>
      </c>
      <c r="D636" s="4">
        <v>47</v>
      </c>
      <c r="E636" s="4">
        <v>50</v>
      </c>
      <c r="F636" s="4">
        <v>44</v>
      </c>
      <c r="G636" s="4">
        <v>60</v>
      </c>
    </row>
    <row r="637" spans="1:7">
      <c r="A637" s="4" t="s">
        <v>715</v>
      </c>
      <c r="B637" s="4" t="s">
        <v>597</v>
      </c>
      <c r="C637" s="4">
        <v>82</v>
      </c>
      <c r="D637" s="4">
        <v>45</v>
      </c>
      <c r="E637" s="4">
        <v>57</v>
      </c>
      <c r="F637" s="4">
        <v>31</v>
      </c>
      <c r="G637" s="4">
        <v>64</v>
      </c>
    </row>
    <row r="638" spans="1:7">
      <c r="A638" s="4" t="s">
        <v>717</v>
      </c>
      <c r="B638" s="4" t="s">
        <v>635</v>
      </c>
      <c r="C638" s="4">
        <v>71</v>
      </c>
      <c r="D638" s="4">
        <v>44</v>
      </c>
      <c r="E638" s="4">
        <v>57</v>
      </c>
      <c r="F638" s="4">
        <v>54</v>
      </c>
      <c r="G638" s="4">
        <v>50</v>
      </c>
    </row>
    <row r="639" spans="1:7">
      <c r="A639" s="4" t="s">
        <v>717</v>
      </c>
      <c r="B639" s="4" t="s">
        <v>627</v>
      </c>
      <c r="C639" s="4">
        <v>71</v>
      </c>
      <c r="D639" s="4">
        <v>42</v>
      </c>
      <c r="E639" s="4">
        <v>56</v>
      </c>
      <c r="F639" s="4">
        <v>51</v>
      </c>
      <c r="G639" s="4">
        <v>54</v>
      </c>
    </row>
    <row r="640" spans="1:7">
      <c r="A640" s="4" t="s">
        <v>714</v>
      </c>
      <c r="B640" s="4" t="s">
        <v>660</v>
      </c>
      <c r="C640" s="4">
        <v>69</v>
      </c>
      <c r="D640" s="4">
        <v>59</v>
      </c>
      <c r="E640" s="5">
        <v>31.5</v>
      </c>
      <c r="F640" s="4">
        <v>58</v>
      </c>
      <c r="G640" s="4">
        <v>56</v>
      </c>
    </row>
    <row r="641" spans="1:7">
      <c r="A641" s="4" t="s">
        <v>714</v>
      </c>
      <c r="B641" s="4" t="s">
        <v>664</v>
      </c>
      <c r="C641" s="4">
        <v>62</v>
      </c>
      <c r="D641" s="4">
        <v>55</v>
      </c>
      <c r="E641" s="4">
        <v>64</v>
      </c>
      <c r="F641" s="4">
        <v>48</v>
      </c>
      <c r="G641" s="4">
        <v>44</v>
      </c>
    </row>
    <row r="642" spans="1:7">
      <c r="A642" s="4" t="s">
        <v>717</v>
      </c>
      <c r="B642" s="4" t="s">
        <v>647</v>
      </c>
      <c r="C642" s="4">
        <v>79</v>
      </c>
      <c r="D642" s="4">
        <v>36</v>
      </c>
      <c r="E642" s="4">
        <v>49</v>
      </c>
      <c r="F642" s="4">
        <v>54</v>
      </c>
      <c r="G642" s="4">
        <v>55</v>
      </c>
    </row>
    <row r="643" spans="1:7">
      <c r="A643" s="4" t="s">
        <v>717</v>
      </c>
      <c r="B643" s="4" t="s">
        <v>639</v>
      </c>
      <c r="C643" s="4">
        <v>56</v>
      </c>
      <c r="D643" s="4">
        <v>75</v>
      </c>
      <c r="E643" s="5">
        <v>38.5</v>
      </c>
      <c r="F643" s="4">
        <v>52</v>
      </c>
      <c r="G643" s="4">
        <v>48</v>
      </c>
    </row>
    <row r="644" spans="1:7">
      <c r="A644" s="4" t="s">
        <v>714</v>
      </c>
      <c r="B644" s="4" t="s">
        <v>688</v>
      </c>
      <c r="C644" s="4">
        <v>78</v>
      </c>
      <c r="D644" s="4">
        <v>21</v>
      </c>
      <c r="E644" s="5">
        <v>42.5</v>
      </c>
      <c r="F644" s="4">
        <v>61</v>
      </c>
      <c r="G644" s="4">
        <v>66</v>
      </c>
    </row>
    <row r="645" spans="1:7">
      <c r="A645" s="4" t="s">
        <v>716</v>
      </c>
      <c r="B645" s="4" t="s">
        <v>568</v>
      </c>
      <c r="C645" s="4">
        <v>52</v>
      </c>
      <c r="D645" s="4">
        <v>58</v>
      </c>
      <c r="E645" s="5">
        <v>58.5</v>
      </c>
      <c r="F645" s="4">
        <v>47</v>
      </c>
      <c r="G645" s="4">
        <v>53</v>
      </c>
    </row>
    <row r="646" spans="1:7">
      <c r="A646" s="4" t="s">
        <v>715</v>
      </c>
      <c r="B646" s="4" t="s">
        <v>592</v>
      </c>
      <c r="C646" s="4">
        <v>69</v>
      </c>
      <c r="D646" s="4">
        <v>41</v>
      </c>
      <c r="E646" s="4">
        <v>41</v>
      </c>
      <c r="F646" s="4">
        <v>37</v>
      </c>
      <c r="G646" s="4">
        <v>79</v>
      </c>
    </row>
    <row r="647" spans="1:7">
      <c r="A647" s="4" t="s">
        <v>716</v>
      </c>
      <c r="B647" s="4" t="s">
        <v>553</v>
      </c>
      <c r="C647" s="4">
        <v>61</v>
      </c>
      <c r="D647" s="4">
        <v>42</v>
      </c>
      <c r="E647" s="4">
        <v>77</v>
      </c>
      <c r="F647" s="4">
        <v>45</v>
      </c>
      <c r="G647" s="4">
        <v>34</v>
      </c>
    </row>
    <row r="648" spans="1:7">
      <c r="A648" s="4" t="s">
        <v>709</v>
      </c>
      <c r="B648" s="4" t="s">
        <v>158</v>
      </c>
      <c r="C648" s="4">
        <v>64</v>
      </c>
      <c r="D648" s="4">
        <v>36</v>
      </c>
      <c r="E648" s="5">
        <v>70.5</v>
      </c>
      <c r="F648" s="4">
        <v>44</v>
      </c>
      <c r="G648" s="4">
        <v>44</v>
      </c>
    </row>
    <row r="649" spans="1:7">
      <c r="A649" s="4" t="s">
        <v>714</v>
      </c>
      <c r="B649" s="4" t="s">
        <v>657</v>
      </c>
      <c r="C649" s="4">
        <v>66</v>
      </c>
      <c r="D649" s="4">
        <v>59</v>
      </c>
      <c r="E649" s="4">
        <v>23</v>
      </c>
      <c r="F649" s="4">
        <v>64</v>
      </c>
      <c r="G649" s="4">
        <v>46</v>
      </c>
    </row>
    <row r="650" spans="1:7">
      <c r="A650" s="4" t="s">
        <v>715</v>
      </c>
      <c r="B650" s="4" t="s">
        <v>598</v>
      </c>
      <c r="C650" s="4">
        <v>67</v>
      </c>
      <c r="D650" s="4">
        <v>55</v>
      </c>
      <c r="E650" s="5">
        <v>43.5</v>
      </c>
      <c r="F650" s="4">
        <v>48</v>
      </c>
      <c r="G650" s="4">
        <v>44</v>
      </c>
    </row>
    <row r="651" spans="1:7">
      <c r="A651" s="4" t="s">
        <v>712</v>
      </c>
      <c r="B651" s="4" t="s">
        <v>77</v>
      </c>
      <c r="C651" s="4">
        <v>66</v>
      </c>
      <c r="D651" s="4">
        <v>74</v>
      </c>
      <c r="E651" s="5">
        <v>43.5</v>
      </c>
      <c r="F651" s="4">
        <v>25</v>
      </c>
      <c r="G651" s="4">
        <v>48</v>
      </c>
    </row>
    <row r="652" spans="1:7">
      <c r="A652" s="4" t="s">
        <v>717</v>
      </c>
      <c r="B652" s="4" t="s">
        <v>654</v>
      </c>
      <c r="C652" s="4">
        <v>54</v>
      </c>
      <c r="D652" s="4">
        <v>46</v>
      </c>
      <c r="E652" s="5">
        <v>42.5</v>
      </c>
      <c r="F652" s="4">
        <v>59</v>
      </c>
      <c r="G652" s="4">
        <v>55</v>
      </c>
    </row>
    <row r="653" spans="1:7">
      <c r="A653" s="4" t="s">
        <v>716</v>
      </c>
      <c r="B653" s="4" t="s">
        <v>551</v>
      </c>
      <c r="C653" s="4">
        <v>66</v>
      </c>
      <c r="D653" s="4">
        <v>27</v>
      </c>
      <c r="E653" s="4">
        <v>50</v>
      </c>
      <c r="F653" s="4">
        <v>46</v>
      </c>
      <c r="G653" s="4">
        <v>66</v>
      </c>
    </row>
    <row r="654" spans="1:7">
      <c r="A654" s="4" t="s">
        <v>709</v>
      </c>
      <c r="B654" s="4" t="s">
        <v>139</v>
      </c>
      <c r="C654" s="4">
        <v>79</v>
      </c>
      <c r="D654" s="4">
        <v>21</v>
      </c>
      <c r="E654" s="4">
        <v>59</v>
      </c>
      <c r="F654" s="4">
        <v>34</v>
      </c>
      <c r="G654" s="4">
        <v>61</v>
      </c>
    </row>
    <row r="655" spans="1:7">
      <c r="A655" s="4" t="s">
        <v>716</v>
      </c>
      <c r="B655" s="4" t="s">
        <v>727</v>
      </c>
      <c r="C655" s="4">
        <v>66</v>
      </c>
      <c r="D655" s="4">
        <v>40</v>
      </c>
      <c r="E655" s="4">
        <v>48</v>
      </c>
      <c r="F655" s="4">
        <v>46</v>
      </c>
      <c r="G655" s="4">
        <v>51</v>
      </c>
    </row>
    <row r="656" spans="1:7">
      <c r="A656" s="4" t="s">
        <v>717</v>
      </c>
      <c r="B656" s="4" t="s">
        <v>638</v>
      </c>
      <c r="C656" s="4">
        <v>64</v>
      </c>
      <c r="D656" s="4">
        <v>38</v>
      </c>
      <c r="E656" s="4">
        <v>70</v>
      </c>
      <c r="F656" s="4">
        <v>30</v>
      </c>
      <c r="G656" s="4">
        <v>49</v>
      </c>
    </row>
    <row r="657" spans="1:7">
      <c r="A657" s="4" t="s">
        <v>717</v>
      </c>
      <c r="B657" s="4" t="s">
        <v>619</v>
      </c>
      <c r="C657" s="4">
        <v>62</v>
      </c>
      <c r="D657" s="4">
        <v>45</v>
      </c>
      <c r="E657" s="4">
        <v>45</v>
      </c>
      <c r="F657" s="4">
        <v>46</v>
      </c>
      <c r="G657" s="4">
        <v>52</v>
      </c>
    </row>
    <row r="658" spans="1:7">
      <c r="A658" s="4" t="s">
        <v>714</v>
      </c>
      <c r="B658" s="4" t="s">
        <v>678</v>
      </c>
      <c r="C658" s="4">
        <v>68</v>
      </c>
      <c r="D658" s="4">
        <v>51</v>
      </c>
      <c r="E658" s="4">
        <v>16</v>
      </c>
      <c r="F658" s="4">
        <v>61</v>
      </c>
      <c r="G658" s="4">
        <v>48</v>
      </c>
    </row>
    <row r="659" spans="1:7">
      <c r="A659" s="4" t="s">
        <v>716</v>
      </c>
      <c r="B659" s="4" t="s">
        <v>556</v>
      </c>
      <c r="C659" s="4">
        <v>71</v>
      </c>
      <c r="D659" s="4">
        <v>35</v>
      </c>
      <c r="E659" s="4">
        <v>48</v>
      </c>
      <c r="F659" s="4">
        <v>33</v>
      </c>
      <c r="G659" s="4">
        <v>55</v>
      </c>
    </row>
    <row r="660" spans="1:7">
      <c r="A660" s="4" t="s">
        <v>716</v>
      </c>
      <c r="B660" s="4" t="s">
        <v>536</v>
      </c>
      <c r="C660" s="4">
        <v>69</v>
      </c>
      <c r="D660" s="4">
        <v>21</v>
      </c>
      <c r="E660" s="4">
        <v>49</v>
      </c>
      <c r="F660" s="4">
        <v>50</v>
      </c>
      <c r="G660" s="4">
        <v>51</v>
      </c>
    </row>
    <row r="661" spans="1:7">
      <c r="A661" s="4" t="s">
        <v>717</v>
      </c>
      <c r="B661" s="4" t="s">
        <v>631</v>
      </c>
      <c r="C661" s="4">
        <v>55</v>
      </c>
      <c r="D661" s="4">
        <v>34</v>
      </c>
      <c r="E661" s="5">
        <v>34.5</v>
      </c>
      <c r="F661" s="4">
        <v>59</v>
      </c>
      <c r="G661" s="4">
        <v>57</v>
      </c>
    </row>
    <row r="662" spans="1:7">
      <c r="A662" s="4" t="s">
        <v>717</v>
      </c>
      <c r="B662" s="4" t="s">
        <v>617</v>
      </c>
      <c r="C662" s="4">
        <v>76</v>
      </c>
      <c r="D662" s="4">
        <v>21</v>
      </c>
      <c r="E662" s="4">
        <v>34</v>
      </c>
      <c r="F662" s="4">
        <v>53</v>
      </c>
      <c r="G662" s="4">
        <v>54</v>
      </c>
    </row>
    <row r="663" spans="1:7">
      <c r="A663" s="4" t="s">
        <v>715</v>
      </c>
      <c r="B663" s="4" t="s">
        <v>591</v>
      </c>
      <c r="C663" s="4">
        <v>74</v>
      </c>
      <c r="D663" s="4">
        <v>29</v>
      </c>
      <c r="E663" s="5">
        <v>29.5</v>
      </c>
      <c r="F663" s="4">
        <v>48</v>
      </c>
      <c r="G663" s="4">
        <v>57</v>
      </c>
    </row>
    <row r="664" spans="1:7">
      <c r="A664" s="4" t="s">
        <v>714</v>
      </c>
      <c r="B664" s="4" t="s">
        <v>679</v>
      </c>
      <c r="C664" s="4">
        <v>50</v>
      </c>
      <c r="D664" s="4">
        <v>40</v>
      </c>
      <c r="E664" s="4">
        <v>63</v>
      </c>
      <c r="F664" s="4">
        <v>36</v>
      </c>
      <c r="G664" s="4">
        <v>48</v>
      </c>
    </row>
    <row r="665" spans="1:7">
      <c r="A665" s="4" t="s">
        <v>715</v>
      </c>
      <c r="B665" s="4" t="s">
        <v>728</v>
      </c>
      <c r="C665" s="4">
        <v>63</v>
      </c>
      <c r="D665" s="4">
        <v>30</v>
      </c>
      <c r="E665" s="4">
        <v>58</v>
      </c>
      <c r="F665" s="4">
        <v>29</v>
      </c>
      <c r="G665" s="4">
        <v>51</v>
      </c>
    </row>
    <row r="666" spans="1:7">
      <c r="A666" s="4" t="s">
        <v>716</v>
      </c>
      <c r="B666" s="4" t="s">
        <v>543</v>
      </c>
      <c r="C666" s="4">
        <v>51</v>
      </c>
      <c r="D666" s="4">
        <v>39</v>
      </c>
      <c r="E666" s="5">
        <v>48.5</v>
      </c>
      <c r="F666" s="4">
        <v>39</v>
      </c>
      <c r="G666" s="4">
        <v>53</v>
      </c>
    </row>
    <row r="667" spans="1:7">
      <c r="A667" s="4" t="s">
        <v>717</v>
      </c>
      <c r="B667" s="4" t="s">
        <v>642</v>
      </c>
      <c r="C667" s="4">
        <v>62</v>
      </c>
      <c r="D667" s="4">
        <v>49</v>
      </c>
      <c r="E667" s="5">
        <v>33.5</v>
      </c>
      <c r="F667" s="4">
        <v>36</v>
      </c>
      <c r="G667" s="4">
        <v>41</v>
      </c>
    </row>
    <row r="668" spans="1:7">
      <c r="A668" s="4" t="s">
        <v>711</v>
      </c>
      <c r="B668" s="4" t="s">
        <v>729</v>
      </c>
      <c r="C668" s="4">
        <v>56</v>
      </c>
      <c r="D668" s="4">
        <v>31</v>
      </c>
      <c r="E668" s="4">
        <v>51</v>
      </c>
      <c r="F668" s="4">
        <v>33</v>
      </c>
      <c r="G668" s="4">
        <v>50</v>
      </c>
    </row>
    <row r="669" spans="1:7">
      <c r="A669" s="4" t="s">
        <v>714</v>
      </c>
      <c r="B669" s="4" t="s">
        <v>683</v>
      </c>
      <c r="C669" s="4">
        <v>54</v>
      </c>
      <c r="D669" s="4">
        <v>29</v>
      </c>
      <c r="E669" s="4">
        <v>19</v>
      </c>
      <c r="F669" s="4">
        <v>55</v>
      </c>
      <c r="G669" s="4">
        <v>56</v>
      </c>
    </row>
    <row r="670" spans="1:7">
      <c r="A670" s="4" t="s">
        <v>717</v>
      </c>
      <c r="B670" s="4" t="s">
        <v>621</v>
      </c>
      <c r="C670" s="4">
        <v>65</v>
      </c>
      <c r="D670" s="4">
        <v>13</v>
      </c>
      <c r="E670" s="4">
        <v>44</v>
      </c>
      <c r="F670" s="4">
        <v>35</v>
      </c>
      <c r="G670" s="4">
        <v>53</v>
      </c>
    </row>
    <row r="671" spans="1:7">
      <c r="A671" s="4" t="s">
        <v>714</v>
      </c>
      <c r="B671" s="4" t="s">
        <v>685</v>
      </c>
      <c r="C671" s="4">
        <v>57</v>
      </c>
      <c r="D671" s="4">
        <v>29</v>
      </c>
      <c r="E671" s="4">
        <v>27</v>
      </c>
      <c r="F671" s="4">
        <v>34</v>
      </c>
      <c r="G671" s="4">
        <v>49</v>
      </c>
    </row>
    <row r="672" spans="1:7">
      <c r="A672" s="4" t="s">
        <v>716</v>
      </c>
      <c r="B672" s="4" t="s">
        <v>550</v>
      </c>
      <c r="C672" s="4">
        <v>70</v>
      </c>
      <c r="D672" s="4">
        <v>30</v>
      </c>
      <c r="E672" s="4">
        <v>27</v>
      </c>
      <c r="F672" s="4">
        <v>30</v>
      </c>
      <c r="G672" s="4">
        <v>37</v>
      </c>
    </row>
    <row r="673" spans="1:7">
      <c r="A673" s="4" t="s">
        <v>715</v>
      </c>
      <c r="B673" s="4" t="s">
        <v>608</v>
      </c>
      <c r="C673" s="4">
        <v>44</v>
      </c>
      <c r="D673" s="4">
        <v>12</v>
      </c>
      <c r="E673" s="4">
        <v>44</v>
      </c>
      <c r="F673" s="4">
        <v>46</v>
      </c>
      <c r="G673" s="4">
        <v>48</v>
      </c>
    </row>
    <row r="674" spans="1:7">
      <c r="A674" s="4" t="s">
        <v>715</v>
      </c>
      <c r="B674" s="4" t="s">
        <v>603</v>
      </c>
      <c r="C674" s="4">
        <v>44</v>
      </c>
      <c r="D674" s="4">
        <v>24</v>
      </c>
      <c r="E674" s="5">
        <v>37.5</v>
      </c>
      <c r="F674" s="4">
        <v>39</v>
      </c>
      <c r="G674" s="4">
        <v>48</v>
      </c>
    </row>
    <row r="675" spans="1:7">
      <c r="A675" s="4" t="s">
        <v>711</v>
      </c>
      <c r="B675" s="4" t="s">
        <v>231</v>
      </c>
      <c r="C675" s="4">
        <v>60</v>
      </c>
      <c r="D675" s="4">
        <v>11</v>
      </c>
      <c r="E675" s="4">
        <v>24</v>
      </c>
      <c r="F675" s="4">
        <v>39</v>
      </c>
      <c r="G675" s="4">
        <v>36</v>
      </c>
    </row>
    <row r="676" spans="1:7">
      <c r="A676" s="4" t="s">
        <v>717</v>
      </c>
      <c r="B676" s="4" t="s">
        <v>648</v>
      </c>
      <c r="C676" s="4">
        <v>32</v>
      </c>
      <c r="D676" s="4">
        <v>20</v>
      </c>
      <c r="E676" s="4">
        <v>33</v>
      </c>
      <c r="F676" s="4">
        <v>33</v>
      </c>
      <c r="G676" s="4">
        <v>32</v>
      </c>
    </row>
    <row r="677" spans="1:7">
      <c r="A677" s="4" t="s">
        <v>714</v>
      </c>
      <c r="B677" s="4" t="s">
        <v>694</v>
      </c>
      <c r="C677" s="4">
        <v>56</v>
      </c>
      <c r="D677" s="4">
        <v>30</v>
      </c>
      <c r="E677" s="4" t="s">
        <v>61</v>
      </c>
      <c r="F677" s="4">
        <v>62</v>
      </c>
      <c r="G677" s="4" t="s">
        <v>61</v>
      </c>
    </row>
    <row r="678" spans="1:7">
      <c r="A678" s="4" t="s">
        <v>711</v>
      </c>
      <c r="B678" s="4" t="s">
        <v>219</v>
      </c>
      <c r="C678" s="4">
        <v>38</v>
      </c>
      <c r="D678" s="4">
        <v>14</v>
      </c>
      <c r="E678" s="4">
        <v>33</v>
      </c>
      <c r="F678" s="4">
        <v>18</v>
      </c>
      <c r="G678" s="4">
        <v>45</v>
      </c>
    </row>
    <row r="679" spans="1:7">
      <c r="A679" s="4" t="s">
        <v>701</v>
      </c>
      <c r="B679" s="4" t="s">
        <v>423</v>
      </c>
      <c r="C679" s="4" t="s">
        <v>61</v>
      </c>
      <c r="D679" s="4" t="s">
        <v>61</v>
      </c>
      <c r="E679" s="5">
        <v>85.5</v>
      </c>
      <c r="F679" s="4" t="s">
        <v>61</v>
      </c>
      <c r="G679" s="4">
        <v>59</v>
      </c>
    </row>
    <row r="680" spans="1:7">
      <c r="A680" s="4" t="s">
        <v>711</v>
      </c>
      <c r="B680" s="4" t="s">
        <v>217</v>
      </c>
      <c r="C680" s="4">
        <v>56</v>
      </c>
      <c r="D680" s="4">
        <v>46</v>
      </c>
      <c r="E680" s="4" t="s">
        <v>61</v>
      </c>
      <c r="F680" s="4">
        <v>41</v>
      </c>
      <c r="G680" s="4" t="s">
        <v>61</v>
      </c>
    </row>
    <row r="681" spans="1:7">
      <c r="A681" s="4" t="s">
        <v>701</v>
      </c>
      <c r="B681" s="4" t="s">
        <v>426</v>
      </c>
      <c r="C681" s="4" t="s">
        <v>61</v>
      </c>
      <c r="D681" s="4" t="s">
        <v>61</v>
      </c>
      <c r="E681" s="5">
        <v>67.5</v>
      </c>
      <c r="F681" s="4" t="s">
        <v>61</v>
      </c>
      <c r="G681" s="4">
        <v>63</v>
      </c>
    </row>
    <row r="682" spans="1:7">
      <c r="A682" s="4" t="s">
        <v>715</v>
      </c>
      <c r="B682" s="4" t="s">
        <v>587</v>
      </c>
      <c r="C682" s="4">
        <v>51</v>
      </c>
      <c r="D682" s="4">
        <v>5</v>
      </c>
      <c r="E682" s="4" t="s">
        <v>61</v>
      </c>
      <c r="F682" s="4">
        <v>27</v>
      </c>
      <c r="G682" s="4" t="s">
        <v>61</v>
      </c>
    </row>
    <row r="683" spans="1:7">
      <c r="A683" s="4" t="s">
        <v>712</v>
      </c>
      <c r="B683" s="4" t="s">
        <v>60</v>
      </c>
      <c r="C683" s="4" t="s">
        <v>61</v>
      </c>
      <c r="D683" s="4" t="s">
        <v>61</v>
      </c>
      <c r="E683" s="4" t="s">
        <v>61</v>
      </c>
      <c r="F683" s="4" t="s">
        <v>61</v>
      </c>
      <c r="G683" s="4" t="s">
        <v>61</v>
      </c>
    </row>
    <row r="684" spans="1:7">
      <c r="A684" s="4" t="s">
        <v>702</v>
      </c>
      <c r="B684" s="4" t="s">
        <v>730</v>
      </c>
      <c r="C684" s="4" t="s">
        <v>61</v>
      </c>
      <c r="D684" s="4" t="s">
        <v>61</v>
      </c>
      <c r="E684" s="4" t="s">
        <v>61</v>
      </c>
      <c r="F684" s="4" t="s">
        <v>61</v>
      </c>
      <c r="G684" s="4" t="s">
        <v>61</v>
      </c>
    </row>
    <row r="685" spans="1:7">
      <c r="A685" s="4" t="s">
        <v>716</v>
      </c>
      <c r="B685" s="4" t="s">
        <v>731</v>
      </c>
      <c r="C685" s="4" t="s">
        <v>61</v>
      </c>
      <c r="D685" s="4" t="s">
        <v>61</v>
      </c>
      <c r="E685" s="4" t="s">
        <v>61</v>
      </c>
      <c r="F685" s="4" t="s">
        <v>61</v>
      </c>
      <c r="G685" s="4" t="s">
        <v>61</v>
      </c>
    </row>
    <row r="686" spans="1:7">
      <c r="A686" s="4" t="s">
        <v>716</v>
      </c>
      <c r="B686" s="4" t="s">
        <v>554</v>
      </c>
      <c r="C686" s="4" t="s">
        <v>61</v>
      </c>
      <c r="D686" s="4" t="s">
        <v>61</v>
      </c>
      <c r="E686" s="4" t="s">
        <v>61</v>
      </c>
      <c r="F686" s="4" t="s">
        <v>61</v>
      </c>
      <c r="G686" s="4" t="s">
        <v>61</v>
      </c>
    </row>
    <row r="687" spans="1:7">
      <c r="A687" s="4" t="s">
        <v>716</v>
      </c>
      <c r="B687" s="4" t="s">
        <v>732</v>
      </c>
      <c r="C687" s="4" t="s">
        <v>61</v>
      </c>
      <c r="D687" s="4" t="s">
        <v>61</v>
      </c>
      <c r="E687" s="4" t="s">
        <v>61</v>
      </c>
      <c r="F687" s="4" t="s">
        <v>61</v>
      </c>
      <c r="G687" s="4" t="s">
        <v>61</v>
      </c>
    </row>
    <row r="688" spans="1:7">
      <c r="A688" s="4" t="s">
        <v>716</v>
      </c>
      <c r="B688" s="4" t="s">
        <v>562</v>
      </c>
      <c r="C688" s="4" t="s">
        <v>61</v>
      </c>
      <c r="D688" s="4" t="s">
        <v>61</v>
      </c>
      <c r="E688" s="4" t="s">
        <v>61</v>
      </c>
      <c r="F688" s="4" t="s">
        <v>61</v>
      </c>
      <c r="G688" s="4" t="s">
        <v>61</v>
      </c>
    </row>
    <row r="689" spans="1:7">
      <c r="A689" s="4" t="s">
        <v>711</v>
      </c>
      <c r="B689" s="4" t="s">
        <v>733</v>
      </c>
      <c r="C689" s="4" t="s">
        <v>61</v>
      </c>
      <c r="D689" s="4" t="s">
        <v>61</v>
      </c>
      <c r="E689" s="4" t="s">
        <v>61</v>
      </c>
      <c r="F689" s="4" t="s">
        <v>61</v>
      </c>
      <c r="G689" s="4" t="s">
        <v>61</v>
      </c>
    </row>
    <row r="690" spans="1:7">
      <c r="A690" s="4" t="s">
        <v>711</v>
      </c>
      <c r="B690" s="4" t="s">
        <v>220</v>
      </c>
      <c r="C690" s="4" t="s">
        <v>61</v>
      </c>
      <c r="D690" s="4" t="s">
        <v>61</v>
      </c>
      <c r="E690" s="4" t="s">
        <v>61</v>
      </c>
      <c r="F690" s="4" t="s">
        <v>61</v>
      </c>
      <c r="G690" s="4" t="s">
        <v>61</v>
      </c>
    </row>
    <row r="691" spans="1:7">
      <c r="A691" s="4" t="s">
        <v>711</v>
      </c>
      <c r="B691" s="4" t="s">
        <v>734</v>
      </c>
      <c r="C691" s="4" t="s">
        <v>61</v>
      </c>
      <c r="D691" s="4" t="s">
        <v>61</v>
      </c>
      <c r="E691" s="4" t="s">
        <v>61</v>
      </c>
      <c r="F691" s="4" t="s">
        <v>61</v>
      </c>
      <c r="G691" s="4" t="s">
        <v>61</v>
      </c>
    </row>
    <row r="692" spans="1:7">
      <c r="A692" s="4" t="s">
        <v>717</v>
      </c>
      <c r="B692" s="4" t="s">
        <v>623</v>
      </c>
      <c r="C692" s="4" t="s">
        <v>61</v>
      </c>
      <c r="D692" s="4" t="s">
        <v>61</v>
      </c>
      <c r="E692" s="4" t="s">
        <v>61</v>
      </c>
      <c r="F692" s="4" t="s">
        <v>61</v>
      </c>
      <c r="G692" s="4" t="s">
        <v>61</v>
      </c>
    </row>
    <row r="693" spans="1:7">
      <c r="A693" s="4" t="s">
        <v>705</v>
      </c>
      <c r="B693" s="4" t="s">
        <v>501</v>
      </c>
      <c r="C693" s="4" t="s">
        <v>61</v>
      </c>
      <c r="D693" s="4" t="s">
        <v>61</v>
      </c>
      <c r="E693" s="4" t="s">
        <v>61</v>
      </c>
      <c r="F693" s="4" t="s">
        <v>61</v>
      </c>
      <c r="G693" s="4" t="s">
        <v>61</v>
      </c>
    </row>
    <row r="694" spans="1:7">
      <c r="A694" s="4" t="s">
        <v>706</v>
      </c>
      <c r="B694" s="4" t="s">
        <v>202</v>
      </c>
      <c r="C694" s="4" t="s">
        <v>61</v>
      </c>
      <c r="D694" s="4" t="s">
        <v>61</v>
      </c>
      <c r="E694" s="4" t="s">
        <v>61</v>
      </c>
      <c r="F694" s="4" t="s">
        <v>61</v>
      </c>
      <c r="G694" s="4" t="s">
        <v>61</v>
      </c>
    </row>
    <row r="695" spans="1:7">
      <c r="A695" s="4" t="s">
        <v>714</v>
      </c>
      <c r="B695" s="4" t="s">
        <v>735</v>
      </c>
      <c r="C695" s="4" t="s">
        <v>61</v>
      </c>
      <c r="D695" s="4" t="s">
        <v>61</v>
      </c>
      <c r="E695" s="4" t="s">
        <v>61</v>
      </c>
      <c r="F695" s="4" t="s">
        <v>61</v>
      </c>
      <c r="G695" s="4" t="s">
        <v>61</v>
      </c>
    </row>
    <row r="696" spans="1:7">
      <c r="A696" s="4" t="s">
        <v>708</v>
      </c>
      <c r="B696" s="4" t="s">
        <v>102</v>
      </c>
      <c r="C696" s="4" t="s">
        <v>61</v>
      </c>
      <c r="D696" s="4" t="s">
        <v>61</v>
      </c>
      <c r="E696" s="4" t="s">
        <v>61</v>
      </c>
      <c r="F696" s="4" t="s">
        <v>61</v>
      </c>
      <c r="G696" s="4" t="s">
        <v>61</v>
      </c>
    </row>
    <row r="697" spans="1:7">
      <c r="A697" s="4" t="s">
        <v>707</v>
      </c>
      <c r="B697" s="4" t="s">
        <v>299</v>
      </c>
      <c r="C697" s="4" t="s">
        <v>61</v>
      </c>
      <c r="D697" s="4" t="s">
        <v>61</v>
      </c>
      <c r="E697" s="4" t="s">
        <v>61</v>
      </c>
      <c r="F697" s="4" t="s">
        <v>61</v>
      </c>
      <c r="G697" s="4" t="s">
        <v>61</v>
      </c>
    </row>
    <row r="698" spans="1:7">
      <c r="A698" s="4" t="s">
        <v>716</v>
      </c>
      <c r="B698" s="4" t="s">
        <v>736</v>
      </c>
      <c r="C698" s="4" t="s">
        <v>61</v>
      </c>
      <c r="D698" s="4" t="s">
        <v>61</v>
      </c>
      <c r="E698" s="4" t="s">
        <v>61</v>
      </c>
      <c r="F698" s="4" t="s">
        <v>61</v>
      </c>
      <c r="G698" s="4" t="s">
        <v>61</v>
      </c>
    </row>
    <row r="699" spans="1:7">
      <c r="A699" s="7"/>
      <c r="B699" s="7"/>
      <c r="C699" s="7"/>
      <c r="D699" s="7"/>
      <c r="E699" s="7"/>
      <c r="F699" s="7"/>
      <c r="G699" s="7"/>
    </row>
  </sheetData>
  <autoFilter xmlns:etc="http://www.wps.cn/officeDocument/2017/etCustomData" ref="A2:G698" etc:filterBottomFollowUsedRange="0">
    <extLst/>
  </autoFilter>
  <mergeCells count="3">
    <mergeCell ref="A699:G699"/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2025-08-21T01:08:00Z</dcterms:created>
  <dcterms:modified xsi:type="dcterms:W3CDTF">2026-03-23T09:32:02Z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C3F4337CFBE185A32CDFC36845E91C2D_42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