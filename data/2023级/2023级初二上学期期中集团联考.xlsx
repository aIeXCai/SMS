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660"/>
  </bookViews>
  <sheets>
    <sheet name="Sheet3" sheetId="7" r:id="rId1"/>
    <sheet name="Sheet1" sheetId="5" r:id="rId2"/>
    <sheet name="Sheet2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<sst xmlns="http://schemas.openxmlformats.org/spreadsheetml/2006/main" count="2505" uniqueCount="832">
  <si>
    <t>学号</t>
  </si>
  <si>
    <t>学生姓名</t>
  </si>
  <si>
    <t>语文</t>
  </si>
  <si>
    <t>数学</t>
  </si>
  <si>
    <t>英语</t>
  </si>
  <si>
    <t>物理</t>
  </si>
  <si>
    <t>政治</t>
  </si>
  <si>
    <t>历史</t>
  </si>
  <si>
    <t>包为民</t>
  </si>
  <si>
    <t>曾劲松</t>
  </si>
  <si>
    <t>陈博凯</t>
  </si>
  <si>
    <t>刁艺翔</t>
  </si>
  <si>
    <t>范文翔</t>
  </si>
  <si>
    <t>范子沫</t>
  </si>
  <si>
    <t>冯浚杰</t>
  </si>
  <si>
    <t>黄欢畅</t>
  </si>
  <si>
    <t>黄天佑</t>
  </si>
  <si>
    <t>姜晨旭</t>
  </si>
  <si>
    <t>李浩森</t>
  </si>
  <si>
    <t>李鸣冲</t>
  </si>
  <si>
    <t>李驭世</t>
  </si>
  <si>
    <t>梁智轩</t>
  </si>
  <si>
    <t>廖子菡</t>
  </si>
  <si>
    <t>廖子墨</t>
  </si>
  <si>
    <t>林璐熙</t>
  </si>
  <si>
    <t>刘静怡</t>
  </si>
  <si>
    <t>刘启正</t>
  </si>
  <si>
    <t>刘希泽</t>
  </si>
  <si>
    <t>刘雨菲</t>
  </si>
  <si>
    <t>马婉婷</t>
  </si>
  <si>
    <t>毛遂</t>
  </si>
  <si>
    <t>朴娜颖</t>
  </si>
  <si>
    <t>强思翼</t>
  </si>
  <si>
    <t>王嘉铭</t>
  </si>
  <si>
    <t>吴定涵</t>
  </si>
  <si>
    <t>许耀丹</t>
  </si>
  <si>
    <t>未扫，不计排名</t>
  </si>
  <si>
    <t>叶晋衡</t>
  </si>
  <si>
    <t>叶晋熙</t>
  </si>
  <si>
    <t>叶雨晗</t>
  </si>
  <si>
    <t>张苗苗</t>
  </si>
  <si>
    <t>郑光耀</t>
  </si>
  <si>
    <t>钟恩琳</t>
  </si>
  <si>
    <t>钟梓萌</t>
  </si>
  <si>
    <t>朱浩宇</t>
  </si>
  <si>
    <t>朱文皓哲</t>
  </si>
  <si>
    <t>诸言</t>
  </si>
  <si>
    <t>林子健</t>
  </si>
  <si>
    <t>黄浩燃</t>
  </si>
  <si>
    <t>陈峻灏</t>
  </si>
  <si>
    <t>陈芷君</t>
  </si>
  <si>
    <t>成紫强</t>
  </si>
  <si>
    <t>范洛铨</t>
  </si>
  <si>
    <t>何语筠</t>
  </si>
  <si>
    <t>黄磊</t>
  </si>
  <si>
    <t>黄文轩</t>
  </si>
  <si>
    <t>黄炫凯</t>
  </si>
  <si>
    <t>黄梓源</t>
  </si>
  <si>
    <t>嵇祤宸</t>
  </si>
  <si>
    <t>李百恩</t>
  </si>
  <si>
    <t>李睿杰</t>
  </si>
  <si>
    <t>李伊</t>
  </si>
  <si>
    <t>李悠然</t>
  </si>
  <si>
    <t>李展宇</t>
  </si>
  <si>
    <t>林宗泽</t>
  </si>
  <si>
    <t>刘焕堃</t>
  </si>
  <si>
    <t>潘婧雯</t>
  </si>
  <si>
    <t>彭赞</t>
  </si>
  <si>
    <t>彭梓萱</t>
  </si>
  <si>
    <t>阙嘉乐</t>
  </si>
  <si>
    <t>谭以珩</t>
  </si>
  <si>
    <t>王天昊</t>
  </si>
  <si>
    <t>吴乐欣</t>
  </si>
  <si>
    <t>伍斯炜</t>
  </si>
  <si>
    <t>许锦翔</t>
  </si>
  <si>
    <t>薛宇璐</t>
  </si>
  <si>
    <t>叶梓霖</t>
  </si>
  <si>
    <t>叶梓扬</t>
  </si>
  <si>
    <t>张抱抱</t>
  </si>
  <si>
    <t>张柔华</t>
  </si>
  <si>
    <t>张馨予</t>
  </si>
  <si>
    <t>张娅楠</t>
  </si>
  <si>
    <t>张钊鸣</t>
  </si>
  <si>
    <t>赵一航</t>
  </si>
  <si>
    <t>郑思怡</t>
  </si>
  <si>
    <t>智靖雅</t>
  </si>
  <si>
    <t>钟力行</t>
  </si>
  <si>
    <t>周家乐</t>
  </si>
  <si>
    <t>张昊田</t>
  </si>
  <si>
    <t>石一涵</t>
  </si>
  <si>
    <t>黎泰贤</t>
  </si>
  <si>
    <t>曾德</t>
  </si>
  <si>
    <t>陈思睿</t>
  </si>
  <si>
    <t>陈怡平</t>
  </si>
  <si>
    <t>邓善媛</t>
  </si>
  <si>
    <t>方梓涵</t>
  </si>
  <si>
    <t>冯珮盈</t>
  </si>
  <si>
    <t>郭梓绮</t>
  </si>
  <si>
    <t>何致远</t>
  </si>
  <si>
    <t>黄书瀚</t>
  </si>
  <si>
    <t>李启昊</t>
  </si>
  <si>
    <t>李文博</t>
  </si>
  <si>
    <t>李雯琪</t>
  </si>
  <si>
    <t>梁家豪</t>
  </si>
  <si>
    <t>林逸晟</t>
  </si>
  <si>
    <t>林子为</t>
  </si>
  <si>
    <t>罗伟桓</t>
  </si>
  <si>
    <t>麦一帆</t>
  </si>
  <si>
    <t>莫梓涵</t>
  </si>
  <si>
    <t>缪昊武</t>
  </si>
  <si>
    <t>钱志轩</t>
  </si>
  <si>
    <t>佘亦琳</t>
  </si>
  <si>
    <t>石鸿涛</t>
  </si>
  <si>
    <t>吴宇皓</t>
  </si>
  <si>
    <t>吴梓轩</t>
  </si>
  <si>
    <t>肖俊霆</t>
  </si>
  <si>
    <t>谢童</t>
  </si>
  <si>
    <t>许峻豪</t>
  </si>
  <si>
    <t>颜浩翔</t>
  </si>
  <si>
    <t>杨伟泽</t>
  </si>
  <si>
    <t>姚映栒</t>
  </si>
  <si>
    <t>易妙可</t>
  </si>
  <si>
    <t>张钧茗</t>
  </si>
  <si>
    <t>张芯瑜</t>
  </si>
  <si>
    <t>张智航</t>
  </si>
  <si>
    <t>张子恩</t>
  </si>
  <si>
    <t>郑灏林</t>
  </si>
  <si>
    <t>郑之欣</t>
  </si>
  <si>
    <t>朱永熙</t>
  </si>
  <si>
    <t>蓝尧竑</t>
  </si>
  <si>
    <t>周雯珺</t>
  </si>
  <si>
    <t>曾可欣</t>
  </si>
  <si>
    <t>曾欣悦</t>
  </si>
  <si>
    <t>陈思诚</t>
  </si>
  <si>
    <t>陈奕行</t>
  </si>
  <si>
    <t>陈圳熙</t>
  </si>
  <si>
    <t>陈卓雅</t>
  </si>
  <si>
    <t>代一睿</t>
  </si>
  <si>
    <t>黄瑞</t>
  </si>
  <si>
    <t>黄芷恩</t>
  </si>
  <si>
    <t>蒋羽沣</t>
  </si>
  <si>
    <t>雷云翔</t>
  </si>
  <si>
    <t>李冠聪</t>
  </si>
  <si>
    <t>李铭</t>
  </si>
  <si>
    <t>李铭杰</t>
  </si>
  <si>
    <t>李荣轩</t>
  </si>
  <si>
    <t>李雯婷</t>
  </si>
  <si>
    <t>李梓锐</t>
  </si>
  <si>
    <t>林煜涔</t>
  </si>
  <si>
    <t>刘楚锋</t>
  </si>
  <si>
    <t>丘芷琳</t>
  </si>
  <si>
    <t>润熙和</t>
  </si>
  <si>
    <t>邵泽凯</t>
  </si>
  <si>
    <t>佘子涛</t>
  </si>
  <si>
    <t>翁铭欣</t>
  </si>
  <si>
    <t>吴俊轩</t>
  </si>
  <si>
    <t>吴彦柏</t>
  </si>
  <si>
    <t>吴雨琳</t>
  </si>
  <si>
    <t>吴雨泽</t>
  </si>
  <si>
    <t>吴卓殷</t>
  </si>
  <si>
    <t>伍世睿</t>
  </si>
  <si>
    <t>夏以昕</t>
  </si>
  <si>
    <t>肖湘悦</t>
  </si>
  <si>
    <t>谢惠慈</t>
  </si>
  <si>
    <t>谢梓航</t>
  </si>
  <si>
    <t>叶杰森</t>
  </si>
  <si>
    <t>张洛斯</t>
  </si>
  <si>
    <t>张宇轩</t>
  </si>
  <si>
    <t>郑子昊</t>
  </si>
  <si>
    <t>左恩宇</t>
  </si>
  <si>
    <t>王凯鑫</t>
  </si>
  <si>
    <t>梁亚楠</t>
  </si>
  <si>
    <t>曾晨熙</t>
  </si>
  <si>
    <t>曾维泰</t>
  </si>
  <si>
    <t>陈定轩</t>
  </si>
  <si>
    <t>陈浩仁</t>
  </si>
  <si>
    <t>崔政楠</t>
  </si>
  <si>
    <t>冯文彦</t>
  </si>
  <si>
    <t>冯颖慧</t>
  </si>
  <si>
    <t>何牧</t>
  </si>
  <si>
    <t>何希桐</t>
  </si>
  <si>
    <t>胡杰文</t>
  </si>
  <si>
    <t>黄楷豪</t>
  </si>
  <si>
    <t>黄逸桐</t>
  </si>
  <si>
    <t>黎泳彤</t>
  </si>
  <si>
    <t>李晨茜</t>
  </si>
  <si>
    <t>刘思琪</t>
  </si>
  <si>
    <t>刘宛臻</t>
  </si>
  <si>
    <t>龙文滔</t>
  </si>
  <si>
    <t>罗俊朗</t>
  </si>
  <si>
    <t>罗梓豪</t>
  </si>
  <si>
    <t>吕杰潼</t>
  </si>
  <si>
    <t>吕萱</t>
  </si>
  <si>
    <t>宋壁光</t>
  </si>
  <si>
    <t>覃文欣</t>
  </si>
  <si>
    <t>万俊贤</t>
  </si>
  <si>
    <t>文俊杰</t>
  </si>
  <si>
    <t>吴钟策</t>
  </si>
  <si>
    <t>熊玺</t>
  </si>
  <si>
    <t>熊子豪</t>
  </si>
  <si>
    <t>许宇畅</t>
  </si>
  <si>
    <t>许芷晴</t>
  </si>
  <si>
    <t>严宇恒</t>
  </si>
  <si>
    <t>杨梓沛</t>
  </si>
  <si>
    <t>张初阳</t>
  </si>
  <si>
    <t>张鸿杰</t>
  </si>
  <si>
    <t>钟梓嘉</t>
  </si>
  <si>
    <t>朱恒锋</t>
  </si>
  <si>
    <t>庄皓翔</t>
  </si>
  <si>
    <t>左伊雪</t>
  </si>
  <si>
    <t>钟炽柔</t>
  </si>
  <si>
    <t>蔡诚俊</t>
  </si>
  <si>
    <t>陈昊洋</t>
  </si>
  <si>
    <t>陈黄可</t>
  </si>
  <si>
    <t>陈沛斯</t>
  </si>
  <si>
    <t>邓晟涵</t>
  </si>
  <si>
    <t>段文韬</t>
  </si>
  <si>
    <t>樊璟朗</t>
  </si>
  <si>
    <t>付丽云</t>
  </si>
  <si>
    <t>古灿丰</t>
  </si>
  <si>
    <t>古逸威</t>
  </si>
  <si>
    <t>郭子恒</t>
  </si>
  <si>
    <t>何子骏</t>
  </si>
  <si>
    <t>贺加琦</t>
  </si>
  <si>
    <t>黄珷珺</t>
  </si>
  <si>
    <t>劳诗晴</t>
  </si>
  <si>
    <t>雷乐轩</t>
  </si>
  <si>
    <t>李晋希</t>
  </si>
  <si>
    <t>李洋</t>
  </si>
  <si>
    <t>李羽浩</t>
  </si>
  <si>
    <t>李梓妍</t>
  </si>
  <si>
    <t>梁景恒</t>
  </si>
  <si>
    <t>梁泽浩</t>
  </si>
  <si>
    <t>林丰恩</t>
  </si>
  <si>
    <t>卢语煊</t>
  </si>
  <si>
    <t>马信喆</t>
  </si>
  <si>
    <t>莫书豪</t>
  </si>
  <si>
    <t>欧欣怡</t>
  </si>
  <si>
    <t>潘允哲</t>
  </si>
  <si>
    <t>宋戈</t>
  </si>
  <si>
    <t>汪宝瑞</t>
  </si>
  <si>
    <t>吴皓琨</t>
  </si>
  <si>
    <t>萧君昊</t>
  </si>
  <si>
    <t>肖煜恒</t>
  </si>
  <si>
    <t>谢沛莹</t>
  </si>
  <si>
    <t>许馨月</t>
  </si>
  <si>
    <t>姚茗泽</t>
  </si>
  <si>
    <t>姚睿良</t>
  </si>
  <si>
    <t>叶梓婷</t>
  </si>
  <si>
    <t>游梦琪</t>
  </si>
  <si>
    <t>袁睿浩</t>
  </si>
  <si>
    <t>臧弈鸣</t>
  </si>
  <si>
    <t>张君度</t>
  </si>
  <si>
    <t>郑博元</t>
  </si>
  <si>
    <t>周智生</t>
  </si>
  <si>
    <t>朱安沁</t>
  </si>
  <si>
    <t>陈靖朗</t>
  </si>
  <si>
    <t>陈俊钊</t>
  </si>
  <si>
    <t>陈熙</t>
  </si>
  <si>
    <t>符培懋</t>
  </si>
  <si>
    <t>高诗馨</t>
  </si>
  <si>
    <t>郭国庆</t>
  </si>
  <si>
    <t>郭宪霖</t>
  </si>
  <si>
    <t>黄睿曜</t>
  </si>
  <si>
    <t>黄奕</t>
  </si>
  <si>
    <t>邝俊明</t>
  </si>
  <si>
    <t>蓝博</t>
  </si>
  <si>
    <t>雷家晔</t>
  </si>
  <si>
    <t>黎培滔</t>
  </si>
  <si>
    <t>李晗飞</t>
  </si>
  <si>
    <t>李皓然</t>
  </si>
  <si>
    <t>李佳泽</t>
  </si>
  <si>
    <t>李政锐</t>
  </si>
  <si>
    <t>李梓萱</t>
  </si>
  <si>
    <t>廖丹青</t>
  </si>
  <si>
    <t>林佩雯</t>
  </si>
  <si>
    <t>刘云天</t>
  </si>
  <si>
    <t>欧阳紫桐</t>
  </si>
  <si>
    <t>苏嘉华</t>
  </si>
  <si>
    <t>庹峻博</t>
  </si>
  <si>
    <t>汪辰轩</t>
  </si>
  <si>
    <t>温卓源</t>
  </si>
  <si>
    <t>吴思怡</t>
  </si>
  <si>
    <t>夏浩茗</t>
  </si>
  <si>
    <t>谢鑫媛</t>
  </si>
  <si>
    <t>颜熙峻</t>
  </si>
  <si>
    <t>杨珺贻</t>
  </si>
  <si>
    <t>杨泽凯</t>
  </si>
  <si>
    <t>杨兆基</t>
  </si>
  <si>
    <t>杨州</t>
  </si>
  <si>
    <t>杨紫露</t>
  </si>
  <si>
    <t>余沃平</t>
  </si>
  <si>
    <t>张浩轩</t>
  </si>
  <si>
    <t>张舒鑫</t>
  </si>
  <si>
    <t>张又菡</t>
  </si>
  <si>
    <t>赵睿恺</t>
  </si>
  <si>
    <t>钟韵琪</t>
  </si>
  <si>
    <t>周俊希</t>
  </si>
  <si>
    <t>朱静宜</t>
  </si>
  <si>
    <t>朱彦郗</t>
  </si>
  <si>
    <t>朱芷华</t>
  </si>
  <si>
    <t>蔡芷盈</t>
  </si>
  <si>
    <t>陈昕缘</t>
  </si>
  <si>
    <t>崔誉缤</t>
  </si>
  <si>
    <t>邓林峰</t>
  </si>
  <si>
    <t>董宇阳</t>
  </si>
  <si>
    <t>甘天行</t>
  </si>
  <si>
    <t>郭家润</t>
  </si>
  <si>
    <t>洪子瑞</t>
  </si>
  <si>
    <t>黄熙峻</t>
  </si>
  <si>
    <t>黄臻瑜</t>
  </si>
  <si>
    <t>李菲凡</t>
  </si>
  <si>
    <t>李豪天</t>
  </si>
  <si>
    <t>李浩诚</t>
  </si>
  <si>
    <t>李佳慧</t>
  </si>
  <si>
    <t>李沛帆</t>
  </si>
  <si>
    <t>李怡轩</t>
  </si>
  <si>
    <t>李以恬</t>
  </si>
  <si>
    <t>梁瑜妍</t>
  </si>
  <si>
    <t>林品源</t>
  </si>
  <si>
    <t>刘宸浩</t>
  </si>
  <si>
    <t>刘佳滢</t>
  </si>
  <si>
    <t>刘卓霖</t>
  </si>
  <si>
    <t>刘梓贤</t>
  </si>
  <si>
    <t>宁若翔</t>
  </si>
  <si>
    <t>秦山桐</t>
  </si>
  <si>
    <t>魏子轩</t>
  </si>
  <si>
    <t>吴定轩</t>
  </si>
  <si>
    <t>谢智嘉</t>
  </si>
  <si>
    <t>徐艺宸</t>
  </si>
  <si>
    <t>余昊原</t>
  </si>
  <si>
    <t>余少淇</t>
  </si>
  <si>
    <t>张书睿</t>
  </si>
  <si>
    <t>张宇白</t>
  </si>
  <si>
    <t>张羽瑄</t>
  </si>
  <si>
    <t>张宗源</t>
  </si>
  <si>
    <t>郑靖恒</t>
  </si>
  <si>
    <t>郑思敏</t>
  </si>
  <si>
    <t>钟梓淇</t>
  </si>
  <si>
    <t>周峻帆</t>
  </si>
  <si>
    <t>朱俊熙</t>
  </si>
  <si>
    <t>朱振东</t>
  </si>
  <si>
    <t>曾潇雅</t>
  </si>
  <si>
    <t>陈怡霏</t>
  </si>
  <si>
    <t>揣皓麟</t>
  </si>
  <si>
    <t>戴上焜</t>
  </si>
  <si>
    <t>邓诗杨</t>
  </si>
  <si>
    <t>杜紫杨</t>
  </si>
  <si>
    <t>冯梓轩</t>
  </si>
  <si>
    <t>顾珂瑀</t>
  </si>
  <si>
    <t>郭钰涵</t>
  </si>
  <si>
    <t>胡俊天</t>
  </si>
  <si>
    <t>黄子轩</t>
  </si>
  <si>
    <t>黄梓琬</t>
  </si>
  <si>
    <t>江嘉琪</t>
  </si>
  <si>
    <t>江君浩</t>
  </si>
  <si>
    <t>孔维添</t>
  </si>
  <si>
    <t>李雨霏</t>
  </si>
  <si>
    <t>李芷琪</t>
  </si>
  <si>
    <t>林奕含</t>
  </si>
  <si>
    <t>刘嘉毅</t>
  </si>
  <si>
    <t>刘武煊</t>
  </si>
  <si>
    <t>刘震</t>
  </si>
  <si>
    <t>马瑞君</t>
  </si>
  <si>
    <t>聂名辰</t>
  </si>
  <si>
    <t>欧贞希</t>
  </si>
  <si>
    <t>彭亮楠</t>
  </si>
  <si>
    <t>彭芯蕾</t>
  </si>
  <si>
    <t>钱广峰</t>
  </si>
  <si>
    <t>邱俊谦</t>
  </si>
  <si>
    <t>全舒妍</t>
  </si>
  <si>
    <t>王鸿彬</t>
  </si>
  <si>
    <t>王威越</t>
  </si>
  <si>
    <t>王翌晓</t>
  </si>
  <si>
    <t>温鑫杰</t>
  </si>
  <si>
    <t>谢君豪</t>
  </si>
  <si>
    <t>谢锐涛</t>
  </si>
  <si>
    <t>徐靖壹</t>
  </si>
  <si>
    <t>徐梓童</t>
  </si>
  <si>
    <t>许志轩</t>
  </si>
  <si>
    <t>严俊杰</t>
  </si>
  <si>
    <t>杨其林</t>
  </si>
  <si>
    <t>杨舒茵</t>
  </si>
  <si>
    <t>袁慧璇</t>
  </si>
  <si>
    <t>郑博涵</t>
  </si>
  <si>
    <t>钟浩轩</t>
  </si>
  <si>
    <t>钟梓琪</t>
  </si>
  <si>
    <t>陈峻朗</t>
  </si>
  <si>
    <t>何锦程</t>
  </si>
  <si>
    <t>侯锦霖</t>
  </si>
  <si>
    <t>侯萱忆</t>
  </si>
  <si>
    <t>黄思源</t>
  </si>
  <si>
    <t>金泰宇</t>
  </si>
  <si>
    <t>李尚蔚</t>
  </si>
  <si>
    <t>李映霏</t>
  </si>
  <si>
    <t>梁致希</t>
  </si>
  <si>
    <t>林楚方</t>
  </si>
  <si>
    <t>林致</t>
  </si>
  <si>
    <t>刘昌俊</t>
  </si>
  <si>
    <t>龙韵淇</t>
  </si>
  <si>
    <t>罗斌</t>
  </si>
  <si>
    <t>麦柏睿</t>
  </si>
  <si>
    <t>邱金扬</t>
  </si>
  <si>
    <t>史倩华</t>
  </si>
  <si>
    <t>汪圆圆</t>
  </si>
  <si>
    <t>王汇新</t>
  </si>
  <si>
    <t>王梓辰</t>
  </si>
  <si>
    <t>吴沐谦</t>
  </si>
  <si>
    <t>吴骐禄</t>
  </si>
  <si>
    <t>肖程晴</t>
  </si>
  <si>
    <t>徐心瑶</t>
  </si>
  <si>
    <t>杨杰童</t>
  </si>
  <si>
    <t>杨梓艺</t>
  </si>
  <si>
    <t>叶添楠</t>
  </si>
  <si>
    <t>叶奕贝</t>
  </si>
  <si>
    <t>叶语宸</t>
  </si>
  <si>
    <t>张靖瑶</t>
  </si>
  <si>
    <t>张雅琪</t>
  </si>
  <si>
    <t>张姚景</t>
  </si>
  <si>
    <t>朱正博</t>
  </si>
  <si>
    <t>王好</t>
  </si>
  <si>
    <t>唐润恒</t>
  </si>
  <si>
    <t>谢雨珊</t>
  </si>
  <si>
    <t>徐可岚</t>
  </si>
  <si>
    <t>俞琦峰</t>
  </si>
  <si>
    <t>马熙彤</t>
  </si>
  <si>
    <t>敖以然</t>
  </si>
  <si>
    <t>曾亨元</t>
  </si>
  <si>
    <t>陈美美</t>
  </si>
  <si>
    <t>戴楷烜</t>
  </si>
  <si>
    <t>戴子尧</t>
  </si>
  <si>
    <t>冯嘉烨</t>
  </si>
  <si>
    <t>高菲阳</t>
  </si>
  <si>
    <t>贺明非</t>
  </si>
  <si>
    <t>黄丽雅</t>
  </si>
  <si>
    <t>黄语嫣</t>
  </si>
  <si>
    <t>江林睿</t>
  </si>
  <si>
    <t>蒋雨轩</t>
  </si>
  <si>
    <t>赖芯滢</t>
  </si>
  <si>
    <t>李灿玮</t>
  </si>
  <si>
    <t>李源泉</t>
  </si>
  <si>
    <t>梁心晴</t>
  </si>
  <si>
    <t>刘曼雅</t>
  </si>
  <si>
    <t>刘小溪</t>
  </si>
  <si>
    <t>刘志宇</t>
  </si>
  <si>
    <t>罗加薇</t>
  </si>
  <si>
    <t>潘佳楠</t>
  </si>
  <si>
    <t>谭礼璐</t>
  </si>
  <si>
    <t>王栎颖</t>
  </si>
  <si>
    <t>王乙多</t>
  </si>
  <si>
    <t>王梓凝</t>
  </si>
  <si>
    <t>吴景喆</t>
  </si>
  <si>
    <t>肖茵瑜</t>
  </si>
  <si>
    <t>谢莹</t>
  </si>
  <si>
    <t>徐想</t>
  </si>
  <si>
    <t>许君博</t>
  </si>
  <si>
    <t>姚杰瀚</t>
  </si>
  <si>
    <t>叶梓烯</t>
  </si>
  <si>
    <t>张雪晗</t>
  </si>
  <si>
    <t>张钰霏</t>
  </si>
  <si>
    <t>郑皓伦</t>
  </si>
  <si>
    <t>郑静远</t>
  </si>
  <si>
    <t>周文宇</t>
  </si>
  <si>
    <t>周永轩</t>
  </si>
  <si>
    <t>朱芷筠</t>
  </si>
  <si>
    <t>朱紫妍</t>
  </si>
  <si>
    <t>邹明桥</t>
  </si>
  <si>
    <t>陈泓羽</t>
  </si>
  <si>
    <t>郑慕曦</t>
  </si>
  <si>
    <t>蔡卓燃</t>
  </si>
  <si>
    <t>陈弘</t>
  </si>
  <si>
    <t>陈景翔</t>
  </si>
  <si>
    <t>陈凯瑞</t>
  </si>
  <si>
    <t>陈禹羲</t>
  </si>
  <si>
    <t>程芋萱</t>
  </si>
  <si>
    <t>葛志远</t>
  </si>
  <si>
    <t>郭彦熙</t>
  </si>
  <si>
    <t>何曦</t>
  </si>
  <si>
    <t>胡瑞华</t>
  </si>
  <si>
    <t>黄靖祺</t>
  </si>
  <si>
    <t>蓝岚</t>
  </si>
  <si>
    <t>李瑞卿</t>
  </si>
  <si>
    <t>李汶骏</t>
  </si>
  <si>
    <t>李垚静</t>
  </si>
  <si>
    <t>李卓翰</t>
  </si>
  <si>
    <t>林朋屾</t>
  </si>
  <si>
    <t>罗晟睿</t>
  </si>
  <si>
    <t>罗家俊</t>
  </si>
  <si>
    <t>罗天佑</t>
  </si>
  <si>
    <t>吕文婧</t>
  </si>
  <si>
    <t>孟致远</t>
  </si>
  <si>
    <t>潘品妍</t>
  </si>
  <si>
    <t>饶城宇</t>
  </si>
  <si>
    <t>苏雨嫣</t>
  </si>
  <si>
    <t>孙翊函</t>
  </si>
  <si>
    <t>温雅晴</t>
  </si>
  <si>
    <t>萧凯铿</t>
  </si>
  <si>
    <t>谢佳福</t>
  </si>
  <si>
    <t>谢雅吉</t>
  </si>
  <si>
    <t>杨临风</t>
  </si>
  <si>
    <t>杨芷晴</t>
  </si>
  <si>
    <t>尹子谦</t>
  </si>
  <si>
    <t>游惠雅</t>
  </si>
  <si>
    <t>詹伊涵</t>
  </si>
  <si>
    <t>张灏欣</t>
  </si>
  <si>
    <t>张一鹭</t>
  </si>
  <si>
    <t>赵怡然</t>
  </si>
  <si>
    <t>庄婧菡</t>
  </si>
  <si>
    <t>卓靖超</t>
  </si>
  <si>
    <t>陈嘉荣</t>
  </si>
  <si>
    <t>车文弢</t>
  </si>
  <si>
    <t>陈家宇</t>
  </si>
  <si>
    <t>陈楷宇</t>
  </si>
  <si>
    <t>崇峻</t>
  </si>
  <si>
    <t>丁一媛</t>
  </si>
  <si>
    <t>高汇轩</t>
  </si>
  <si>
    <t>郭瑞馨</t>
  </si>
  <si>
    <t>胡家豪</t>
  </si>
  <si>
    <t>孔健沣</t>
  </si>
  <si>
    <t>李林歙</t>
  </si>
  <si>
    <t>李睿之</t>
  </si>
  <si>
    <t>李想</t>
  </si>
  <si>
    <t>李悦扬</t>
  </si>
  <si>
    <t>梁宸</t>
  </si>
  <si>
    <t>梁予馨</t>
  </si>
  <si>
    <t>林睿</t>
  </si>
  <si>
    <t>刘心宇</t>
  </si>
  <si>
    <t>罗乐瑶</t>
  </si>
  <si>
    <t>骆煜祺</t>
  </si>
  <si>
    <t>马旻晏</t>
  </si>
  <si>
    <t>麦昊岚</t>
  </si>
  <si>
    <t>莫梓彤</t>
  </si>
  <si>
    <t>欧阳誉恒</t>
  </si>
  <si>
    <t>潘心悦</t>
  </si>
  <si>
    <t>邱昭懿</t>
  </si>
  <si>
    <t>任天倪</t>
  </si>
  <si>
    <t>沈峻熙</t>
  </si>
  <si>
    <t>施泽熙</t>
  </si>
  <si>
    <t>唐梓宸</t>
  </si>
  <si>
    <t>王俊然</t>
  </si>
  <si>
    <t>王妍雯</t>
  </si>
  <si>
    <t>谢睿朗</t>
  </si>
  <si>
    <t>徐靖博</t>
  </si>
  <si>
    <t>严梓恒</t>
  </si>
  <si>
    <t>张瑞芯</t>
  </si>
  <si>
    <t>张梓寒</t>
  </si>
  <si>
    <t>章忆雯</t>
  </si>
  <si>
    <t>钟毓</t>
  </si>
  <si>
    <t>周子为</t>
  </si>
  <si>
    <t>朱峻熙</t>
  </si>
  <si>
    <t>朱子行</t>
  </si>
  <si>
    <t>柴子煜</t>
  </si>
  <si>
    <t>陈佳怡</t>
  </si>
  <si>
    <t>陈嘉扬</t>
  </si>
  <si>
    <t>陈雅唯</t>
  </si>
  <si>
    <t>陈泳嘉</t>
  </si>
  <si>
    <t>陈震宁</t>
  </si>
  <si>
    <t>程昱哲</t>
  </si>
  <si>
    <t>丁峤睿</t>
  </si>
  <si>
    <t>方培燊</t>
  </si>
  <si>
    <t>付浩冉</t>
  </si>
  <si>
    <t>何柏恒</t>
  </si>
  <si>
    <t>何笑薇</t>
  </si>
  <si>
    <t>何彦潼</t>
  </si>
  <si>
    <t>黄星豪</t>
  </si>
  <si>
    <t>黄一北</t>
  </si>
  <si>
    <t>孔麒竣</t>
  </si>
  <si>
    <t>李昊洋</t>
  </si>
  <si>
    <t>李何翯</t>
  </si>
  <si>
    <t>李润淇</t>
  </si>
  <si>
    <t>李钰涵</t>
  </si>
  <si>
    <t>李子敬</t>
  </si>
  <si>
    <t>梁宇轩</t>
  </si>
  <si>
    <t>林永祈</t>
  </si>
  <si>
    <t>刘懿慧</t>
  </si>
  <si>
    <t>刘茁粤</t>
  </si>
  <si>
    <t>刘梓萱</t>
  </si>
  <si>
    <t>罗鼎铭</t>
  </si>
  <si>
    <t>罗君浩</t>
  </si>
  <si>
    <t>罗梓涵</t>
  </si>
  <si>
    <t>马浩翔</t>
  </si>
  <si>
    <t>梅恩豪</t>
  </si>
  <si>
    <t>邱子馨</t>
  </si>
  <si>
    <t>阮之谦</t>
  </si>
  <si>
    <t>唐子骁</t>
  </si>
  <si>
    <t>王亦菲</t>
  </si>
  <si>
    <t>魏俊熙</t>
  </si>
  <si>
    <t>谢凯帆</t>
  </si>
  <si>
    <t>杨航</t>
  </si>
  <si>
    <t>姚子晨</t>
  </si>
  <si>
    <t>张诗涵</t>
  </si>
  <si>
    <t>赵逸承</t>
  </si>
  <si>
    <t>周佳杰</t>
  </si>
  <si>
    <t>朱师钰</t>
  </si>
  <si>
    <t>白梓彤</t>
  </si>
  <si>
    <t>蔡熹</t>
  </si>
  <si>
    <t>曾子瀚</t>
  </si>
  <si>
    <t>陈柳含</t>
  </si>
  <si>
    <t>陈艺瑶</t>
  </si>
  <si>
    <t>陈颖</t>
  </si>
  <si>
    <t>丁政皓</t>
  </si>
  <si>
    <t>范欣怡</t>
  </si>
  <si>
    <t>郭千亿</t>
  </si>
  <si>
    <t>何炜堂</t>
  </si>
  <si>
    <t>何语菡</t>
  </si>
  <si>
    <t>黄俊炜</t>
  </si>
  <si>
    <t>黄骏洋</t>
  </si>
  <si>
    <t>季子航</t>
  </si>
  <si>
    <t>劳雨萱</t>
  </si>
  <si>
    <t>雷宇骁</t>
  </si>
  <si>
    <t>李嘉睿</t>
  </si>
  <si>
    <t>李文君</t>
  </si>
  <si>
    <t>李泽恒</t>
  </si>
  <si>
    <t>李知与</t>
  </si>
  <si>
    <t>梁雅文</t>
  </si>
  <si>
    <t>梁雨萱</t>
  </si>
  <si>
    <t>廖栩烨</t>
  </si>
  <si>
    <t>林泓宇</t>
  </si>
  <si>
    <t>林宇航</t>
  </si>
  <si>
    <t>刘昊轩</t>
  </si>
  <si>
    <t>刘天琦</t>
  </si>
  <si>
    <t>刘欣怡</t>
  </si>
  <si>
    <t>罗茵潆</t>
  </si>
  <si>
    <t>罗子严</t>
  </si>
  <si>
    <t>彭博文</t>
  </si>
  <si>
    <t>任彦瑾</t>
  </si>
  <si>
    <t>孙启航</t>
  </si>
  <si>
    <t>汪语星</t>
  </si>
  <si>
    <t>王震轩</t>
  </si>
  <si>
    <t>温雨荷</t>
  </si>
  <si>
    <t>谢若蓥</t>
  </si>
  <si>
    <t>杨思予</t>
  </si>
  <si>
    <t>叶涵迪</t>
  </si>
  <si>
    <t>余俊贤</t>
  </si>
  <si>
    <t>张峻驰</t>
  </si>
  <si>
    <t>张艺菱</t>
  </si>
  <si>
    <t>张梓城</t>
  </si>
  <si>
    <t>朱炫安</t>
  </si>
  <si>
    <t>卓宇阳</t>
  </si>
  <si>
    <t>陈俊宇</t>
  </si>
  <si>
    <t>陈俊源</t>
  </si>
  <si>
    <t>陈宇轩</t>
  </si>
  <si>
    <t>陈政桉</t>
  </si>
  <si>
    <t>方起</t>
  </si>
  <si>
    <t>方欣怡</t>
  </si>
  <si>
    <t>官家宜</t>
  </si>
  <si>
    <t>郭胜铭</t>
  </si>
  <si>
    <t>郭彧</t>
  </si>
  <si>
    <t>郭子熙</t>
  </si>
  <si>
    <t>何杨增</t>
  </si>
  <si>
    <t>黄铭栋</t>
  </si>
  <si>
    <t>江梓宁</t>
  </si>
  <si>
    <t>李诗灏</t>
  </si>
  <si>
    <t>李羽洛</t>
  </si>
  <si>
    <t>林靖翔</t>
  </si>
  <si>
    <t>林钰轩</t>
  </si>
  <si>
    <t>林子轩</t>
  </si>
  <si>
    <t>刘昇</t>
  </si>
  <si>
    <t>刘岩鑫</t>
  </si>
  <si>
    <t>卢伯晋</t>
  </si>
  <si>
    <t>孟瑾诺</t>
  </si>
  <si>
    <t>缪宇峰</t>
  </si>
  <si>
    <t>宁张宇轩</t>
  </si>
  <si>
    <t>彭建秋</t>
  </si>
  <si>
    <t>苏千婷</t>
  </si>
  <si>
    <t>王承淞</t>
  </si>
  <si>
    <t>吴墨桐</t>
  </si>
  <si>
    <t>吴止境</t>
  </si>
  <si>
    <t>徐王蓓</t>
  </si>
  <si>
    <t>徐梓然</t>
  </si>
  <si>
    <t>杨沐雨</t>
  </si>
  <si>
    <t>杨若瑜</t>
  </si>
  <si>
    <t>杨子宁</t>
  </si>
  <si>
    <t>詹廷煜</t>
  </si>
  <si>
    <t>张泽彬</t>
  </si>
  <si>
    <t>郑佳鑫</t>
  </si>
  <si>
    <t>周景源</t>
  </si>
  <si>
    <t>周熙迪</t>
  </si>
  <si>
    <t>谭芷玲</t>
  </si>
  <si>
    <t>曹梓涵</t>
  </si>
  <si>
    <t>曹梓灏</t>
  </si>
  <si>
    <t>曾子纯</t>
  </si>
  <si>
    <t>陈妍孜</t>
  </si>
  <si>
    <t>丁启亮</t>
  </si>
  <si>
    <t>段熙雯</t>
  </si>
  <si>
    <t>符珈睿</t>
  </si>
  <si>
    <t>高一诺</t>
  </si>
  <si>
    <t>郭世霖</t>
  </si>
  <si>
    <t>何鸿熹</t>
  </si>
  <si>
    <t>何梓轩</t>
  </si>
  <si>
    <t>黄浩谦</t>
  </si>
  <si>
    <t>黄峻</t>
  </si>
  <si>
    <t>黄耀霆</t>
  </si>
  <si>
    <t>吉好</t>
  </si>
  <si>
    <t>李俊烨</t>
  </si>
  <si>
    <t>李芷烨</t>
  </si>
  <si>
    <t>梁桉菱</t>
  </si>
  <si>
    <t>梁岳天</t>
  </si>
  <si>
    <t>凌子轩</t>
  </si>
  <si>
    <t>刘丹晴</t>
  </si>
  <si>
    <t>刘祺</t>
  </si>
  <si>
    <t>刘恩彤</t>
  </si>
  <si>
    <t>卢佳悦</t>
  </si>
  <si>
    <t>沈伊</t>
  </si>
  <si>
    <t>孙士轩</t>
  </si>
  <si>
    <t>唐铭灿</t>
  </si>
  <si>
    <t>魏雨沫</t>
  </si>
  <si>
    <t>吴晟喆</t>
  </si>
  <si>
    <t>吴桐雨</t>
  </si>
  <si>
    <t>吴韦含</t>
  </si>
  <si>
    <t>谢俊濠</t>
  </si>
  <si>
    <t>熊曹洋</t>
  </si>
  <si>
    <t>熊楚翔</t>
  </si>
  <si>
    <t>许子跃</t>
  </si>
  <si>
    <t>许梓隆</t>
  </si>
  <si>
    <t>杨逍</t>
  </si>
  <si>
    <t>张恩祁</t>
  </si>
  <si>
    <t>张浅浅</t>
  </si>
  <si>
    <t>张新烨</t>
  </si>
  <si>
    <t>钟昱安</t>
  </si>
  <si>
    <t>周隽立</t>
  </si>
  <si>
    <t>周梓睿</t>
  </si>
  <si>
    <t>岑晓清</t>
  </si>
  <si>
    <t>曾宝晴</t>
  </si>
  <si>
    <t>曾楚铄</t>
  </si>
  <si>
    <t>常津豪</t>
  </si>
  <si>
    <t>陈俊宏</t>
  </si>
  <si>
    <t>陈雅诺</t>
  </si>
  <si>
    <t>陈烨平</t>
  </si>
  <si>
    <t>陈迎菲</t>
  </si>
  <si>
    <t>陈泽佑</t>
  </si>
  <si>
    <t>陈紫涵</t>
  </si>
  <si>
    <t>邓习弘</t>
  </si>
  <si>
    <t>范巍腾</t>
  </si>
  <si>
    <t>冯梓皓</t>
  </si>
  <si>
    <t>黄禹仁</t>
  </si>
  <si>
    <t>李佳妍</t>
  </si>
  <si>
    <t>李张成</t>
  </si>
  <si>
    <t>李卓烜</t>
  </si>
  <si>
    <t>林子然</t>
  </si>
  <si>
    <t>刘隽轶</t>
  </si>
  <si>
    <t>刘泊致</t>
  </si>
  <si>
    <t>刘思晴</t>
  </si>
  <si>
    <t>刘颖珊</t>
  </si>
  <si>
    <t>刘昱翧</t>
  </si>
  <si>
    <t>刘子祺</t>
  </si>
  <si>
    <t>陆科儒</t>
  </si>
  <si>
    <t>罗亦陶</t>
  </si>
  <si>
    <t>罗宇洋</t>
  </si>
  <si>
    <t>欧阳芷芊</t>
  </si>
  <si>
    <t>彭尔听</t>
  </si>
  <si>
    <t>邱梓鑫</t>
  </si>
  <si>
    <t>全家骏</t>
  </si>
  <si>
    <t>谭诗皓</t>
  </si>
  <si>
    <t>谭子钦</t>
  </si>
  <si>
    <t>王炯涵</t>
  </si>
  <si>
    <t>王逸轩</t>
  </si>
  <si>
    <t>谢玥妃</t>
  </si>
  <si>
    <t>叶皓熙</t>
  </si>
  <si>
    <t>叶宇轩</t>
  </si>
  <si>
    <t>俞淑敏</t>
  </si>
  <si>
    <t>张安岐</t>
  </si>
  <si>
    <t>张子烨</t>
  </si>
  <si>
    <t>招阳</t>
  </si>
  <si>
    <t>朱惠清</t>
  </si>
  <si>
    <t>陈子轩</t>
  </si>
  <si>
    <t>邓晋颐</t>
  </si>
  <si>
    <t>冯俊玮</t>
  </si>
  <si>
    <t>冯予熙</t>
  </si>
  <si>
    <t>付圣博</t>
  </si>
  <si>
    <t>付昊霖</t>
  </si>
  <si>
    <t>郭书祎</t>
  </si>
  <si>
    <t>郝明暄</t>
  </si>
  <si>
    <t>何思璇</t>
  </si>
  <si>
    <t>胡佳祺</t>
  </si>
  <si>
    <t>胡俊希</t>
  </si>
  <si>
    <t>江志远</t>
  </si>
  <si>
    <t>黎梦瑜</t>
  </si>
  <si>
    <t>李恩泽</t>
  </si>
  <si>
    <t>李颖佳</t>
  </si>
  <si>
    <t>李映霖</t>
  </si>
  <si>
    <t>梁艺婷</t>
  </si>
  <si>
    <t>林承熹</t>
  </si>
  <si>
    <t>刘健钧</t>
  </si>
  <si>
    <t>刘宓果</t>
  </si>
  <si>
    <t>刘思聪</t>
  </si>
  <si>
    <t>刘彧恺</t>
  </si>
  <si>
    <t>鲁可倾</t>
  </si>
  <si>
    <t>陆智波</t>
  </si>
  <si>
    <t>吕祉诺</t>
  </si>
  <si>
    <t>盛孝菏</t>
  </si>
  <si>
    <t>唐菓</t>
  </si>
  <si>
    <t>王泓颖</t>
  </si>
  <si>
    <t>王珺逸</t>
  </si>
  <si>
    <t>王予涵</t>
  </si>
  <si>
    <t>吴承滔</t>
  </si>
  <si>
    <t>吴沐恩</t>
  </si>
  <si>
    <t>吴彦阳</t>
  </si>
  <si>
    <t>谢思宇</t>
  </si>
  <si>
    <t>熊思贤</t>
  </si>
  <si>
    <t>徐可未</t>
  </si>
  <si>
    <t>许皓轩</t>
  </si>
  <si>
    <t>杨剑淇</t>
  </si>
  <si>
    <t>叶恩彤</t>
  </si>
  <si>
    <t>叶宇凡</t>
  </si>
  <si>
    <t>袁子城</t>
  </si>
  <si>
    <t>赵文祯</t>
  </si>
  <si>
    <t>周彦彤</t>
  </si>
  <si>
    <t>姓名</t>
  </si>
  <si>
    <t>道德与法治</t>
  </si>
  <si>
    <t>得分</t>
  </si>
  <si>
    <t>赖烨斌</t>
  </si>
  <si>
    <t>劉恩彤</t>
  </si>
  <si>
    <t>陶宝余</t>
  </si>
  <si>
    <t>黎诗芮</t>
  </si>
  <si>
    <t>涂文昊</t>
  </si>
  <si>
    <t>党翊航</t>
  </si>
  <si>
    <t>江钰婷</t>
  </si>
  <si>
    <t>崔梦涵</t>
  </si>
  <si>
    <t>黄安心</t>
  </si>
  <si>
    <t>戴子轩</t>
  </si>
  <si>
    <t>李洁仪</t>
  </si>
  <si>
    <t>贺宇翔</t>
  </si>
  <si>
    <t>宋雅馨</t>
  </si>
  <si>
    <t>蓝明颢</t>
  </si>
  <si>
    <t>陈诗涵</t>
  </si>
  <si>
    <t>李萱</t>
  </si>
  <si>
    <t>闫浩誉</t>
  </si>
  <si>
    <t>伍柏宇</t>
  </si>
  <si>
    <t>劳一鸣</t>
  </si>
  <si>
    <t>吴雪婷</t>
  </si>
  <si>
    <t>张紫萱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</si>
</sst>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#"/>
  </numFmts>
  <fonts count="21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00"/>
  <sheetViews>
    <sheetView tabSelected="1" workbookViewId="0">
      <selection activeCell="A1" sqref="A1:H800"/>
    </sheetView>
  </sheetViews>
  <sheetFormatPr defaultColWidth="9.23076923076923" defaultRowHeight="16.8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230101</v>
      </c>
      <c r="B2" t="s">
        <v>8</v>
      </c>
      <c r="C2">
        <v>91</v>
      </c>
      <c r="D2">
        <v>95</v>
      </c>
      <c r="E2">
        <v>91</v>
      </c>
      <c r="F2">
        <v>84</v>
      </c>
      <c r="G2">
        <v>66</v>
      </c>
      <c r="H2">
        <v>75</v>
      </c>
    </row>
    <row r="3" spans="1:8">
      <c r="A3">
        <v>230102</v>
      </c>
      <c r="B3" t="s">
        <v>9</v>
      </c>
      <c r="C3">
        <v>90</v>
      </c>
      <c r="D3">
        <v>77</v>
      </c>
      <c r="E3">
        <v>83.5</v>
      </c>
      <c r="F3">
        <v>85</v>
      </c>
      <c r="G3">
        <v>73</v>
      </c>
      <c r="H3">
        <v>75</v>
      </c>
    </row>
    <row r="4" spans="1:8">
      <c r="A4">
        <v>230103</v>
      </c>
      <c r="B4" t="s">
        <v>10</v>
      </c>
      <c r="C4">
        <v>85</v>
      </c>
      <c r="D4">
        <v>85</v>
      </c>
      <c r="E4">
        <v>66</v>
      </c>
      <c r="F4">
        <v>81</v>
      </c>
      <c r="G4">
        <v>71</v>
      </c>
      <c r="H4">
        <v>53</v>
      </c>
    </row>
    <row r="5" spans="1:8">
      <c r="A5">
        <v>230105</v>
      </c>
      <c r="B5" t="s">
        <v>11</v>
      </c>
      <c r="C5">
        <v>69</v>
      </c>
      <c r="D5">
        <v>63</v>
      </c>
      <c r="E5">
        <v>50.5</v>
      </c>
      <c r="F5">
        <v>67</v>
      </c>
      <c r="G5">
        <v>64</v>
      </c>
      <c r="H5">
        <v>55</v>
      </c>
    </row>
    <row r="6" spans="1:8">
      <c r="A6">
        <v>230106</v>
      </c>
      <c r="B6" t="s">
        <v>12</v>
      </c>
      <c r="C6">
        <v>57</v>
      </c>
      <c r="D6">
        <v>68</v>
      </c>
      <c r="E6">
        <v>73</v>
      </c>
      <c r="F6">
        <v>46</v>
      </c>
      <c r="G6">
        <v>51</v>
      </c>
      <c r="H6">
        <v>34</v>
      </c>
    </row>
    <row r="7" spans="1:8">
      <c r="A7">
        <v>230108</v>
      </c>
      <c r="B7" t="s">
        <v>13</v>
      </c>
      <c r="C7">
        <v>97</v>
      </c>
      <c r="D7">
        <v>91</v>
      </c>
      <c r="E7">
        <v>97</v>
      </c>
      <c r="F7">
        <v>80</v>
      </c>
      <c r="G7">
        <v>76</v>
      </c>
      <c r="H7">
        <v>74</v>
      </c>
    </row>
    <row r="8" spans="1:8">
      <c r="A8">
        <v>230109</v>
      </c>
      <c r="B8" t="s">
        <v>14</v>
      </c>
      <c r="C8">
        <v>91</v>
      </c>
      <c r="D8">
        <v>71</v>
      </c>
      <c r="E8">
        <v>65.5</v>
      </c>
      <c r="F8">
        <v>48</v>
      </c>
      <c r="G8">
        <v>59</v>
      </c>
      <c r="H8">
        <v>49</v>
      </c>
    </row>
    <row r="9" spans="1:8">
      <c r="A9">
        <v>230110</v>
      </c>
      <c r="B9" t="s">
        <v>15</v>
      </c>
      <c r="C9">
        <v>73.5</v>
      </c>
      <c r="D9">
        <v>86</v>
      </c>
      <c r="E9">
        <v>36</v>
      </c>
      <c r="F9">
        <v>76</v>
      </c>
      <c r="G9">
        <v>56</v>
      </c>
      <c r="H9">
        <v>60</v>
      </c>
    </row>
    <row r="10" spans="1:8">
      <c r="A10">
        <v>230111</v>
      </c>
      <c r="B10" t="s">
        <v>16</v>
      </c>
      <c r="C10">
        <v>90</v>
      </c>
      <c r="D10">
        <v>96</v>
      </c>
      <c r="E10">
        <v>105</v>
      </c>
      <c r="F10">
        <v>87</v>
      </c>
      <c r="G10">
        <v>77</v>
      </c>
      <c r="H10">
        <v>66</v>
      </c>
    </row>
    <row r="11" spans="1:8">
      <c r="A11">
        <v>230112</v>
      </c>
      <c r="B11" t="s">
        <v>17</v>
      </c>
      <c r="C11">
        <v>61</v>
      </c>
      <c r="D11">
        <v>44</v>
      </c>
      <c r="E11">
        <v>53</v>
      </c>
      <c r="F11">
        <v>53</v>
      </c>
      <c r="G11">
        <v>40</v>
      </c>
      <c r="H11">
        <v>32</v>
      </c>
    </row>
    <row r="12" spans="1:8">
      <c r="A12">
        <v>230114</v>
      </c>
      <c r="B12" t="s">
        <v>18</v>
      </c>
      <c r="C12">
        <v>54</v>
      </c>
      <c r="D12">
        <v>19</v>
      </c>
      <c r="E12">
        <v>42.5</v>
      </c>
      <c r="F12">
        <v>20</v>
      </c>
      <c r="G12">
        <v>45</v>
      </c>
      <c r="H12">
        <v>33</v>
      </c>
    </row>
    <row r="13" spans="1:8">
      <c r="A13">
        <v>230115</v>
      </c>
      <c r="B13" t="s">
        <v>19</v>
      </c>
      <c r="C13">
        <v>94</v>
      </c>
      <c r="D13">
        <v>76</v>
      </c>
      <c r="E13">
        <v>78.5</v>
      </c>
      <c r="F13">
        <v>65</v>
      </c>
      <c r="G13">
        <v>67</v>
      </c>
      <c r="H13">
        <v>68</v>
      </c>
    </row>
    <row r="14" spans="1:8">
      <c r="A14">
        <v>230117</v>
      </c>
      <c r="B14" t="s">
        <v>20</v>
      </c>
      <c r="C14">
        <v>79</v>
      </c>
      <c r="D14">
        <v>75</v>
      </c>
      <c r="E14">
        <v>59.5</v>
      </c>
      <c r="F14">
        <v>72</v>
      </c>
      <c r="G14">
        <v>66</v>
      </c>
      <c r="H14">
        <v>66</v>
      </c>
    </row>
    <row r="15" spans="1:8">
      <c r="A15">
        <v>230118</v>
      </c>
      <c r="B15" t="s">
        <v>21</v>
      </c>
      <c r="C15">
        <v>87</v>
      </c>
      <c r="D15">
        <v>77</v>
      </c>
      <c r="E15">
        <v>58</v>
      </c>
      <c r="F15">
        <v>68</v>
      </c>
      <c r="G15">
        <v>68</v>
      </c>
      <c r="H15">
        <v>62</v>
      </c>
    </row>
    <row r="16" spans="1:8">
      <c r="A16">
        <v>230119</v>
      </c>
      <c r="B16" t="s">
        <v>22</v>
      </c>
      <c r="C16">
        <v>89</v>
      </c>
      <c r="D16">
        <v>75</v>
      </c>
      <c r="E16">
        <v>81</v>
      </c>
      <c r="F16">
        <v>77</v>
      </c>
      <c r="G16">
        <v>74</v>
      </c>
      <c r="H16">
        <v>86</v>
      </c>
    </row>
    <row r="17" spans="1:8">
      <c r="A17">
        <v>230120</v>
      </c>
      <c r="B17" t="s">
        <v>23</v>
      </c>
      <c r="C17">
        <v>84</v>
      </c>
      <c r="D17">
        <v>82</v>
      </c>
      <c r="E17">
        <v>71.5</v>
      </c>
      <c r="F17">
        <v>54</v>
      </c>
      <c r="G17">
        <v>73</v>
      </c>
      <c r="H17">
        <v>72</v>
      </c>
    </row>
    <row r="18" spans="1:8">
      <c r="A18">
        <v>230121</v>
      </c>
      <c r="B18" t="s">
        <v>24</v>
      </c>
      <c r="C18">
        <v>95</v>
      </c>
      <c r="D18">
        <v>79</v>
      </c>
      <c r="E18">
        <v>101</v>
      </c>
      <c r="F18">
        <v>82</v>
      </c>
      <c r="G18">
        <v>83</v>
      </c>
      <c r="H18">
        <v>81</v>
      </c>
    </row>
    <row r="19" spans="1:8">
      <c r="A19">
        <v>230122</v>
      </c>
      <c r="B19" t="s">
        <v>25</v>
      </c>
      <c r="C19">
        <v>93</v>
      </c>
      <c r="D19">
        <v>86</v>
      </c>
      <c r="E19">
        <v>72</v>
      </c>
      <c r="F19">
        <v>84</v>
      </c>
      <c r="G19">
        <v>76</v>
      </c>
      <c r="H19">
        <v>76</v>
      </c>
    </row>
    <row r="20" spans="1:8">
      <c r="A20">
        <v>230123</v>
      </c>
      <c r="B20" t="s">
        <v>26</v>
      </c>
      <c r="C20">
        <v>86</v>
      </c>
      <c r="D20">
        <v>91</v>
      </c>
      <c r="E20">
        <v>104.5</v>
      </c>
      <c r="F20">
        <v>71</v>
      </c>
      <c r="G20">
        <v>72</v>
      </c>
      <c r="H20">
        <v>83</v>
      </c>
    </row>
    <row r="21" spans="1:8">
      <c r="A21">
        <v>230124</v>
      </c>
      <c r="B21" t="s">
        <v>27</v>
      </c>
      <c r="C21">
        <v>80</v>
      </c>
      <c r="D21">
        <v>77</v>
      </c>
      <c r="E21">
        <v>87.5</v>
      </c>
      <c r="F21">
        <v>78</v>
      </c>
      <c r="G21">
        <v>66</v>
      </c>
      <c r="H21">
        <v>55</v>
      </c>
    </row>
    <row r="22" spans="1:8">
      <c r="A22">
        <v>230125</v>
      </c>
      <c r="B22" t="s">
        <v>28</v>
      </c>
      <c r="C22">
        <v>63</v>
      </c>
      <c r="D22">
        <v>55</v>
      </c>
      <c r="E22">
        <v>69.5</v>
      </c>
      <c r="F22">
        <v>53</v>
      </c>
      <c r="G22">
        <v>67</v>
      </c>
      <c r="H22">
        <v>56</v>
      </c>
    </row>
    <row r="23" spans="1:8">
      <c r="A23">
        <v>230126</v>
      </c>
      <c r="B23" t="s">
        <v>29</v>
      </c>
      <c r="C23">
        <v>80.5</v>
      </c>
      <c r="D23">
        <v>76</v>
      </c>
      <c r="E23">
        <v>35</v>
      </c>
      <c r="F23">
        <v>48</v>
      </c>
      <c r="G23">
        <v>56</v>
      </c>
      <c r="H23">
        <v>55</v>
      </c>
    </row>
    <row r="24" spans="1:8">
      <c r="A24">
        <v>230127</v>
      </c>
      <c r="B24" t="s">
        <v>30</v>
      </c>
      <c r="C24">
        <v>88.5</v>
      </c>
      <c r="D24">
        <v>99</v>
      </c>
      <c r="E24">
        <v>103</v>
      </c>
      <c r="F24">
        <v>86</v>
      </c>
      <c r="G24">
        <v>83</v>
      </c>
      <c r="H24">
        <v>79</v>
      </c>
    </row>
    <row r="25" spans="1:8">
      <c r="A25">
        <v>230128</v>
      </c>
      <c r="B25" t="s">
        <v>31</v>
      </c>
      <c r="C25">
        <v>67</v>
      </c>
      <c r="D25">
        <v>28</v>
      </c>
      <c r="E25">
        <v>62.5</v>
      </c>
      <c r="F25">
        <v>42</v>
      </c>
      <c r="G25">
        <v>60</v>
      </c>
      <c r="H25">
        <v>43</v>
      </c>
    </row>
    <row r="26" spans="1:8">
      <c r="A26">
        <v>230129</v>
      </c>
      <c r="B26" t="s">
        <v>32</v>
      </c>
      <c r="C26">
        <v>74</v>
      </c>
      <c r="D26">
        <v>84</v>
      </c>
      <c r="E26">
        <v>86.5</v>
      </c>
      <c r="F26">
        <v>68</v>
      </c>
      <c r="G26">
        <v>63</v>
      </c>
      <c r="H26">
        <v>56</v>
      </c>
    </row>
    <row r="27" spans="1:8">
      <c r="A27">
        <v>230131</v>
      </c>
      <c r="B27" t="s">
        <v>33</v>
      </c>
      <c r="C27">
        <v>72</v>
      </c>
      <c r="D27">
        <v>55</v>
      </c>
      <c r="E27">
        <v>97.5</v>
      </c>
      <c r="F27">
        <v>35</v>
      </c>
      <c r="G27">
        <v>45</v>
      </c>
      <c r="H27">
        <v>44</v>
      </c>
    </row>
    <row r="28" spans="1:8">
      <c r="A28">
        <v>230132</v>
      </c>
      <c r="B28" t="s">
        <v>34</v>
      </c>
      <c r="C28">
        <v>95</v>
      </c>
      <c r="D28">
        <v>82</v>
      </c>
      <c r="E28">
        <v>86.5</v>
      </c>
      <c r="F28">
        <v>84</v>
      </c>
      <c r="G28">
        <v>63</v>
      </c>
      <c r="H28">
        <v>77</v>
      </c>
    </row>
    <row r="29" spans="1:8">
      <c r="A29">
        <v>230133</v>
      </c>
      <c r="B29" t="s">
        <v>35</v>
      </c>
      <c r="C29" t="s">
        <v>36</v>
      </c>
      <c r="D29" t="s">
        <v>36</v>
      </c>
      <c r="E29" t="s">
        <v>36</v>
      </c>
      <c r="F29" t="s">
        <v>36</v>
      </c>
      <c r="G29" t="s">
        <v>36</v>
      </c>
      <c r="H29" t="s">
        <v>36</v>
      </c>
    </row>
    <row r="30" spans="1:8">
      <c r="A30">
        <v>230134</v>
      </c>
      <c r="B30" t="s">
        <v>37</v>
      </c>
      <c r="C30">
        <v>75</v>
      </c>
      <c r="D30">
        <v>59</v>
      </c>
      <c r="E30">
        <v>83.5</v>
      </c>
      <c r="F30">
        <v>64</v>
      </c>
      <c r="G30">
        <v>57</v>
      </c>
      <c r="H30">
        <v>58</v>
      </c>
    </row>
    <row r="31" spans="1:8">
      <c r="A31">
        <v>230135</v>
      </c>
      <c r="B31" t="s">
        <v>38</v>
      </c>
      <c r="C31">
        <v>78.5</v>
      </c>
      <c r="D31">
        <v>68</v>
      </c>
      <c r="E31">
        <v>56</v>
      </c>
      <c r="F31">
        <v>52</v>
      </c>
      <c r="G31">
        <v>56</v>
      </c>
      <c r="H31">
        <v>50</v>
      </c>
    </row>
    <row r="32" spans="1:8">
      <c r="A32">
        <v>230136</v>
      </c>
      <c r="B32" t="s">
        <v>39</v>
      </c>
      <c r="C32">
        <v>89</v>
      </c>
      <c r="D32">
        <v>93</v>
      </c>
      <c r="E32">
        <v>81.5</v>
      </c>
      <c r="F32">
        <v>84</v>
      </c>
      <c r="G32">
        <v>72</v>
      </c>
      <c r="H32">
        <v>65</v>
      </c>
    </row>
    <row r="33" spans="1:8">
      <c r="A33">
        <v>230137</v>
      </c>
      <c r="B33" t="s">
        <v>40</v>
      </c>
      <c r="C33">
        <v>70.5</v>
      </c>
      <c r="D33">
        <v>72</v>
      </c>
      <c r="E33">
        <v>65</v>
      </c>
      <c r="F33">
        <v>55</v>
      </c>
      <c r="G33">
        <v>60</v>
      </c>
      <c r="H33">
        <v>71</v>
      </c>
    </row>
    <row r="34" spans="1:8">
      <c r="A34">
        <v>230138</v>
      </c>
      <c r="B34" t="s">
        <v>41</v>
      </c>
      <c r="C34">
        <v>95</v>
      </c>
      <c r="D34">
        <v>68</v>
      </c>
      <c r="E34">
        <v>92.5</v>
      </c>
      <c r="F34">
        <v>76</v>
      </c>
      <c r="G34">
        <v>74</v>
      </c>
      <c r="H34">
        <v>77</v>
      </c>
    </row>
    <row r="35" spans="1:8">
      <c r="A35">
        <v>230139</v>
      </c>
      <c r="B35" t="s">
        <v>42</v>
      </c>
      <c r="C35">
        <v>75</v>
      </c>
      <c r="D35">
        <v>70</v>
      </c>
      <c r="E35">
        <v>88.5</v>
      </c>
      <c r="F35">
        <v>57</v>
      </c>
      <c r="G35">
        <v>59</v>
      </c>
      <c r="H35">
        <v>60</v>
      </c>
    </row>
    <row r="36" spans="1:8">
      <c r="A36">
        <v>230141</v>
      </c>
      <c r="B36" t="s">
        <v>43</v>
      </c>
      <c r="C36">
        <v>95</v>
      </c>
      <c r="D36">
        <v>85</v>
      </c>
      <c r="E36">
        <v>80</v>
      </c>
      <c r="F36">
        <v>82</v>
      </c>
      <c r="G36">
        <v>77</v>
      </c>
      <c r="H36">
        <v>80</v>
      </c>
    </row>
    <row r="37" spans="1:8">
      <c r="A37">
        <v>230142</v>
      </c>
      <c r="B37" t="s">
        <v>44</v>
      </c>
      <c r="C37">
        <v>63</v>
      </c>
      <c r="D37">
        <v>27</v>
      </c>
      <c r="E37">
        <v>35</v>
      </c>
      <c r="F37">
        <v>54</v>
      </c>
      <c r="G37">
        <v>52</v>
      </c>
      <c r="H37">
        <v>54</v>
      </c>
    </row>
    <row r="38" spans="1:8">
      <c r="A38">
        <v>230143</v>
      </c>
      <c r="B38" t="s">
        <v>45</v>
      </c>
      <c r="C38">
        <v>83</v>
      </c>
      <c r="D38">
        <v>77</v>
      </c>
      <c r="E38">
        <v>73.5</v>
      </c>
      <c r="F38">
        <v>73</v>
      </c>
      <c r="G38">
        <v>54</v>
      </c>
      <c r="H38">
        <v>59</v>
      </c>
    </row>
    <row r="39" spans="1:8">
      <c r="A39">
        <v>230144</v>
      </c>
      <c r="B39" t="s">
        <v>46</v>
      </c>
      <c r="C39">
        <v>88</v>
      </c>
      <c r="D39">
        <v>74</v>
      </c>
      <c r="E39">
        <v>59</v>
      </c>
      <c r="F39">
        <v>75</v>
      </c>
      <c r="G39">
        <v>67</v>
      </c>
      <c r="H39">
        <v>61</v>
      </c>
    </row>
    <row r="40" spans="1:8">
      <c r="A40">
        <v>230146</v>
      </c>
      <c r="B40" t="s">
        <v>47</v>
      </c>
      <c r="C40">
        <v>87</v>
      </c>
      <c r="D40">
        <v>75</v>
      </c>
      <c r="E40">
        <v>63</v>
      </c>
      <c r="F40">
        <v>65</v>
      </c>
      <c r="G40">
        <v>76</v>
      </c>
      <c r="H40">
        <v>77</v>
      </c>
    </row>
    <row r="41" spans="1:8">
      <c r="A41">
        <v>230147</v>
      </c>
      <c r="B41" t="s">
        <v>48</v>
      </c>
      <c r="C41" t="e">
        <v>#N/A</v>
      </c>
      <c r="D41" t="e">
        <v>#N/A</v>
      </c>
      <c r="E41" t="e">
        <v>#N/A</v>
      </c>
      <c r="F41" t="e">
        <v>#N/A</v>
      </c>
      <c r="G41" t="e">
        <v>#N/A</v>
      </c>
      <c r="H41" t="e">
        <v>#N/A</v>
      </c>
    </row>
    <row r="42" spans="1:8">
      <c r="A42">
        <v>230202</v>
      </c>
      <c r="B42" t="s">
        <v>49</v>
      </c>
      <c r="C42">
        <v>86.5</v>
      </c>
      <c r="D42">
        <v>75</v>
      </c>
      <c r="E42">
        <v>101.5</v>
      </c>
      <c r="F42">
        <v>56</v>
      </c>
      <c r="G42">
        <v>55</v>
      </c>
      <c r="H42">
        <v>67</v>
      </c>
    </row>
    <row r="43" spans="1:8">
      <c r="A43">
        <v>230203</v>
      </c>
      <c r="B43" t="s">
        <v>50</v>
      </c>
      <c r="C43">
        <v>87</v>
      </c>
      <c r="D43">
        <v>78</v>
      </c>
      <c r="E43">
        <v>64.5</v>
      </c>
      <c r="F43">
        <v>84</v>
      </c>
      <c r="G43">
        <v>69</v>
      </c>
      <c r="H43">
        <v>60</v>
      </c>
    </row>
    <row r="44" spans="1:8">
      <c r="A44">
        <v>230204</v>
      </c>
      <c r="B44" t="s">
        <v>51</v>
      </c>
      <c r="C44">
        <v>80</v>
      </c>
      <c r="D44">
        <v>61</v>
      </c>
      <c r="E44">
        <v>33</v>
      </c>
      <c r="F44">
        <v>76</v>
      </c>
      <c r="G44">
        <v>62</v>
      </c>
      <c r="H44">
        <v>72</v>
      </c>
    </row>
    <row r="45" spans="1:8">
      <c r="A45">
        <v>230205</v>
      </c>
      <c r="B45" t="s">
        <v>52</v>
      </c>
      <c r="C45">
        <v>56</v>
      </c>
      <c r="D45">
        <v>23</v>
      </c>
      <c r="E45">
        <v>24</v>
      </c>
      <c r="F45">
        <v>45</v>
      </c>
      <c r="G45">
        <v>42</v>
      </c>
      <c r="H45">
        <v>26</v>
      </c>
    </row>
    <row r="46" spans="1:8">
      <c r="A46">
        <v>230206</v>
      </c>
      <c r="B46" t="s">
        <v>53</v>
      </c>
      <c r="C46">
        <v>93</v>
      </c>
      <c r="D46">
        <v>59</v>
      </c>
      <c r="E46">
        <v>86.5</v>
      </c>
      <c r="F46">
        <v>59</v>
      </c>
      <c r="G46">
        <v>67</v>
      </c>
      <c r="H46">
        <v>86</v>
      </c>
    </row>
    <row r="47" spans="1:8">
      <c r="A47">
        <v>230208</v>
      </c>
      <c r="B47" t="s">
        <v>54</v>
      </c>
      <c r="C47">
        <v>93</v>
      </c>
      <c r="D47">
        <v>69</v>
      </c>
      <c r="E47">
        <v>78</v>
      </c>
      <c r="F47">
        <v>62</v>
      </c>
      <c r="G47">
        <v>68</v>
      </c>
      <c r="H47">
        <v>73</v>
      </c>
    </row>
    <row r="48" spans="1:8">
      <c r="A48">
        <v>230209</v>
      </c>
      <c r="B48" t="s">
        <v>55</v>
      </c>
      <c r="C48">
        <v>77</v>
      </c>
      <c r="D48">
        <v>59</v>
      </c>
      <c r="E48">
        <v>49.5</v>
      </c>
      <c r="F48">
        <v>73</v>
      </c>
      <c r="G48">
        <v>57</v>
      </c>
      <c r="H48">
        <v>73</v>
      </c>
    </row>
    <row r="49" spans="1:8">
      <c r="A49">
        <v>230210</v>
      </c>
      <c r="B49" t="s">
        <v>56</v>
      </c>
      <c r="C49">
        <v>89</v>
      </c>
      <c r="D49">
        <v>86</v>
      </c>
      <c r="E49">
        <v>97</v>
      </c>
      <c r="F49">
        <v>84</v>
      </c>
      <c r="G49">
        <v>79</v>
      </c>
      <c r="H49">
        <v>66</v>
      </c>
    </row>
    <row r="50" spans="1:8">
      <c r="A50">
        <v>230211</v>
      </c>
      <c r="B50" t="s">
        <v>57</v>
      </c>
      <c r="C50">
        <v>72</v>
      </c>
      <c r="D50">
        <v>55</v>
      </c>
      <c r="E50">
        <v>70</v>
      </c>
      <c r="F50">
        <v>67</v>
      </c>
      <c r="G50">
        <v>44</v>
      </c>
      <c r="H50">
        <v>41</v>
      </c>
    </row>
    <row r="51" spans="1:8">
      <c r="A51">
        <v>230212</v>
      </c>
      <c r="B51" t="s">
        <v>58</v>
      </c>
      <c r="C51">
        <v>77</v>
      </c>
      <c r="D51">
        <v>17</v>
      </c>
      <c r="E51">
        <v>25.5</v>
      </c>
      <c r="F51">
        <v>37</v>
      </c>
      <c r="G51">
        <v>57</v>
      </c>
      <c r="H51">
        <v>48</v>
      </c>
    </row>
    <row r="52" spans="1:8">
      <c r="A52">
        <v>230213</v>
      </c>
      <c r="B52" t="s">
        <v>59</v>
      </c>
      <c r="C52">
        <v>91</v>
      </c>
      <c r="D52">
        <v>99</v>
      </c>
      <c r="E52">
        <v>109.5</v>
      </c>
      <c r="F52">
        <v>85</v>
      </c>
      <c r="G52">
        <v>75</v>
      </c>
      <c r="H52">
        <v>77</v>
      </c>
    </row>
    <row r="53" spans="1:8">
      <c r="A53">
        <v>230214</v>
      </c>
      <c r="B53" t="s">
        <v>60</v>
      </c>
      <c r="C53">
        <v>74.5</v>
      </c>
      <c r="D53">
        <v>68</v>
      </c>
      <c r="E53">
        <v>59</v>
      </c>
      <c r="F53">
        <v>56</v>
      </c>
      <c r="G53">
        <v>62</v>
      </c>
      <c r="H53">
        <v>71</v>
      </c>
    </row>
    <row r="54" spans="1:8">
      <c r="A54">
        <v>230215</v>
      </c>
      <c r="B54" t="s">
        <v>61</v>
      </c>
      <c r="C54">
        <v>97</v>
      </c>
      <c r="D54">
        <v>72</v>
      </c>
      <c r="E54">
        <v>79</v>
      </c>
      <c r="F54">
        <v>72</v>
      </c>
      <c r="G54">
        <v>75</v>
      </c>
      <c r="H54">
        <v>65</v>
      </c>
    </row>
    <row r="55" spans="1:8">
      <c r="A55">
        <v>230216</v>
      </c>
      <c r="B55" t="s">
        <v>62</v>
      </c>
      <c r="C55">
        <v>102</v>
      </c>
      <c r="D55">
        <v>91</v>
      </c>
      <c r="E55">
        <v>95.5</v>
      </c>
      <c r="F55">
        <v>85</v>
      </c>
      <c r="G55">
        <v>76</v>
      </c>
      <c r="H55">
        <v>82</v>
      </c>
    </row>
    <row r="56" spans="1:8">
      <c r="A56">
        <v>230217</v>
      </c>
      <c r="B56" t="s">
        <v>63</v>
      </c>
      <c r="C56">
        <v>77</v>
      </c>
      <c r="D56">
        <v>55</v>
      </c>
      <c r="E56">
        <v>65</v>
      </c>
      <c r="F56">
        <v>72</v>
      </c>
      <c r="G56">
        <v>54</v>
      </c>
      <c r="H56">
        <v>55</v>
      </c>
    </row>
    <row r="57" spans="1:8">
      <c r="A57">
        <v>230218</v>
      </c>
      <c r="B57" t="s">
        <v>64</v>
      </c>
      <c r="C57">
        <v>91</v>
      </c>
      <c r="D57">
        <v>86</v>
      </c>
      <c r="E57">
        <v>94</v>
      </c>
      <c r="F57">
        <v>81</v>
      </c>
      <c r="G57">
        <v>60</v>
      </c>
      <c r="H57">
        <v>72</v>
      </c>
    </row>
    <row r="58" spans="1:8">
      <c r="A58">
        <v>230219</v>
      </c>
      <c r="B58" t="s">
        <v>65</v>
      </c>
      <c r="C58">
        <v>83.5</v>
      </c>
      <c r="D58">
        <v>69</v>
      </c>
      <c r="E58">
        <v>98.5</v>
      </c>
      <c r="F58">
        <v>81</v>
      </c>
      <c r="G58">
        <v>72</v>
      </c>
      <c r="H58">
        <v>59</v>
      </c>
    </row>
    <row r="59" spans="1:8">
      <c r="A59">
        <v>230220</v>
      </c>
      <c r="B59" t="s">
        <v>66</v>
      </c>
      <c r="C59">
        <v>88</v>
      </c>
      <c r="D59">
        <v>80</v>
      </c>
      <c r="E59">
        <v>61</v>
      </c>
      <c r="F59">
        <v>80</v>
      </c>
      <c r="G59">
        <v>67</v>
      </c>
      <c r="H59">
        <v>58</v>
      </c>
    </row>
    <row r="60" spans="1:8">
      <c r="A60">
        <v>230221</v>
      </c>
      <c r="B60" t="s">
        <v>67</v>
      </c>
      <c r="C60">
        <v>83</v>
      </c>
      <c r="D60">
        <v>97</v>
      </c>
      <c r="E60">
        <v>83.5</v>
      </c>
      <c r="F60">
        <v>87</v>
      </c>
      <c r="G60">
        <v>75</v>
      </c>
      <c r="H60">
        <v>73</v>
      </c>
    </row>
    <row r="61" spans="1:8">
      <c r="A61">
        <v>230222</v>
      </c>
      <c r="B61" t="s">
        <v>68</v>
      </c>
      <c r="C61">
        <v>85</v>
      </c>
      <c r="D61">
        <v>90</v>
      </c>
      <c r="E61">
        <v>91</v>
      </c>
      <c r="F61">
        <v>83</v>
      </c>
      <c r="G61">
        <v>74</v>
      </c>
      <c r="H61">
        <v>75</v>
      </c>
    </row>
    <row r="62" spans="1:8">
      <c r="A62">
        <v>230223</v>
      </c>
      <c r="B62" t="s">
        <v>69</v>
      </c>
      <c r="C62">
        <v>85</v>
      </c>
      <c r="D62">
        <v>90</v>
      </c>
      <c r="E62">
        <v>101</v>
      </c>
      <c r="F62">
        <v>85</v>
      </c>
      <c r="G62">
        <v>79</v>
      </c>
      <c r="H62">
        <v>64</v>
      </c>
    </row>
    <row r="63" spans="1:8">
      <c r="A63">
        <v>230224</v>
      </c>
      <c r="B63" t="s">
        <v>70</v>
      </c>
      <c r="C63">
        <v>71</v>
      </c>
      <c r="D63">
        <v>76</v>
      </c>
      <c r="E63">
        <v>87.5</v>
      </c>
      <c r="F63">
        <v>68</v>
      </c>
      <c r="G63">
        <v>65</v>
      </c>
      <c r="H63">
        <v>69</v>
      </c>
    </row>
    <row r="64" spans="1:8">
      <c r="A64">
        <v>230225</v>
      </c>
      <c r="B64" t="s">
        <v>71</v>
      </c>
      <c r="C64">
        <v>65</v>
      </c>
      <c r="D64">
        <v>29</v>
      </c>
      <c r="E64">
        <v>31.5</v>
      </c>
      <c r="F64">
        <v>47</v>
      </c>
      <c r="G64">
        <v>56</v>
      </c>
      <c r="H64">
        <v>50</v>
      </c>
    </row>
    <row r="65" spans="1:8">
      <c r="A65">
        <v>230226</v>
      </c>
      <c r="B65" t="s">
        <v>72</v>
      </c>
      <c r="C65">
        <v>90</v>
      </c>
      <c r="D65">
        <v>85</v>
      </c>
      <c r="E65">
        <v>102.5</v>
      </c>
      <c r="F65">
        <v>75</v>
      </c>
      <c r="G65">
        <v>80</v>
      </c>
      <c r="H65">
        <v>75</v>
      </c>
    </row>
    <row r="66" spans="1:8">
      <c r="A66">
        <v>230227</v>
      </c>
      <c r="B66" t="s">
        <v>73</v>
      </c>
      <c r="C66">
        <v>90</v>
      </c>
      <c r="D66">
        <v>80</v>
      </c>
      <c r="E66">
        <v>84.5</v>
      </c>
      <c r="F66">
        <v>75</v>
      </c>
      <c r="G66">
        <v>66</v>
      </c>
      <c r="H66">
        <v>59</v>
      </c>
    </row>
    <row r="67" spans="1:8">
      <c r="A67">
        <v>230229</v>
      </c>
      <c r="B67" t="s">
        <v>74</v>
      </c>
      <c r="C67">
        <v>80</v>
      </c>
      <c r="D67">
        <v>89</v>
      </c>
      <c r="E67">
        <v>83</v>
      </c>
      <c r="F67">
        <v>85</v>
      </c>
      <c r="G67">
        <v>68</v>
      </c>
      <c r="H67">
        <v>71</v>
      </c>
    </row>
    <row r="68" spans="1:8">
      <c r="A68">
        <v>230230</v>
      </c>
      <c r="B68" t="s">
        <v>75</v>
      </c>
      <c r="C68">
        <v>87</v>
      </c>
      <c r="D68">
        <v>74</v>
      </c>
      <c r="E68">
        <v>101.5</v>
      </c>
      <c r="F68">
        <v>71</v>
      </c>
      <c r="G68">
        <v>72</v>
      </c>
      <c r="H68">
        <v>62</v>
      </c>
    </row>
    <row r="69" spans="1:8">
      <c r="A69">
        <v>230232</v>
      </c>
      <c r="B69" t="s">
        <v>76</v>
      </c>
      <c r="C69">
        <v>89.5</v>
      </c>
      <c r="D69">
        <v>75</v>
      </c>
      <c r="E69">
        <v>82</v>
      </c>
      <c r="F69">
        <v>79</v>
      </c>
      <c r="G69">
        <v>66</v>
      </c>
      <c r="H69">
        <v>80</v>
      </c>
    </row>
    <row r="70" spans="1:8">
      <c r="A70">
        <v>230233</v>
      </c>
      <c r="B70" t="s">
        <v>77</v>
      </c>
      <c r="C70">
        <v>88</v>
      </c>
      <c r="D70">
        <v>69</v>
      </c>
      <c r="E70">
        <v>90.5</v>
      </c>
      <c r="F70">
        <v>74</v>
      </c>
      <c r="G70">
        <v>69</v>
      </c>
      <c r="H70">
        <v>75</v>
      </c>
    </row>
    <row r="71" spans="1:8">
      <c r="A71">
        <v>230234</v>
      </c>
      <c r="B71" t="s">
        <v>78</v>
      </c>
      <c r="C71">
        <v>98</v>
      </c>
      <c r="D71">
        <v>82</v>
      </c>
      <c r="E71">
        <v>73</v>
      </c>
      <c r="F71">
        <v>90</v>
      </c>
      <c r="G71">
        <v>71</v>
      </c>
      <c r="H71">
        <v>72</v>
      </c>
    </row>
    <row r="72" spans="1:8">
      <c r="A72">
        <v>230235</v>
      </c>
      <c r="B72" t="s">
        <v>79</v>
      </c>
      <c r="C72">
        <v>83</v>
      </c>
      <c r="D72">
        <v>78</v>
      </c>
      <c r="E72">
        <v>70.5</v>
      </c>
      <c r="F72">
        <v>62</v>
      </c>
      <c r="G72">
        <v>63</v>
      </c>
      <c r="H72">
        <v>81</v>
      </c>
    </row>
    <row r="73" spans="1:8">
      <c r="A73">
        <v>230236</v>
      </c>
      <c r="B73" t="s">
        <v>80</v>
      </c>
      <c r="C73">
        <v>91</v>
      </c>
      <c r="D73">
        <v>62</v>
      </c>
      <c r="E73">
        <v>107</v>
      </c>
      <c r="F73">
        <v>58</v>
      </c>
      <c r="G73">
        <v>65</v>
      </c>
      <c r="H73">
        <v>47</v>
      </c>
    </row>
    <row r="74" spans="1:8">
      <c r="A74">
        <v>230237</v>
      </c>
      <c r="B74" t="s">
        <v>81</v>
      </c>
      <c r="C74">
        <v>93</v>
      </c>
      <c r="D74">
        <v>93</v>
      </c>
      <c r="E74">
        <v>108.5</v>
      </c>
      <c r="F74">
        <v>86</v>
      </c>
      <c r="G74">
        <v>77</v>
      </c>
      <c r="H74">
        <v>80</v>
      </c>
    </row>
    <row r="75" spans="1:8">
      <c r="A75">
        <v>230238</v>
      </c>
      <c r="B75" t="s">
        <v>82</v>
      </c>
      <c r="C75">
        <v>100</v>
      </c>
      <c r="D75">
        <v>92</v>
      </c>
      <c r="E75">
        <v>106</v>
      </c>
      <c r="F75">
        <v>88</v>
      </c>
      <c r="G75">
        <v>76</v>
      </c>
      <c r="H75">
        <v>78</v>
      </c>
    </row>
    <row r="76" spans="1:8">
      <c r="A76">
        <v>230239</v>
      </c>
      <c r="B76" t="s">
        <v>83</v>
      </c>
      <c r="C76">
        <v>84</v>
      </c>
      <c r="D76">
        <v>97</v>
      </c>
      <c r="E76">
        <v>78</v>
      </c>
      <c r="F76">
        <v>82</v>
      </c>
      <c r="G76">
        <v>77</v>
      </c>
      <c r="H76">
        <v>75</v>
      </c>
    </row>
    <row r="77" spans="1:8">
      <c r="A77">
        <v>230240</v>
      </c>
      <c r="B77" t="s">
        <v>84</v>
      </c>
      <c r="C77">
        <v>95</v>
      </c>
      <c r="D77">
        <v>81</v>
      </c>
      <c r="E77">
        <v>107.5</v>
      </c>
      <c r="F77">
        <v>72</v>
      </c>
      <c r="G77">
        <v>78</v>
      </c>
      <c r="H77">
        <v>74</v>
      </c>
    </row>
    <row r="78" spans="1:8">
      <c r="A78">
        <v>230241</v>
      </c>
      <c r="B78" t="s">
        <v>85</v>
      </c>
      <c r="C78">
        <v>91</v>
      </c>
      <c r="D78">
        <v>75</v>
      </c>
      <c r="E78">
        <v>101</v>
      </c>
      <c r="F78">
        <v>72</v>
      </c>
      <c r="G78">
        <v>62</v>
      </c>
      <c r="H78">
        <v>60</v>
      </c>
    </row>
    <row r="79" spans="1:8">
      <c r="A79">
        <v>230242</v>
      </c>
      <c r="B79" t="s">
        <v>86</v>
      </c>
      <c r="C79">
        <v>82</v>
      </c>
      <c r="D79">
        <v>83</v>
      </c>
      <c r="E79">
        <v>94.5</v>
      </c>
      <c r="F79">
        <v>76</v>
      </c>
      <c r="G79">
        <v>72</v>
      </c>
      <c r="H79">
        <v>80</v>
      </c>
    </row>
    <row r="80" spans="1:8">
      <c r="A80">
        <v>230243</v>
      </c>
      <c r="B80" t="s">
        <v>87</v>
      </c>
      <c r="C80">
        <v>85</v>
      </c>
      <c r="D80">
        <v>86</v>
      </c>
      <c r="E80">
        <v>84</v>
      </c>
      <c r="F80">
        <v>78</v>
      </c>
      <c r="G80">
        <v>78</v>
      </c>
      <c r="H80">
        <v>72</v>
      </c>
    </row>
    <row r="81" spans="1:8">
      <c r="A81">
        <v>230244</v>
      </c>
      <c r="B81" t="s">
        <v>88</v>
      </c>
      <c r="C81">
        <v>85</v>
      </c>
      <c r="D81">
        <v>69</v>
      </c>
      <c r="E81">
        <v>72</v>
      </c>
      <c r="F81">
        <v>76</v>
      </c>
      <c r="G81">
        <v>55</v>
      </c>
      <c r="H81">
        <v>68</v>
      </c>
    </row>
    <row r="82" spans="1:8">
      <c r="A82">
        <v>230245</v>
      </c>
      <c r="B82" t="s">
        <v>89</v>
      </c>
      <c r="C82">
        <v>98.5</v>
      </c>
      <c r="D82">
        <v>94</v>
      </c>
      <c r="E82">
        <v>97.5</v>
      </c>
      <c r="F82">
        <v>72</v>
      </c>
      <c r="G82">
        <v>69</v>
      </c>
      <c r="H82">
        <v>64</v>
      </c>
    </row>
    <row r="83" spans="1:8">
      <c r="A83">
        <v>221014</v>
      </c>
      <c r="B83" t="s">
        <v>90</v>
      </c>
      <c r="C83">
        <v>50</v>
      </c>
      <c r="D83">
        <v>55</v>
      </c>
      <c r="E83">
        <v>33.5</v>
      </c>
      <c r="F83">
        <v>72</v>
      </c>
      <c r="G83">
        <v>60</v>
      </c>
      <c r="H83">
        <v>57</v>
      </c>
    </row>
    <row r="84" spans="1:8">
      <c r="A84">
        <v>230301</v>
      </c>
      <c r="B84" t="s">
        <v>91</v>
      </c>
      <c r="C84">
        <v>80</v>
      </c>
      <c r="D84">
        <v>80</v>
      </c>
      <c r="E84">
        <v>82.5</v>
      </c>
      <c r="F84">
        <v>76</v>
      </c>
      <c r="G84">
        <v>71</v>
      </c>
      <c r="H84">
        <v>59</v>
      </c>
    </row>
    <row r="85" spans="1:8">
      <c r="A85">
        <v>230302</v>
      </c>
      <c r="B85" t="s">
        <v>92</v>
      </c>
      <c r="C85">
        <v>91</v>
      </c>
      <c r="D85">
        <v>95</v>
      </c>
      <c r="E85">
        <v>99.5</v>
      </c>
      <c r="F85">
        <v>89</v>
      </c>
      <c r="G85">
        <v>77</v>
      </c>
      <c r="H85">
        <v>65</v>
      </c>
    </row>
    <row r="86" spans="1:8">
      <c r="A86">
        <v>230303</v>
      </c>
      <c r="B86" t="s">
        <v>93</v>
      </c>
      <c r="C86">
        <v>87</v>
      </c>
      <c r="D86">
        <v>105</v>
      </c>
      <c r="E86">
        <v>90</v>
      </c>
      <c r="F86">
        <v>83</v>
      </c>
      <c r="G86">
        <v>81</v>
      </c>
      <c r="H86">
        <v>83</v>
      </c>
    </row>
    <row r="87" spans="1:8">
      <c r="A87">
        <v>230305</v>
      </c>
      <c r="B87" t="s">
        <v>94</v>
      </c>
      <c r="C87">
        <v>87</v>
      </c>
      <c r="D87">
        <v>73</v>
      </c>
      <c r="E87">
        <v>87.5</v>
      </c>
      <c r="F87">
        <v>68</v>
      </c>
      <c r="G87">
        <v>79</v>
      </c>
      <c r="H87">
        <v>73</v>
      </c>
    </row>
    <row r="88" spans="1:8">
      <c r="A88">
        <v>230307</v>
      </c>
      <c r="B88" t="s">
        <v>95</v>
      </c>
      <c r="C88">
        <v>95</v>
      </c>
      <c r="D88">
        <v>85</v>
      </c>
      <c r="E88">
        <v>82.5</v>
      </c>
      <c r="F88">
        <v>74</v>
      </c>
      <c r="G88">
        <v>75</v>
      </c>
      <c r="H88">
        <v>65</v>
      </c>
    </row>
    <row r="89" spans="1:8">
      <c r="A89">
        <v>230308</v>
      </c>
      <c r="B89" t="s">
        <v>96</v>
      </c>
      <c r="C89">
        <v>87</v>
      </c>
      <c r="D89">
        <v>69</v>
      </c>
      <c r="E89">
        <v>69</v>
      </c>
      <c r="F89">
        <v>77</v>
      </c>
      <c r="G89">
        <v>76</v>
      </c>
      <c r="H89">
        <v>80</v>
      </c>
    </row>
    <row r="90" spans="1:8">
      <c r="A90">
        <v>230309</v>
      </c>
      <c r="B90" t="s">
        <v>97</v>
      </c>
      <c r="C90">
        <v>72</v>
      </c>
      <c r="D90">
        <v>83</v>
      </c>
      <c r="E90">
        <v>68</v>
      </c>
      <c r="F90">
        <v>75</v>
      </c>
      <c r="G90">
        <v>81</v>
      </c>
      <c r="H90">
        <v>62</v>
      </c>
    </row>
    <row r="91" spans="1:8">
      <c r="A91">
        <v>230310</v>
      </c>
      <c r="B91" t="s">
        <v>98</v>
      </c>
      <c r="C91">
        <v>94</v>
      </c>
      <c r="D91">
        <v>83</v>
      </c>
      <c r="E91">
        <v>95</v>
      </c>
      <c r="F91">
        <v>76</v>
      </c>
      <c r="G91">
        <v>71</v>
      </c>
      <c r="H91">
        <v>71</v>
      </c>
    </row>
    <row r="92" spans="1:8">
      <c r="A92">
        <v>230311</v>
      </c>
      <c r="B92" t="s">
        <v>99</v>
      </c>
      <c r="C92">
        <v>81</v>
      </c>
      <c r="D92">
        <v>81</v>
      </c>
      <c r="E92">
        <v>71</v>
      </c>
      <c r="F92">
        <v>59</v>
      </c>
      <c r="G92">
        <v>68</v>
      </c>
      <c r="H92">
        <v>62</v>
      </c>
    </row>
    <row r="93" spans="1:8">
      <c r="A93">
        <v>230314</v>
      </c>
      <c r="B93" t="s">
        <v>100</v>
      </c>
      <c r="C93">
        <v>87</v>
      </c>
      <c r="D93">
        <v>91</v>
      </c>
      <c r="E93">
        <v>81</v>
      </c>
      <c r="F93">
        <v>78</v>
      </c>
      <c r="G93">
        <v>73</v>
      </c>
      <c r="H93">
        <v>62</v>
      </c>
    </row>
    <row r="94" spans="1:8">
      <c r="A94">
        <v>230315</v>
      </c>
      <c r="B94" t="s">
        <v>101</v>
      </c>
      <c r="C94">
        <v>77</v>
      </c>
      <c r="D94">
        <v>97</v>
      </c>
      <c r="E94">
        <v>75.5</v>
      </c>
      <c r="F94">
        <v>84</v>
      </c>
      <c r="G94">
        <v>67</v>
      </c>
      <c r="H94">
        <v>60</v>
      </c>
    </row>
    <row r="95" spans="1:8">
      <c r="A95">
        <v>230316</v>
      </c>
      <c r="B95" t="s">
        <v>102</v>
      </c>
      <c r="C95">
        <v>98.5</v>
      </c>
      <c r="D95">
        <v>94</v>
      </c>
      <c r="E95">
        <v>98</v>
      </c>
      <c r="F95">
        <v>80</v>
      </c>
      <c r="G95">
        <v>85</v>
      </c>
      <c r="H95">
        <v>66</v>
      </c>
    </row>
    <row r="96" spans="1:8">
      <c r="A96">
        <v>230317</v>
      </c>
      <c r="B96" t="s">
        <v>103</v>
      </c>
      <c r="C96">
        <v>83.5</v>
      </c>
      <c r="D96">
        <v>85</v>
      </c>
      <c r="E96">
        <v>86.5</v>
      </c>
      <c r="F96">
        <v>80</v>
      </c>
      <c r="G96">
        <v>65</v>
      </c>
      <c r="H96">
        <v>71</v>
      </c>
    </row>
    <row r="97" spans="1:8">
      <c r="A97">
        <v>230318</v>
      </c>
      <c r="B97" t="s">
        <v>104</v>
      </c>
      <c r="C97">
        <v>89.5</v>
      </c>
      <c r="D97">
        <v>86</v>
      </c>
      <c r="E97">
        <v>84</v>
      </c>
      <c r="F97">
        <v>81</v>
      </c>
      <c r="G97">
        <v>73</v>
      </c>
      <c r="H97">
        <v>76</v>
      </c>
    </row>
    <row r="98" spans="1:8">
      <c r="A98">
        <v>230319</v>
      </c>
      <c r="B98" t="s">
        <v>105</v>
      </c>
      <c r="C98">
        <v>72</v>
      </c>
      <c r="D98">
        <v>68</v>
      </c>
      <c r="E98">
        <v>61</v>
      </c>
      <c r="F98">
        <v>76</v>
      </c>
      <c r="G98">
        <v>62</v>
      </c>
      <c r="H98">
        <v>71</v>
      </c>
    </row>
    <row r="99" spans="1:8">
      <c r="A99">
        <v>230320</v>
      </c>
      <c r="B99" t="s">
        <v>106</v>
      </c>
      <c r="C99">
        <v>64</v>
      </c>
      <c r="D99">
        <v>75</v>
      </c>
      <c r="E99">
        <v>39.5</v>
      </c>
      <c r="F99">
        <v>55</v>
      </c>
      <c r="G99">
        <v>71</v>
      </c>
      <c r="H99">
        <v>44</v>
      </c>
    </row>
    <row r="100" spans="1:8">
      <c r="A100">
        <v>230321</v>
      </c>
      <c r="B100" t="s">
        <v>107</v>
      </c>
      <c r="C100">
        <v>69</v>
      </c>
      <c r="D100">
        <v>42</v>
      </c>
      <c r="E100">
        <v>61</v>
      </c>
      <c r="F100">
        <v>50</v>
      </c>
      <c r="G100">
        <v>60</v>
      </c>
      <c r="H100">
        <v>45</v>
      </c>
    </row>
    <row r="101" spans="1:8">
      <c r="A101">
        <v>230322</v>
      </c>
      <c r="B101" t="s">
        <v>108</v>
      </c>
      <c r="C101">
        <v>82</v>
      </c>
      <c r="D101">
        <v>75</v>
      </c>
      <c r="E101">
        <v>76.5</v>
      </c>
      <c r="F101">
        <v>72</v>
      </c>
      <c r="G101">
        <v>72</v>
      </c>
      <c r="H101">
        <v>64</v>
      </c>
    </row>
    <row r="102" spans="1:8">
      <c r="A102">
        <v>230323</v>
      </c>
      <c r="B102" t="s">
        <v>109</v>
      </c>
      <c r="C102">
        <v>85</v>
      </c>
      <c r="D102">
        <v>86</v>
      </c>
      <c r="E102">
        <v>86.5</v>
      </c>
      <c r="F102">
        <v>73</v>
      </c>
      <c r="G102">
        <v>63</v>
      </c>
      <c r="H102">
        <v>64</v>
      </c>
    </row>
    <row r="103" spans="1:8">
      <c r="A103">
        <v>230324</v>
      </c>
      <c r="B103" t="s">
        <v>110</v>
      </c>
      <c r="C103">
        <v>88</v>
      </c>
      <c r="D103">
        <v>87</v>
      </c>
      <c r="E103">
        <v>95.5</v>
      </c>
      <c r="F103">
        <v>78</v>
      </c>
      <c r="G103">
        <v>53</v>
      </c>
      <c r="H103">
        <v>57</v>
      </c>
    </row>
    <row r="104" spans="1:8">
      <c r="A104">
        <v>230325</v>
      </c>
      <c r="B104" t="s">
        <v>111</v>
      </c>
      <c r="C104">
        <v>86</v>
      </c>
      <c r="D104">
        <v>71</v>
      </c>
      <c r="E104">
        <v>91.5</v>
      </c>
      <c r="F104">
        <v>71</v>
      </c>
      <c r="G104">
        <v>68</v>
      </c>
      <c r="H104">
        <v>74</v>
      </c>
    </row>
    <row r="105" spans="1:8">
      <c r="A105">
        <v>230327</v>
      </c>
      <c r="B105" t="s">
        <v>112</v>
      </c>
      <c r="C105">
        <v>82.5</v>
      </c>
      <c r="D105">
        <v>56</v>
      </c>
      <c r="E105">
        <v>59</v>
      </c>
      <c r="F105">
        <v>69</v>
      </c>
      <c r="G105">
        <v>61</v>
      </c>
      <c r="H105">
        <v>71</v>
      </c>
    </row>
    <row r="106" spans="1:8">
      <c r="A106">
        <v>230328</v>
      </c>
      <c r="B106" t="s">
        <v>113</v>
      </c>
      <c r="C106">
        <v>93</v>
      </c>
      <c r="D106">
        <v>99</v>
      </c>
      <c r="E106">
        <v>76</v>
      </c>
      <c r="F106">
        <v>88</v>
      </c>
      <c r="G106">
        <v>75</v>
      </c>
      <c r="H106">
        <v>86</v>
      </c>
    </row>
    <row r="107" spans="1:8">
      <c r="A107">
        <v>230329</v>
      </c>
      <c r="B107" t="s">
        <v>114</v>
      </c>
      <c r="C107">
        <v>85</v>
      </c>
      <c r="D107">
        <v>83</v>
      </c>
      <c r="E107">
        <v>85.5</v>
      </c>
      <c r="F107">
        <v>84</v>
      </c>
      <c r="G107">
        <v>77</v>
      </c>
      <c r="H107">
        <v>84</v>
      </c>
    </row>
    <row r="108" spans="1:8">
      <c r="A108">
        <v>230330</v>
      </c>
      <c r="B108" t="s">
        <v>115</v>
      </c>
      <c r="C108">
        <v>79.5</v>
      </c>
      <c r="D108">
        <v>76</v>
      </c>
      <c r="E108">
        <v>72.5</v>
      </c>
      <c r="F108">
        <v>58</v>
      </c>
      <c r="G108">
        <v>62</v>
      </c>
      <c r="H108">
        <v>53</v>
      </c>
    </row>
    <row r="109" spans="1:8">
      <c r="A109">
        <v>230331</v>
      </c>
      <c r="B109" t="s">
        <v>116</v>
      </c>
      <c r="C109">
        <v>81</v>
      </c>
      <c r="D109">
        <v>86</v>
      </c>
      <c r="E109">
        <v>93</v>
      </c>
      <c r="F109">
        <v>80</v>
      </c>
      <c r="G109">
        <v>73</v>
      </c>
      <c r="H109">
        <v>66</v>
      </c>
    </row>
    <row r="110" spans="1:8">
      <c r="A110">
        <v>230332</v>
      </c>
      <c r="B110" t="s">
        <v>117</v>
      </c>
      <c r="C110">
        <v>72</v>
      </c>
      <c r="D110">
        <v>45</v>
      </c>
      <c r="E110">
        <v>90</v>
      </c>
      <c r="F110">
        <v>71</v>
      </c>
      <c r="G110">
        <v>48</v>
      </c>
      <c r="H110">
        <v>46</v>
      </c>
    </row>
    <row r="111" spans="1:8">
      <c r="A111">
        <v>230333</v>
      </c>
      <c r="B111" t="s">
        <v>118</v>
      </c>
      <c r="C111">
        <v>70</v>
      </c>
      <c r="D111">
        <v>57</v>
      </c>
      <c r="E111">
        <v>42</v>
      </c>
      <c r="F111">
        <v>52</v>
      </c>
      <c r="G111">
        <v>53</v>
      </c>
      <c r="H111">
        <v>41</v>
      </c>
    </row>
    <row r="112" spans="1:8">
      <c r="A112">
        <v>230334</v>
      </c>
      <c r="B112" t="s">
        <v>119</v>
      </c>
      <c r="C112">
        <v>71</v>
      </c>
      <c r="D112">
        <v>47</v>
      </c>
      <c r="E112">
        <v>49.5</v>
      </c>
      <c r="F112">
        <v>62</v>
      </c>
      <c r="G112">
        <v>53</v>
      </c>
      <c r="H112">
        <v>52</v>
      </c>
    </row>
    <row r="113" spans="1:8">
      <c r="A113">
        <v>230335</v>
      </c>
      <c r="B113" t="s">
        <v>120</v>
      </c>
      <c r="C113">
        <v>81</v>
      </c>
      <c r="D113">
        <v>67</v>
      </c>
      <c r="E113">
        <v>67</v>
      </c>
      <c r="F113">
        <v>77</v>
      </c>
      <c r="G113">
        <v>61</v>
      </c>
      <c r="H113">
        <v>67</v>
      </c>
    </row>
    <row r="114" spans="1:8">
      <c r="A114">
        <v>230336</v>
      </c>
      <c r="B114" t="s">
        <v>121</v>
      </c>
      <c r="C114">
        <v>87</v>
      </c>
      <c r="D114">
        <v>67</v>
      </c>
      <c r="E114">
        <v>73</v>
      </c>
      <c r="F114">
        <v>76</v>
      </c>
      <c r="G114">
        <v>69</v>
      </c>
      <c r="H114">
        <v>72</v>
      </c>
    </row>
    <row r="115" spans="1:8">
      <c r="A115">
        <v>230337</v>
      </c>
      <c r="B115" t="s">
        <v>122</v>
      </c>
      <c r="C115">
        <v>98</v>
      </c>
      <c r="D115">
        <v>108</v>
      </c>
      <c r="E115">
        <v>94.5</v>
      </c>
      <c r="F115">
        <v>86</v>
      </c>
      <c r="G115">
        <v>79</v>
      </c>
      <c r="H115">
        <v>84</v>
      </c>
    </row>
    <row r="116" spans="1:8">
      <c r="A116">
        <v>230338</v>
      </c>
      <c r="B116" t="s">
        <v>123</v>
      </c>
      <c r="C116">
        <v>85</v>
      </c>
      <c r="D116">
        <v>80</v>
      </c>
      <c r="E116">
        <v>98.5</v>
      </c>
      <c r="F116">
        <v>81</v>
      </c>
      <c r="G116">
        <v>77</v>
      </c>
      <c r="H116">
        <v>76</v>
      </c>
    </row>
    <row r="117" spans="1:8">
      <c r="A117">
        <v>230339</v>
      </c>
      <c r="B117" t="s">
        <v>124</v>
      </c>
      <c r="C117">
        <v>89</v>
      </c>
      <c r="D117">
        <v>67</v>
      </c>
      <c r="E117">
        <v>79</v>
      </c>
      <c r="F117">
        <v>73</v>
      </c>
      <c r="G117">
        <v>74</v>
      </c>
      <c r="H117">
        <v>54</v>
      </c>
    </row>
    <row r="118" spans="1:8">
      <c r="A118">
        <v>230340</v>
      </c>
      <c r="B118" t="s">
        <v>125</v>
      </c>
      <c r="C118">
        <v>68</v>
      </c>
      <c r="D118">
        <v>58</v>
      </c>
      <c r="E118">
        <v>49.5</v>
      </c>
      <c r="F118">
        <v>57</v>
      </c>
      <c r="G118">
        <v>66</v>
      </c>
      <c r="H118">
        <v>46</v>
      </c>
    </row>
    <row r="119" spans="1:8">
      <c r="A119">
        <v>230341</v>
      </c>
      <c r="B119" t="s">
        <v>126</v>
      </c>
      <c r="C119">
        <v>91</v>
      </c>
      <c r="D119">
        <v>89</v>
      </c>
      <c r="E119">
        <v>71</v>
      </c>
      <c r="F119">
        <v>73</v>
      </c>
      <c r="G119">
        <v>75</v>
      </c>
      <c r="H119">
        <v>68</v>
      </c>
    </row>
    <row r="120" spans="1:8">
      <c r="A120">
        <v>230342</v>
      </c>
      <c r="B120" t="s">
        <v>127</v>
      </c>
      <c r="C120">
        <v>88</v>
      </c>
      <c r="D120">
        <v>84</v>
      </c>
      <c r="E120">
        <v>81</v>
      </c>
      <c r="F120">
        <v>83</v>
      </c>
      <c r="G120">
        <v>83</v>
      </c>
      <c r="H120">
        <v>84</v>
      </c>
    </row>
    <row r="121" spans="1:8">
      <c r="A121">
        <v>230343</v>
      </c>
      <c r="B121" t="s">
        <v>128</v>
      </c>
      <c r="C121">
        <v>80</v>
      </c>
      <c r="D121">
        <v>60</v>
      </c>
      <c r="E121">
        <v>68.5</v>
      </c>
      <c r="F121">
        <v>67</v>
      </c>
      <c r="G121">
        <v>65</v>
      </c>
      <c r="H121">
        <v>50</v>
      </c>
    </row>
    <row r="122" spans="1:8">
      <c r="A122">
        <v>230345</v>
      </c>
      <c r="B122" t="s">
        <v>129</v>
      </c>
      <c r="C122">
        <v>80</v>
      </c>
      <c r="D122">
        <v>85</v>
      </c>
      <c r="E122">
        <v>75</v>
      </c>
      <c r="F122">
        <v>87</v>
      </c>
      <c r="G122">
        <v>67</v>
      </c>
      <c r="H122">
        <v>61</v>
      </c>
    </row>
    <row r="123" spans="1:8">
      <c r="A123">
        <v>230346</v>
      </c>
      <c r="B123" t="s">
        <v>130</v>
      </c>
      <c r="C123">
        <v>81</v>
      </c>
      <c r="D123">
        <v>86</v>
      </c>
      <c r="E123">
        <v>78.5</v>
      </c>
      <c r="F123">
        <v>71</v>
      </c>
      <c r="G123">
        <v>78</v>
      </c>
      <c r="H123">
        <v>57</v>
      </c>
    </row>
    <row r="124" spans="1:8">
      <c r="A124">
        <v>230401</v>
      </c>
      <c r="B124" t="s">
        <v>131</v>
      </c>
      <c r="C124">
        <v>91.5</v>
      </c>
      <c r="D124">
        <v>85</v>
      </c>
      <c r="E124">
        <v>82.5</v>
      </c>
      <c r="F124">
        <v>80</v>
      </c>
      <c r="G124">
        <v>74</v>
      </c>
      <c r="H124">
        <v>63</v>
      </c>
    </row>
    <row r="125" spans="1:8">
      <c r="A125">
        <v>230402</v>
      </c>
      <c r="B125" t="s">
        <v>132</v>
      </c>
      <c r="C125">
        <v>97</v>
      </c>
      <c r="D125">
        <v>80</v>
      </c>
      <c r="E125">
        <v>100.5</v>
      </c>
      <c r="F125">
        <v>78</v>
      </c>
      <c r="G125">
        <v>75</v>
      </c>
      <c r="H125">
        <v>64</v>
      </c>
    </row>
    <row r="126" spans="1:8">
      <c r="A126">
        <v>230403</v>
      </c>
      <c r="B126" t="s">
        <v>133</v>
      </c>
      <c r="C126">
        <v>88</v>
      </c>
      <c r="D126">
        <v>91</v>
      </c>
      <c r="E126">
        <v>80</v>
      </c>
      <c r="F126">
        <v>81</v>
      </c>
      <c r="G126">
        <v>69</v>
      </c>
      <c r="H126">
        <v>75</v>
      </c>
    </row>
    <row r="127" spans="1:8">
      <c r="A127">
        <v>230404</v>
      </c>
      <c r="B127" t="s">
        <v>134</v>
      </c>
      <c r="C127">
        <v>86</v>
      </c>
      <c r="D127">
        <v>73</v>
      </c>
      <c r="E127">
        <v>96.5</v>
      </c>
      <c r="F127">
        <v>83</v>
      </c>
      <c r="G127">
        <v>77</v>
      </c>
      <c r="H127">
        <v>74</v>
      </c>
    </row>
    <row r="128" spans="1:8">
      <c r="A128">
        <v>230405</v>
      </c>
      <c r="B128" t="s">
        <v>135</v>
      </c>
      <c r="C128">
        <v>81.5</v>
      </c>
      <c r="D128">
        <v>79</v>
      </c>
      <c r="E128">
        <v>89</v>
      </c>
      <c r="F128">
        <v>70</v>
      </c>
      <c r="G128">
        <v>62</v>
      </c>
      <c r="H128">
        <v>53</v>
      </c>
    </row>
    <row r="129" spans="1:8">
      <c r="A129">
        <v>230406</v>
      </c>
      <c r="B129" t="s">
        <v>136</v>
      </c>
      <c r="C129">
        <v>89</v>
      </c>
      <c r="D129">
        <v>61</v>
      </c>
      <c r="E129">
        <v>70</v>
      </c>
      <c r="F129">
        <v>72</v>
      </c>
      <c r="G129">
        <v>73</v>
      </c>
      <c r="H129">
        <v>56</v>
      </c>
    </row>
    <row r="130" spans="1:8">
      <c r="A130">
        <v>230407</v>
      </c>
      <c r="B130" t="s">
        <v>137</v>
      </c>
      <c r="C130">
        <v>82</v>
      </c>
      <c r="D130">
        <v>69</v>
      </c>
      <c r="E130">
        <v>89.5</v>
      </c>
      <c r="F130">
        <v>65</v>
      </c>
      <c r="G130">
        <v>53</v>
      </c>
      <c r="H130">
        <v>53</v>
      </c>
    </row>
    <row r="131" spans="1:8">
      <c r="A131">
        <v>230409</v>
      </c>
      <c r="B131" t="s">
        <v>138</v>
      </c>
      <c r="C131">
        <v>83</v>
      </c>
      <c r="D131">
        <v>86</v>
      </c>
      <c r="E131">
        <v>83</v>
      </c>
      <c r="F131">
        <v>87</v>
      </c>
      <c r="G131">
        <v>77</v>
      </c>
      <c r="H131">
        <v>77</v>
      </c>
    </row>
    <row r="132" spans="1:8">
      <c r="A132">
        <v>230410</v>
      </c>
      <c r="B132" t="s">
        <v>139</v>
      </c>
      <c r="C132">
        <v>74</v>
      </c>
      <c r="D132">
        <v>78</v>
      </c>
      <c r="E132">
        <v>70</v>
      </c>
      <c r="F132">
        <v>66</v>
      </c>
      <c r="G132">
        <v>76</v>
      </c>
      <c r="H132">
        <v>59</v>
      </c>
    </row>
    <row r="133" spans="1:8">
      <c r="A133">
        <v>230412</v>
      </c>
      <c r="B133" t="s">
        <v>140</v>
      </c>
      <c r="C133">
        <v>108</v>
      </c>
      <c r="D133">
        <v>95</v>
      </c>
      <c r="E133">
        <v>104</v>
      </c>
      <c r="F133">
        <v>80</v>
      </c>
      <c r="G133">
        <v>70</v>
      </c>
      <c r="H133">
        <v>80</v>
      </c>
    </row>
    <row r="134" spans="1:8">
      <c r="A134">
        <v>230413</v>
      </c>
      <c r="B134" t="s">
        <v>141</v>
      </c>
      <c r="C134">
        <v>93</v>
      </c>
      <c r="D134">
        <v>108</v>
      </c>
      <c r="E134">
        <v>105</v>
      </c>
      <c r="F134">
        <v>89</v>
      </c>
      <c r="G134">
        <v>71</v>
      </c>
      <c r="H134">
        <v>71</v>
      </c>
    </row>
    <row r="135" spans="1:8">
      <c r="A135">
        <v>230414</v>
      </c>
      <c r="B135" t="s">
        <v>142</v>
      </c>
      <c r="C135">
        <v>43</v>
      </c>
      <c r="D135">
        <v>6</v>
      </c>
      <c r="E135">
        <v>38</v>
      </c>
      <c r="F135">
        <v>40</v>
      </c>
      <c r="G135">
        <v>39</v>
      </c>
      <c r="H135">
        <v>47</v>
      </c>
    </row>
    <row r="136" spans="1:8">
      <c r="A136">
        <v>230416</v>
      </c>
      <c r="B136" t="s">
        <v>143</v>
      </c>
      <c r="C136">
        <v>95</v>
      </c>
      <c r="D136">
        <v>92</v>
      </c>
      <c r="E136">
        <v>81.5</v>
      </c>
      <c r="F136">
        <v>88</v>
      </c>
      <c r="G136">
        <v>73</v>
      </c>
      <c r="H136">
        <v>77</v>
      </c>
    </row>
    <row r="137" spans="1:8">
      <c r="A137">
        <v>230417</v>
      </c>
      <c r="B137" t="s">
        <v>144</v>
      </c>
      <c r="C137">
        <v>66</v>
      </c>
      <c r="D137">
        <v>63</v>
      </c>
      <c r="E137">
        <v>53.5</v>
      </c>
      <c r="F137">
        <v>62</v>
      </c>
      <c r="G137">
        <v>39</v>
      </c>
      <c r="H137">
        <v>57</v>
      </c>
    </row>
    <row r="138" spans="1:8">
      <c r="A138">
        <v>230418</v>
      </c>
      <c r="B138" t="s">
        <v>145</v>
      </c>
      <c r="C138">
        <v>74</v>
      </c>
      <c r="D138">
        <v>66</v>
      </c>
      <c r="E138">
        <v>67.5</v>
      </c>
      <c r="F138">
        <v>58</v>
      </c>
      <c r="G138">
        <v>54</v>
      </c>
      <c r="H138">
        <v>65</v>
      </c>
    </row>
    <row r="139" spans="1:8">
      <c r="A139">
        <v>230419</v>
      </c>
      <c r="B139" t="s">
        <v>146</v>
      </c>
      <c r="C139">
        <v>98</v>
      </c>
      <c r="D139">
        <v>82</v>
      </c>
      <c r="E139">
        <v>87</v>
      </c>
      <c r="F139">
        <v>84</v>
      </c>
      <c r="G139">
        <v>75</v>
      </c>
      <c r="H139">
        <v>70</v>
      </c>
    </row>
    <row r="140" spans="1:8">
      <c r="A140">
        <v>230420</v>
      </c>
      <c r="B140" t="s">
        <v>147</v>
      </c>
      <c r="C140">
        <v>89</v>
      </c>
      <c r="D140">
        <v>84</v>
      </c>
      <c r="E140">
        <v>88.5</v>
      </c>
      <c r="F140">
        <v>84</v>
      </c>
      <c r="G140">
        <v>66</v>
      </c>
      <c r="H140">
        <v>70</v>
      </c>
    </row>
    <row r="141" spans="1:8">
      <c r="A141">
        <v>230421</v>
      </c>
      <c r="B141" t="s">
        <v>148</v>
      </c>
      <c r="C141">
        <v>58</v>
      </c>
      <c r="D141">
        <v>77</v>
      </c>
      <c r="E141">
        <v>57.5</v>
      </c>
      <c r="F141">
        <v>78</v>
      </c>
      <c r="G141">
        <v>66</v>
      </c>
      <c r="H141">
        <v>47</v>
      </c>
    </row>
    <row r="142" spans="1:8">
      <c r="A142">
        <v>230422</v>
      </c>
      <c r="B142" t="s">
        <v>149</v>
      </c>
      <c r="C142">
        <v>82</v>
      </c>
      <c r="D142">
        <v>77</v>
      </c>
      <c r="E142">
        <v>72</v>
      </c>
      <c r="F142">
        <v>71</v>
      </c>
      <c r="G142">
        <v>75</v>
      </c>
      <c r="H142">
        <v>67</v>
      </c>
    </row>
    <row r="143" spans="1:8">
      <c r="A143">
        <v>230423</v>
      </c>
      <c r="B143" t="s">
        <v>150</v>
      </c>
      <c r="C143">
        <v>76</v>
      </c>
      <c r="D143">
        <v>75</v>
      </c>
      <c r="E143">
        <v>71</v>
      </c>
      <c r="F143">
        <v>79</v>
      </c>
      <c r="G143">
        <v>73</v>
      </c>
      <c r="H143">
        <v>76</v>
      </c>
    </row>
    <row r="144" spans="1:8">
      <c r="A144">
        <v>230424</v>
      </c>
      <c r="B144" t="s">
        <v>151</v>
      </c>
      <c r="C144">
        <v>79</v>
      </c>
      <c r="D144">
        <v>45</v>
      </c>
      <c r="E144">
        <v>71.5</v>
      </c>
      <c r="F144">
        <v>48</v>
      </c>
      <c r="G144">
        <v>49</v>
      </c>
      <c r="H144">
        <v>37</v>
      </c>
    </row>
    <row r="145" spans="1:8">
      <c r="A145">
        <v>230425</v>
      </c>
      <c r="B145" t="s">
        <v>152</v>
      </c>
      <c r="C145">
        <v>56</v>
      </c>
      <c r="D145">
        <v>98</v>
      </c>
      <c r="E145">
        <v>62.5</v>
      </c>
      <c r="F145">
        <v>77</v>
      </c>
      <c r="G145">
        <v>58</v>
      </c>
      <c r="H145">
        <v>47</v>
      </c>
    </row>
    <row r="146" spans="1:8">
      <c r="A146">
        <v>230426</v>
      </c>
      <c r="B146" t="s">
        <v>153</v>
      </c>
      <c r="C146">
        <v>84</v>
      </c>
      <c r="D146">
        <v>75</v>
      </c>
      <c r="E146">
        <v>104</v>
      </c>
      <c r="F146">
        <v>77</v>
      </c>
      <c r="G146">
        <v>70</v>
      </c>
      <c r="H146">
        <v>63</v>
      </c>
    </row>
    <row r="147" spans="1:8">
      <c r="A147">
        <v>230427</v>
      </c>
      <c r="B147" t="s">
        <v>154</v>
      </c>
      <c r="C147">
        <v>86</v>
      </c>
      <c r="D147">
        <v>65</v>
      </c>
      <c r="E147">
        <v>68.5</v>
      </c>
      <c r="F147">
        <v>72</v>
      </c>
      <c r="G147">
        <v>69</v>
      </c>
      <c r="H147">
        <v>52</v>
      </c>
    </row>
    <row r="148" spans="1:8">
      <c r="A148">
        <v>230428</v>
      </c>
      <c r="B148" t="s">
        <v>155</v>
      </c>
      <c r="C148">
        <v>86</v>
      </c>
      <c r="D148">
        <v>89</v>
      </c>
      <c r="E148">
        <v>79.5</v>
      </c>
      <c r="F148">
        <v>76</v>
      </c>
      <c r="G148">
        <v>63</v>
      </c>
      <c r="H148">
        <v>66</v>
      </c>
    </row>
    <row r="149" spans="1:8">
      <c r="A149">
        <v>230429</v>
      </c>
      <c r="B149" t="s">
        <v>156</v>
      </c>
      <c r="C149">
        <v>72</v>
      </c>
      <c r="D149">
        <v>74</v>
      </c>
      <c r="E149">
        <v>49.5</v>
      </c>
      <c r="F149">
        <v>72</v>
      </c>
      <c r="G149">
        <v>67</v>
      </c>
      <c r="H149">
        <v>64</v>
      </c>
    </row>
    <row r="150" spans="1:8">
      <c r="A150">
        <v>230430</v>
      </c>
      <c r="B150" t="s">
        <v>157</v>
      </c>
      <c r="C150">
        <v>97</v>
      </c>
      <c r="D150">
        <v>80</v>
      </c>
      <c r="E150">
        <v>79.5</v>
      </c>
      <c r="F150">
        <v>80</v>
      </c>
      <c r="G150">
        <v>74</v>
      </c>
      <c r="H150">
        <v>75</v>
      </c>
    </row>
    <row r="151" spans="1:8">
      <c r="A151">
        <v>230431</v>
      </c>
      <c r="B151" t="s">
        <v>158</v>
      </c>
      <c r="C151">
        <v>85</v>
      </c>
      <c r="D151">
        <v>65</v>
      </c>
      <c r="E151">
        <v>85</v>
      </c>
      <c r="F151">
        <v>44</v>
      </c>
      <c r="G151">
        <v>66</v>
      </c>
      <c r="H151">
        <v>68</v>
      </c>
    </row>
    <row r="152" spans="1:8">
      <c r="A152">
        <v>230432</v>
      </c>
      <c r="B152" t="s">
        <v>159</v>
      </c>
      <c r="C152">
        <v>97</v>
      </c>
      <c r="D152">
        <v>101</v>
      </c>
      <c r="E152">
        <v>100.5</v>
      </c>
      <c r="F152">
        <v>81</v>
      </c>
      <c r="G152">
        <v>81</v>
      </c>
      <c r="H152">
        <v>82</v>
      </c>
    </row>
    <row r="153" spans="1:8">
      <c r="A153">
        <v>230434</v>
      </c>
      <c r="B153" t="s">
        <v>160</v>
      </c>
      <c r="C153">
        <v>69</v>
      </c>
      <c r="D153">
        <v>65</v>
      </c>
      <c r="E153">
        <v>35.5</v>
      </c>
      <c r="F153">
        <v>63</v>
      </c>
      <c r="G153">
        <v>56</v>
      </c>
      <c r="H153">
        <v>41</v>
      </c>
    </row>
    <row r="154" spans="1:8">
      <c r="A154">
        <v>230435</v>
      </c>
      <c r="B154" t="s">
        <v>161</v>
      </c>
      <c r="C154">
        <v>90</v>
      </c>
      <c r="D154">
        <v>94</v>
      </c>
      <c r="E154">
        <v>98.5</v>
      </c>
      <c r="F154">
        <v>74</v>
      </c>
      <c r="G154">
        <v>67</v>
      </c>
      <c r="H154">
        <v>79</v>
      </c>
    </row>
    <row r="155" spans="1:8">
      <c r="A155">
        <v>230436</v>
      </c>
      <c r="B155" t="s">
        <v>162</v>
      </c>
      <c r="C155">
        <v>86</v>
      </c>
      <c r="D155">
        <v>87</v>
      </c>
      <c r="E155">
        <v>90.5</v>
      </c>
      <c r="F155">
        <v>81</v>
      </c>
      <c r="G155">
        <v>79</v>
      </c>
      <c r="H155">
        <v>74</v>
      </c>
    </row>
    <row r="156" spans="1:8">
      <c r="A156">
        <v>230437</v>
      </c>
      <c r="B156" t="s">
        <v>163</v>
      </c>
      <c r="C156">
        <v>69</v>
      </c>
      <c r="D156">
        <v>71</v>
      </c>
      <c r="E156">
        <v>81</v>
      </c>
      <c r="F156">
        <v>72</v>
      </c>
      <c r="G156">
        <v>68</v>
      </c>
      <c r="H156">
        <v>72</v>
      </c>
    </row>
    <row r="157" spans="1:8">
      <c r="A157">
        <v>230438</v>
      </c>
      <c r="B157" t="s">
        <v>164</v>
      </c>
      <c r="C157">
        <v>77</v>
      </c>
      <c r="D157">
        <v>79</v>
      </c>
      <c r="E157">
        <v>68.5</v>
      </c>
      <c r="F157">
        <v>80</v>
      </c>
      <c r="G157">
        <v>68</v>
      </c>
      <c r="H157">
        <v>51</v>
      </c>
    </row>
    <row r="158" spans="1:8">
      <c r="A158">
        <v>230439</v>
      </c>
      <c r="B158" t="s">
        <v>165</v>
      </c>
      <c r="C158">
        <v>99</v>
      </c>
      <c r="D158">
        <v>91</v>
      </c>
      <c r="E158">
        <v>107</v>
      </c>
      <c r="F158">
        <v>84</v>
      </c>
      <c r="G158">
        <v>76</v>
      </c>
      <c r="H158">
        <v>73</v>
      </c>
    </row>
    <row r="159" spans="1:8">
      <c r="A159">
        <v>230440</v>
      </c>
      <c r="B159" t="s">
        <v>166</v>
      </c>
      <c r="C159">
        <v>97</v>
      </c>
      <c r="D159">
        <v>68</v>
      </c>
      <c r="E159">
        <v>67.5</v>
      </c>
      <c r="F159">
        <v>68</v>
      </c>
      <c r="G159">
        <v>74</v>
      </c>
      <c r="H159">
        <v>69</v>
      </c>
    </row>
    <row r="160" spans="1:8">
      <c r="A160">
        <v>230441</v>
      </c>
      <c r="B160" t="s">
        <v>167</v>
      </c>
      <c r="C160">
        <v>84</v>
      </c>
      <c r="D160">
        <v>87</v>
      </c>
      <c r="E160">
        <v>97</v>
      </c>
      <c r="F160">
        <v>81</v>
      </c>
      <c r="G160">
        <v>79</v>
      </c>
      <c r="H160">
        <v>78</v>
      </c>
    </row>
    <row r="161" spans="1:8">
      <c r="A161">
        <v>230442</v>
      </c>
      <c r="B161" t="s">
        <v>168</v>
      </c>
      <c r="C161">
        <v>74</v>
      </c>
      <c r="D161">
        <v>38</v>
      </c>
      <c r="E161">
        <v>48</v>
      </c>
      <c r="F161">
        <v>44</v>
      </c>
      <c r="G161">
        <v>57</v>
      </c>
      <c r="H161">
        <v>62</v>
      </c>
    </row>
    <row r="162" spans="1:8">
      <c r="A162">
        <v>230443</v>
      </c>
      <c r="B162" t="s">
        <v>169</v>
      </c>
      <c r="C162">
        <v>87.5</v>
      </c>
      <c r="D162">
        <v>80</v>
      </c>
      <c r="E162">
        <v>96</v>
      </c>
      <c r="F162">
        <v>78</v>
      </c>
      <c r="G162">
        <v>72</v>
      </c>
      <c r="H162">
        <v>70</v>
      </c>
    </row>
    <row r="163" spans="1:8">
      <c r="A163">
        <v>230445</v>
      </c>
      <c r="B163" t="s">
        <v>170</v>
      </c>
      <c r="C163">
        <v>84</v>
      </c>
      <c r="D163">
        <v>73</v>
      </c>
      <c r="E163">
        <v>90</v>
      </c>
      <c r="F163">
        <v>72</v>
      </c>
      <c r="G163">
        <v>52</v>
      </c>
      <c r="H163">
        <v>60</v>
      </c>
    </row>
    <row r="164" spans="1:8">
      <c r="A164">
        <v>230446</v>
      </c>
      <c r="B164" t="s">
        <v>171</v>
      </c>
      <c r="C164">
        <v>86</v>
      </c>
      <c r="D164">
        <v>88</v>
      </c>
      <c r="E164">
        <v>73.5</v>
      </c>
      <c r="F164">
        <v>77</v>
      </c>
      <c r="G164">
        <v>65</v>
      </c>
      <c r="H164">
        <v>63</v>
      </c>
    </row>
    <row r="165" spans="1:8">
      <c r="A165">
        <v>230501</v>
      </c>
      <c r="B165" t="s">
        <v>172</v>
      </c>
      <c r="C165">
        <v>73</v>
      </c>
      <c r="D165">
        <v>83</v>
      </c>
      <c r="E165">
        <v>51.5</v>
      </c>
      <c r="F165">
        <v>67</v>
      </c>
      <c r="G165">
        <v>60</v>
      </c>
      <c r="H165">
        <v>55</v>
      </c>
    </row>
    <row r="166" spans="1:8">
      <c r="A166">
        <v>230502</v>
      </c>
      <c r="B166" t="s">
        <v>173</v>
      </c>
      <c r="C166">
        <v>87</v>
      </c>
      <c r="D166">
        <v>74</v>
      </c>
      <c r="E166">
        <v>77.5</v>
      </c>
      <c r="F166">
        <v>72</v>
      </c>
      <c r="G166">
        <v>72</v>
      </c>
      <c r="H166">
        <v>83</v>
      </c>
    </row>
    <row r="167" spans="1:8">
      <c r="A167">
        <v>230503</v>
      </c>
      <c r="B167" t="s">
        <v>174</v>
      </c>
      <c r="C167">
        <v>83.5</v>
      </c>
      <c r="D167">
        <v>82</v>
      </c>
      <c r="E167">
        <v>106</v>
      </c>
      <c r="F167">
        <v>81</v>
      </c>
      <c r="G167">
        <v>66</v>
      </c>
      <c r="H167">
        <v>66</v>
      </c>
    </row>
    <row r="168" spans="1:8">
      <c r="A168">
        <v>230504</v>
      </c>
      <c r="B168" t="s">
        <v>175</v>
      </c>
      <c r="C168">
        <v>86</v>
      </c>
      <c r="D168">
        <v>76</v>
      </c>
      <c r="E168">
        <v>88.5</v>
      </c>
      <c r="F168">
        <v>85</v>
      </c>
      <c r="G168">
        <v>79</v>
      </c>
      <c r="H168">
        <v>71</v>
      </c>
    </row>
    <row r="169" spans="1:8">
      <c r="A169">
        <v>230506</v>
      </c>
      <c r="B169" t="s">
        <v>176</v>
      </c>
      <c r="C169">
        <v>80</v>
      </c>
      <c r="D169">
        <v>83</v>
      </c>
      <c r="E169">
        <v>67</v>
      </c>
      <c r="F169">
        <v>75</v>
      </c>
      <c r="G169">
        <v>67</v>
      </c>
      <c r="H169">
        <v>72</v>
      </c>
    </row>
    <row r="170" spans="1:8">
      <c r="A170">
        <v>230507</v>
      </c>
      <c r="B170" t="s">
        <v>177</v>
      </c>
      <c r="C170">
        <v>76</v>
      </c>
      <c r="D170">
        <v>79</v>
      </c>
      <c r="E170">
        <v>70</v>
      </c>
      <c r="F170">
        <v>78</v>
      </c>
      <c r="G170">
        <v>65</v>
      </c>
      <c r="H170">
        <v>61</v>
      </c>
    </row>
    <row r="171" spans="1:8">
      <c r="A171">
        <v>230508</v>
      </c>
      <c r="B171" t="s">
        <v>178</v>
      </c>
      <c r="C171">
        <v>75</v>
      </c>
      <c r="D171">
        <v>60</v>
      </c>
      <c r="E171">
        <v>84</v>
      </c>
      <c r="F171">
        <v>73</v>
      </c>
      <c r="G171">
        <v>72</v>
      </c>
      <c r="H171">
        <v>68</v>
      </c>
    </row>
    <row r="172" spans="1:8">
      <c r="A172">
        <v>230509</v>
      </c>
      <c r="B172" t="s">
        <v>179</v>
      </c>
      <c r="C172">
        <v>86</v>
      </c>
      <c r="D172">
        <v>87</v>
      </c>
      <c r="E172">
        <v>97.5</v>
      </c>
      <c r="F172">
        <v>78</v>
      </c>
      <c r="G172">
        <v>69</v>
      </c>
      <c r="H172">
        <v>74</v>
      </c>
    </row>
    <row r="173" spans="1:8">
      <c r="A173">
        <v>230510</v>
      </c>
      <c r="B173" t="s">
        <v>180</v>
      </c>
      <c r="C173">
        <v>81.5</v>
      </c>
      <c r="D173">
        <v>88</v>
      </c>
      <c r="E173">
        <v>96.5</v>
      </c>
      <c r="F173">
        <v>83</v>
      </c>
      <c r="G173">
        <v>65</v>
      </c>
      <c r="H173">
        <v>70</v>
      </c>
    </row>
    <row r="174" spans="1:8">
      <c r="A174">
        <v>230511</v>
      </c>
      <c r="B174" t="s">
        <v>181</v>
      </c>
      <c r="C174">
        <v>89</v>
      </c>
      <c r="D174">
        <v>81</v>
      </c>
      <c r="E174">
        <v>92.5</v>
      </c>
      <c r="F174">
        <v>88</v>
      </c>
      <c r="G174">
        <v>82</v>
      </c>
      <c r="H174">
        <v>80</v>
      </c>
    </row>
    <row r="175" spans="1:8">
      <c r="A175">
        <v>230512</v>
      </c>
      <c r="B175" t="s">
        <v>182</v>
      </c>
      <c r="C175">
        <v>72</v>
      </c>
      <c r="D175">
        <v>86</v>
      </c>
      <c r="E175">
        <v>68.5</v>
      </c>
      <c r="F175">
        <v>76</v>
      </c>
      <c r="G175">
        <v>62</v>
      </c>
      <c r="H175">
        <v>72</v>
      </c>
    </row>
    <row r="176" spans="1:8">
      <c r="A176">
        <v>230513</v>
      </c>
      <c r="B176" t="s">
        <v>183</v>
      </c>
      <c r="C176">
        <v>89</v>
      </c>
      <c r="D176">
        <v>77</v>
      </c>
      <c r="E176">
        <v>95.5</v>
      </c>
      <c r="F176">
        <v>80</v>
      </c>
      <c r="G176">
        <v>65</v>
      </c>
      <c r="H176">
        <v>72</v>
      </c>
    </row>
    <row r="177" spans="1:8">
      <c r="A177">
        <v>230514</v>
      </c>
      <c r="B177" t="s">
        <v>184</v>
      </c>
      <c r="C177">
        <v>90</v>
      </c>
      <c r="D177">
        <v>54</v>
      </c>
      <c r="E177">
        <v>68.5</v>
      </c>
      <c r="F177">
        <v>45</v>
      </c>
      <c r="G177">
        <v>58</v>
      </c>
      <c r="H177">
        <v>61</v>
      </c>
    </row>
    <row r="178" spans="1:8">
      <c r="A178">
        <v>230515</v>
      </c>
      <c r="B178" t="s">
        <v>185</v>
      </c>
      <c r="C178">
        <v>89</v>
      </c>
      <c r="D178">
        <v>85</v>
      </c>
      <c r="E178">
        <v>106.5</v>
      </c>
      <c r="F178">
        <v>83</v>
      </c>
      <c r="G178">
        <v>79</v>
      </c>
      <c r="H178">
        <v>73</v>
      </c>
    </row>
    <row r="179" spans="1:8">
      <c r="A179">
        <v>230516</v>
      </c>
      <c r="B179" t="s">
        <v>186</v>
      </c>
      <c r="C179">
        <v>69</v>
      </c>
      <c r="D179">
        <v>50</v>
      </c>
      <c r="E179">
        <v>80</v>
      </c>
      <c r="F179">
        <v>80</v>
      </c>
      <c r="G179">
        <v>61</v>
      </c>
      <c r="H179">
        <v>54</v>
      </c>
    </row>
    <row r="180" spans="1:8">
      <c r="A180">
        <v>230517</v>
      </c>
      <c r="B180" t="s">
        <v>187</v>
      </c>
      <c r="C180">
        <v>103</v>
      </c>
      <c r="D180">
        <v>104</v>
      </c>
      <c r="E180">
        <v>114</v>
      </c>
      <c r="F180">
        <v>83</v>
      </c>
      <c r="G180">
        <v>78</v>
      </c>
      <c r="H180">
        <v>78</v>
      </c>
    </row>
    <row r="181" spans="1:8">
      <c r="A181">
        <v>230518</v>
      </c>
      <c r="B181" t="s">
        <v>188</v>
      </c>
      <c r="C181">
        <v>68</v>
      </c>
      <c r="D181">
        <v>22</v>
      </c>
      <c r="E181">
        <v>39</v>
      </c>
      <c r="F181">
        <v>34</v>
      </c>
      <c r="G181">
        <v>39</v>
      </c>
      <c r="H181">
        <v>70</v>
      </c>
    </row>
    <row r="182" spans="1:8">
      <c r="A182">
        <v>230519</v>
      </c>
      <c r="B182" t="s">
        <v>189</v>
      </c>
      <c r="C182">
        <v>94</v>
      </c>
      <c r="D182">
        <v>91</v>
      </c>
      <c r="E182">
        <v>108.5</v>
      </c>
      <c r="F182">
        <v>83</v>
      </c>
      <c r="G182">
        <v>76</v>
      </c>
      <c r="H182">
        <v>79</v>
      </c>
    </row>
    <row r="183" spans="1:8">
      <c r="A183">
        <v>230520</v>
      </c>
      <c r="B183" t="s">
        <v>190</v>
      </c>
      <c r="C183">
        <v>68</v>
      </c>
      <c r="D183">
        <v>88</v>
      </c>
      <c r="E183">
        <v>75</v>
      </c>
      <c r="F183">
        <v>70</v>
      </c>
      <c r="G183">
        <v>59</v>
      </c>
      <c r="H183">
        <v>52</v>
      </c>
    </row>
    <row r="184" spans="1:8">
      <c r="A184">
        <v>230521</v>
      </c>
      <c r="B184" t="s">
        <v>191</v>
      </c>
      <c r="C184">
        <v>68</v>
      </c>
      <c r="D184">
        <v>48</v>
      </c>
      <c r="E184">
        <v>68.5</v>
      </c>
      <c r="F184">
        <v>68</v>
      </c>
      <c r="G184">
        <v>55</v>
      </c>
      <c r="H184">
        <v>64</v>
      </c>
    </row>
    <row r="185" spans="1:8">
      <c r="A185">
        <v>230522</v>
      </c>
      <c r="B185" t="s">
        <v>192</v>
      </c>
      <c r="C185">
        <v>94</v>
      </c>
      <c r="D185">
        <v>91</v>
      </c>
      <c r="E185">
        <v>105.5</v>
      </c>
      <c r="F185">
        <v>77</v>
      </c>
      <c r="G185">
        <v>77</v>
      </c>
      <c r="H185">
        <v>75</v>
      </c>
    </row>
    <row r="186" spans="1:8">
      <c r="A186">
        <v>230524</v>
      </c>
      <c r="B186" t="s">
        <v>193</v>
      </c>
      <c r="C186">
        <v>80</v>
      </c>
      <c r="D186">
        <v>75</v>
      </c>
      <c r="E186">
        <v>81</v>
      </c>
      <c r="F186">
        <v>85</v>
      </c>
      <c r="G186">
        <v>73</v>
      </c>
      <c r="H186">
        <v>74</v>
      </c>
    </row>
    <row r="187" spans="1:8">
      <c r="A187">
        <v>230525</v>
      </c>
      <c r="B187" t="s">
        <v>194</v>
      </c>
      <c r="C187">
        <v>92</v>
      </c>
      <c r="D187">
        <v>79</v>
      </c>
      <c r="E187">
        <v>90.5</v>
      </c>
      <c r="F187">
        <v>83</v>
      </c>
      <c r="G187">
        <v>70</v>
      </c>
      <c r="H187">
        <v>77</v>
      </c>
    </row>
    <row r="188" spans="1:8">
      <c r="A188">
        <v>230526</v>
      </c>
      <c r="B188" t="s">
        <v>195</v>
      </c>
      <c r="C188">
        <v>63</v>
      </c>
      <c r="D188">
        <v>89</v>
      </c>
      <c r="E188">
        <v>57</v>
      </c>
      <c r="F188">
        <v>78</v>
      </c>
      <c r="G188">
        <v>67</v>
      </c>
      <c r="H188">
        <v>55</v>
      </c>
    </row>
    <row r="189" spans="1:8">
      <c r="A189">
        <v>230528</v>
      </c>
      <c r="B189" t="s">
        <v>196</v>
      </c>
      <c r="C189">
        <v>71</v>
      </c>
      <c r="D189">
        <v>67</v>
      </c>
      <c r="E189">
        <v>40.5</v>
      </c>
      <c r="F189">
        <v>71</v>
      </c>
      <c r="G189">
        <v>75</v>
      </c>
      <c r="H189">
        <v>82</v>
      </c>
    </row>
    <row r="190" spans="1:8">
      <c r="A190">
        <v>230530</v>
      </c>
      <c r="B190" t="s">
        <v>197</v>
      </c>
      <c r="C190">
        <v>85</v>
      </c>
      <c r="D190">
        <v>76</v>
      </c>
      <c r="E190">
        <v>87</v>
      </c>
      <c r="F190">
        <v>81</v>
      </c>
      <c r="G190">
        <v>69</v>
      </c>
      <c r="H190">
        <v>67</v>
      </c>
    </row>
    <row r="191" spans="1:8">
      <c r="A191">
        <v>230532</v>
      </c>
      <c r="B191" t="s">
        <v>198</v>
      </c>
      <c r="C191">
        <v>87</v>
      </c>
      <c r="D191">
        <v>74</v>
      </c>
      <c r="E191">
        <v>95.5</v>
      </c>
      <c r="F191">
        <v>62</v>
      </c>
      <c r="G191">
        <v>69</v>
      </c>
      <c r="H191">
        <v>74</v>
      </c>
    </row>
    <row r="192" spans="1:8">
      <c r="A192">
        <v>230533</v>
      </c>
      <c r="B192" t="s">
        <v>199</v>
      </c>
      <c r="C192">
        <v>88</v>
      </c>
      <c r="D192">
        <v>73</v>
      </c>
      <c r="E192">
        <v>77.5</v>
      </c>
      <c r="F192">
        <v>73</v>
      </c>
      <c r="G192">
        <v>61</v>
      </c>
      <c r="H192">
        <v>69</v>
      </c>
    </row>
    <row r="193" spans="1:8">
      <c r="A193">
        <v>230534</v>
      </c>
      <c r="B193" t="s">
        <v>200</v>
      </c>
      <c r="C193">
        <v>82</v>
      </c>
      <c r="D193">
        <v>81</v>
      </c>
      <c r="E193">
        <v>62.5</v>
      </c>
      <c r="F193">
        <v>78</v>
      </c>
      <c r="G193">
        <v>62</v>
      </c>
      <c r="H193">
        <v>70</v>
      </c>
    </row>
    <row r="194" spans="1:8">
      <c r="A194">
        <v>230535</v>
      </c>
      <c r="B194" t="s">
        <v>201</v>
      </c>
      <c r="C194" t="s">
        <v>36</v>
      </c>
      <c r="D194" t="s">
        <v>36</v>
      </c>
      <c r="E194" t="s">
        <v>36</v>
      </c>
      <c r="F194" t="s">
        <v>36</v>
      </c>
      <c r="G194" t="s">
        <v>36</v>
      </c>
      <c r="H194" t="s">
        <v>36</v>
      </c>
    </row>
    <row r="195" spans="1:8">
      <c r="A195">
        <v>230536</v>
      </c>
      <c r="B195" t="s">
        <v>202</v>
      </c>
      <c r="C195">
        <v>78</v>
      </c>
      <c r="D195">
        <v>74</v>
      </c>
      <c r="E195">
        <v>47</v>
      </c>
      <c r="F195">
        <v>43</v>
      </c>
      <c r="G195">
        <v>71</v>
      </c>
      <c r="H195">
        <v>78</v>
      </c>
    </row>
    <row r="196" spans="1:8">
      <c r="A196">
        <v>230537</v>
      </c>
      <c r="B196" t="s">
        <v>203</v>
      </c>
      <c r="C196">
        <v>94</v>
      </c>
      <c r="D196">
        <v>72</v>
      </c>
      <c r="E196">
        <v>101.5</v>
      </c>
      <c r="F196">
        <v>64</v>
      </c>
      <c r="G196">
        <v>69</v>
      </c>
      <c r="H196">
        <v>68</v>
      </c>
    </row>
    <row r="197" spans="1:8">
      <c r="A197">
        <v>230538</v>
      </c>
      <c r="B197" t="s">
        <v>204</v>
      </c>
      <c r="C197">
        <v>90</v>
      </c>
      <c r="D197">
        <v>64</v>
      </c>
      <c r="E197">
        <v>54.5</v>
      </c>
      <c r="F197">
        <v>57</v>
      </c>
      <c r="G197">
        <v>70</v>
      </c>
      <c r="H197">
        <v>71</v>
      </c>
    </row>
    <row r="198" spans="1:8">
      <c r="A198">
        <v>230539</v>
      </c>
      <c r="B198" t="s">
        <v>205</v>
      </c>
      <c r="C198">
        <v>80</v>
      </c>
      <c r="D198">
        <v>68</v>
      </c>
      <c r="E198">
        <v>72.5</v>
      </c>
      <c r="F198">
        <v>75</v>
      </c>
      <c r="G198">
        <v>64</v>
      </c>
      <c r="H198">
        <v>54</v>
      </c>
    </row>
    <row r="199" spans="1:8">
      <c r="A199">
        <v>230540</v>
      </c>
      <c r="B199" t="s">
        <v>206</v>
      </c>
      <c r="C199">
        <v>94</v>
      </c>
      <c r="D199">
        <v>93</v>
      </c>
      <c r="E199">
        <v>106.5</v>
      </c>
      <c r="F199">
        <v>80</v>
      </c>
      <c r="G199">
        <v>73</v>
      </c>
      <c r="H199">
        <v>72</v>
      </c>
    </row>
    <row r="200" spans="1:8">
      <c r="A200">
        <v>230541</v>
      </c>
      <c r="B200" t="s">
        <v>207</v>
      </c>
      <c r="C200" t="s">
        <v>36</v>
      </c>
      <c r="D200" t="s">
        <v>36</v>
      </c>
      <c r="E200" t="s">
        <v>36</v>
      </c>
      <c r="F200" t="s">
        <v>36</v>
      </c>
      <c r="G200" t="s">
        <v>36</v>
      </c>
      <c r="H200" t="s">
        <v>36</v>
      </c>
    </row>
    <row r="201" spans="1:8">
      <c r="A201">
        <v>230542</v>
      </c>
      <c r="B201" t="s">
        <v>208</v>
      </c>
      <c r="C201">
        <v>79</v>
      </c>
      <c r="D201">
        <v>80</v>
      </c>
      <c r="E201">
        <v>79</v>
      </c>
      <c r="F201">
        <v>87</v>
      </c>
      <c r="G201">
        <v>58</v>
      </c>
      <c r="H201">
        <v>60</v>
      </c>
    </row>
    <row r="202" spans="1:8">
      <c r="A202">
        <v>230543</v>
      </c>
      <c r="B202" t="s">
        <v>209</v>
      </c>
      <c r="C202">
        <v>90</v>
      </c>
      <c r="D202">
        <v>80</v>
      </c>
      <c r="E202">
        <v>92.5</v>
      </c>
      <c r="F202">
        <v>62</v>
      </c>
      <c r="G202">
        <v>72</v>
      </c>
      <c r="H202">
        <v>75</v>
      </c>
    </row>
    <row r="203" spans="1:8">
      <c r="A203">
        <v>230544</v>
      </c>
      <c r="B203" t="s">
        <v>210</v>
      </c>
      <c r="C203">
        <v>90</v>
      </c>
      <c r="D203">
        <v>77</v>
      </c>
      <c r="E203">
        <v>93</v>
      </c>
      <c r="F203">
        <v>64</v>
      </c>
      <c r="G203">
        <v>63</v>
      </c>
      <c r="H203">
        <v>79</v>
      </c>
    </row>
    <row r="204" spans="1:8">
      <c r="A204">
        <v>230601</v>
      </c>
      <c r="B204" t="s">
        <v>211</v>
      </c>
      <c r="C204">
        <v>97</v>
      </c>
      <c r="D204">
        <v>96</v>
      </c>
      <c r="E204">
        <v>104.5</v>
      </c>
      <c r="F204">
        <v>87</v>
      </c>
      <c r="G204">
        <v>77</v>
      </c>
      <c r="H204">
        <v>81</v>
      </c>
    </row>
    <row r="205" spans="1:8">
      <c r="A205">
        <v>230602</v>
      </c>
      <c r="B205" t="s">
        <v>212</v>
      </c>
      <c r="C205">
        <v>91</v>
      </c>
      <c r="D205">
        <v>92</v>
      </c>
      <c r="E205">
        <v>82</v>
      </c>
      <c r="F205">
        <v>86</v>
      </c>
      <c r="G205">
        <v>77</v>
      </c>
      <c r="H205">
        <v>69</v>
      </c>
    </row>
    <row r="206" spans="1:8">
      <c r="A206">
        <v>230603</v>
      </c>
      <c r="B206" t="s">
        <v>213</v>
      </c>
      <c r="C206">
        <v>86</v>
      </c>
      <c r="D206">
        <v>81</v>
      </c>
      <c r="E206">
        <v>49</v>
      </c>
      <c r="F206">
        <v>78</v>
      </c>
      <c r="G206">
        <v>62</v>
      </c>
      <c r="H206">
        <v>71</v>
      </c>
    </row>
    <row r="207" spans="1:8">
      <c r="A207">
        <v>230604</v>
      </c>
      <c r="B207" t="s">
        <v>214</v>
      </c>
      <c r="C207">
        <v>81</v>
      </c>
      <c r="D207">
        <v>51</v>
      </c>
      <c r="E207">
        <v>77.5</v>
      </c>
      <c r="F207">
        <v>41</v>
      </c>
      <c r="G207">
        <v>58</v>
      </c>
      <c r="H207">
        <v>53</v>
      </c>
    </row>
    <row r="208" spans="1:8">
      <c r="A208">
        <v>230605</v>
      </c>
      <c r="B208" t="s">
        <v>215</v>
      </c>
      <c r="C208">
        <v>85</v>
      </c>
      <c r="D208">
        <v>97</v>
      </c>
      <c r="E208">
        <v>109</v>
      </c>
      <c r="F208">
        <v>81</v>
      </c>
      <c r="G208">
        <v>77</v>
      </c>
      <c r="H208">
        <v>69</v>
      </c>
    </row>
    <row r="209" spans="1:8">
      <c r="A209">
        <v>230606</v>
      </c>
      <c r="B209" t="s">
        <v>216</v>
      </c>
      <c r="C209">
        <v>88</v>
      </c>
      <c r="D209">
        <v>90</v>
      </c>
      <c r="E209">
        <v>101.5</v>
      </c>
      <c r="F209">
        <v>86</v>
      </c>
      <c r="G209">
        <v>74</v>
      </c>
      <c r="H209">
        <v>77</v>
      </c>
    </row>
    <row r="210" spans="1:8">
      <c r="A210">
        <v>230607</v>
      </c>
      <c r="B210" t="s">
        <v>217</v>
      </c>
      <c r="C210">
        <v>79</v>
      </c>
      <c r="D210">
        <v>92</v>
      </c>
      <c r="E210">
        <v>85.5</v>
      </c>
      <c r="F210">
        <v>84</v>
      </c>
      <c r="G210">
        <v>72</v>
      </c>
      <c r="H210">
        <v>72</v>
      </c>
    </row>
    <row r="211" spans="1:8">
      <c r="A211">
        <v>230608</v>
      </c>
      <c r="B211" t="s">
        <v>218</v>
      </c>
      <c r="C211">
        <v>94.5</v>
      </c>
      <c r="D211">
        <v>95</v>
      </c>
      <c r="E211">
        <v>107.5</v>
      </c>
      <c r="F211">
        <v>84</v>
      </c>
      <c r="G211">
        <v>79</v>
      </c>
      <c r="H211">
        <v>79</v>
      </c>
    </row>
    <row r="212" spans="1:8">
      <c r="A212">
        <v>230609</v>
      </c>
      <c r="B212" t="s">
        <v>219</v>
      </c>
      <c r="C212">
        <v>80</v>
      </c>
      <c r="D212">
        <v>88</v>
      </c>
      <c r="E212">
        <v>85</v>
      </c>
      <c r="F212">
        <v>84</v>
      </c>
      <c r="G212">
        <v>66</v>
      </c>
      <c r="H212">
        <v>64</v>
      </c>
    </row>
    <row r="213" spans="1:8">
      <c r="A213">
        <v>230611</v>
      </c>
      <c r="B213" t="s">
        <v>220</v>
      </c>
      <c r="C213">
        <v>97</v>
      </c>
      <c r="D213">
        <v>92</v>
      </c>
      <c r="E213">
        <v>101.5</v>
      </c>
      <c r="F213">
        <v>84</v>
      </c>
      <c r="G213">
        <v>81</v>
      </c>
      <c r="H213">
        <v>80</v>
      </c>
    </row>
    <row r="214" spans="1:8">
      <c r="A214">
        <v>230612</v>
      </c>
      <c r="B214" t="s">
        <v>221</v>
      </c>
      <c r="C214">
        <v>87</v>
      </c>
      <c r="D214">
        <v>103</v>
      </c>
      <c r="E214">
        <v>90</v>
      </c>
      <c r="F214">
        <v>90</v>
      </c>
      <c r="G214">
        <v>71</v>
      </c>
      <c r="H214">
        <v>83</v>
      </c>
    </row>
    <row r="215" spans="1:8">
      <c r="A215">
        <v>230613</v>
      </c>
      <c r="B215" t="s">
        <v>222</v>
      </c>
      <c r="C215">
        <v>95</v>
      </c>
      <c r="D215">
        <v>112</v>
      </c>
      <c r="E215">
        <v>115</v>
      </c>
      <c r="F215">
        <v>83</v>
      </c>
      <c r="G215">
        <v>77</v>
      </c>
      <c r="H215">
        <v>81</v>
      </c>
    </row>
    <row r="216" spans="1:8">
      <c r="A216">
        <v>230614</v>
      </c>
      <c r="B216" t="s">
        <v>223</v>
      </c>
      <c r="C216">
        <v>98</v>
      </c>
      <c r="D216">
        <v>101</v>
      </c>
      <c r="E216">
        <v>114</v>
      </c>
      <c r="F216">
        <v>90</v>
      </c>
      <c r="G216">
        <v>79</v>
      </c>
      <c r="H216">
        <v>80</v>
      </c>
    </row>
    <row r="217" spans="1:8">
      <c r="A217">
        <v>230615</v>
      </c>
      <c r="B217" t="s">
        <v>224</v>
      </c>
      <c r="C217">
        <v>68</v>
      </c>
      <c r="D217">
        <v>77</v>
      </c>
      <c r="E217" t="s">
        <v>36</v>
      </c>
      <c r="F217" t="s">
        <v>36</v>
      </c>
      <c r="G217">
        <v>69</v>
      </c>
      <c r="H217" t="s">
        <v>36</v>
      </c>
    </row>
    <row r="218" spans="1:8">
      <c r="A218">
        <v>230616</v>
      </c>
      <c r="B218" t="s">
        <v>225</v>
      </c>
      <c r="C218">
        <v>83.5</v>
      </c>
      <c r="D218">
        <v>91</v>
      </c>
      <c r="E218">
        <v>87</v>
      </c>
      <c r="F218">
        <v>87</v>
      </c>
      <c r="G218">
        <v>77</v>
      </c>
      <c r="H218">
        <v>78</v>
      </c>
    </row>
    <row r="219" spans="1:8">
      <c r="A219">
        <v>230617</v>
      </c>
      <c r="B219" t="s">
        <v>226</v>
      </c>
      <c r="C219">
        <v>88</v>
      </c>
      <c r="D219">
        <v>98</v>
      </c>
      <c r="E219">
        <v>68</v>
      </c>
      <c r="F219">
        <v>88</v>
      </c>
      <c r="G219">
        <v>68</v>
      </c>
      <c r="H219">
        <v>68</v>
      </c>
    </row>
    <row r="220" spans="1:8">
      <c r="A220">
        <v>230618</v>
      </c>
      <c r="B220" t="s">
        <v>227</v>
      </c>
      <c r="C220">
        <v>87</v>
      </c>
      <c r="D220">
        <v>70</v>
      </c>
      <c r="E220">
        <v>47</v>
      </c>
      <c r="F220">
        <v>61</v>
      </c>
      <c r="G220">
        <v>68</v>
      </c>
      <c r="H220">
        <v>67</v>
      </c>
    </row>
    <row r="221" spans="1:8">
      <c r="A221">
        <v>230619</v>
      </c>
      <c r="B221" t="s">
        <v>228</v>
      </c>
      <c r="C221">
        <v>97</v>
      </c>
      <c r="D221">
        <v>87</v>
      </c>
      <c r="E221">
        <v>104.5</v>
      </c>
      <c r="F221">
        <v>84</v>
      </c>
      <c r="G221">
        <v>81</v>
      </c>
      <c r="H221">
        <v>70</v>
      </c>
    </row>
    <row r="222" spans="1:8">
      <c r="A222">
        <v>230620</v>
      </c>
      <c r="B222" t="s">
        <v>229</v>
      </c>
      <c r="C222">
        <v>74</v>
      </c>
      <c r="D222">
        <v>85</v>
      </c>
      <c r="E222">
        <v>71</v>
      </c>
      <c r="F222">
        <v>87</v>
      </c>
      <c r="G222">
        <v>71</v>
      </c>
      <c r="H222">
        <v>74</v>
      </c>
    </row>
    <row r="223" spans="1:8">
      <c r="A223">
        <v>230621</v>
      </c>
      <c r="B223" t="s">
        <v>230</v>
      </c>
      <c r="C223">
        <v>92</v>
      </c>
      <c r="D223">
        <v>92</v>
      </c>
      <c r="E223">
        <v>106.5</v>
      </c>
      <c r="F223">
        <v>86</v>
      </c>
      <c r="G223">
        <v>76</v>
      </c>
      <c r="H223">
        <v>85</v>
      </c>
    </row>
    <row r="224" spans="1:8">
      <c r="A224">
        <v>230622</v>
      </c>
      <c r="B224" t="s">
        <v>231</v>
      </c>
      <c r="C224">
        <v>97</v>
      </c>
      <c r="D224">
        <v>91</v>
      </c>
      <c r="E224">
        <v>92.5</v>
      </c>
      <c r="F224">
        <v>85</v>
      </c>
      <c r="G224">
        <v>73</v>
      </c>
      <c r="H224">
        <v>80</v>
      </c>
    </row>
    <row r="225" spans="1:8">
      <c r="A225">
        <v>230623</v>
      </c>
      <c r="B225" t="s">
        <v>232</v>
      </c>
      <c r="C225">
        <v>93</v>
      </c>
      <c r="D225">
        <v>86</v>
      </c>
      <c r="E225">
        <v>88.5</v>
      </c>
      <c r="F225">
        <v>90</v>
      </c>
      <c r="G225">
        <v>74</v>
      </c>
      <c r="H225">
        <v>69</v>
      </c>
    </row>
    <row r="226" spans="1:8">
      <c r="A226">
        <v>230624</v>
      </c>
      <c r="B226" t="s">
        <v>233</v>
      </c>
      <c r="C226">
        <v>83.5</v>
      </c>
      <c r="D226">
        <v>94</v>
      </c>
      <c r="E226">
        <v>63.5</v>
      </c>
      <c r="F226">
        <v>85</v>
      </c>
      <c r="G226">
        <v>75</v>
      </c>
      <c r="H226">
        <v>72</v>
      </c>
    </row>
    <row r="227" spans="1:8">
      <c r="A227">
        <v>230625</v>
      </c>
      <c r="B227" t="s">
        <v>234</v>
      </c>
      <c r="C227">
        <v>84</v>
      </c>
      <c r="D227">
        <v>82</v>
      </c>
      <c r="E227">
        <v>104.5</v>
      </c>
      <c r="F227">
        <v>85</v>
      </c>
      <c r="G227">
        <v>77</v>
      </c>
      <c r="H227">
        <v>73</v>
      </c>
    </row>
    <row r="228" spans="1:8">
      <c r="A228">
        <v>230626</v>
      </c>
      <c r="B228" t="s">
        <v>235</v>
      </c>
      <c r="C228">
        <v>97</v>
      </c>
      <c r="D228">
        <v>96</v>
      </c>
      <c r="E228">
        <v>79.5</v>
      </c>
      <c r="F228">
        <v>82</v>
      </c>
      <c r="G228">
        <v>71</v>
      </c>
      <c r="H228">
        <v>83</v>
      </c>
    </row>
    <row r="229" spans="1:8">
      <c r="A229">
        <v>230627</v>
      </c>
      <c r="B229" t="s">
        <v>236</v>
      </c>
      <c r="C229">
        <v>80</v>
      </c>
      <c r="D229">
        <v>86</v>
      </c>
      <c r="E229">
        <v>74</v>
      </c>
      <c r="F229">
        <v>82</v>
      </c>
      <c r="G229">
        <v>69</v>
      </c>
      <c r="H229">
        <v>63</v>
      </c>
    </row>
    <row r="230" spans="1:8">
      <c r="A230">
        <v>230628</v>
      </c>
      <c r="B230" t="s">
        <v>237</v>
      </c>
      <c r="C230">
        <v>96</v>
      </c>
      <c r="D230">
        <v>109</v>
      </c>
      <c r="E230">
        <v>110</v>
      </c>
      <c r="F230">
        <v>87</v>
      </c>
      <c r="G230">
        <v>88</v>
      </c>
      <c r="H230">
        <v>78</v>
      </c>
    </row>
    <row r="231" spans="1:8">
      <c r="A231">
        <v>230629</v>
      </c>
      <c r="B231" t="s">
        <v>238</v>
      </c>
      <c r="C231">
        <v>91</v>
      </c>
      <c r="D231">
        <v>96</v>
      </c>
      <c r="E231">
        <v>102</v>
      </c>
      <c r="F231">
        <v>86</v>
      </c>
      <c r="G231">
        <v>74</v>
      </c>
      <c r="H231">
        <v>82</v>
      </c>
    </row>
    <row r="232" spans="1:8">
      <c r="A232">
        <v>230630</v>
      </c>
      <c r="B232" t="s">
        <v>239</v>
      </c>
      <c r="C232">
        <v>90</v>
      </c>
      <c r="D232">
        <v>100</v>
      </c>
      <c r="E232">
        <v>82.5</v>
      </c>
      <c r="F232">
        <v>86</v>
      </c>
      <c r="G232">
        <v>78</v>
      </c>
      <c r="H232">
        <v>67</v>
      </c>
    </row>
    <row r="233" spans="1:8">
      <c r="A233">
        <v>230631</v>
      </c>
      <c r="B233" t="s">
        <v>240</v>
      </c>
      <c r="C233">
        <v>106.5</v>
      </c>
      <c r="D233">
        <v>114</v>
      </c>
      <c r="E233">
        <v>86.5</v>
      </c>
      <c r="F233">
        <v>87</v>
      </c>
      <c r="G233">
        <v>80</v>
      </c>
      <c r="H233">
        <v>86</v>
      </c>
    </row>
    <row r="234" spans="1:8">
      <c r="A234">
        <v>230632</v>
      </c>
      <c r="B234" t="s">
        <v>241</v>
      </c>
      <c r="C234">
        <v>94.5</v>
      </c>
      <c r="D234">
        <v>109</v>
      </c>
      <c r="E234">
        <v>112</v>
      </c>
      <c r="F234">
        <v>88</v>
      </c>
      <c r="G234">
        <v>81</v>
      </c>
      <c r="H234">
        <v>85</v>
      </c>
    </row>
    <row r="235" spans="1:8">
      <c r="A235">
        <v>230633</v>
      </c>
      <c r="B235" t="s">
        <v>242</v>
      </c>
      <c r="C235">
        <v>89</v>
      </c>
      <c r="D235">
        <v>96</v>
      </c>
      <c r="E235">
        <v>95.5</v>
      </c>
      <c r="F235">
        <v>82</v>
      </c>
      <c r="G235">
        <v>70</v>
      </c>
      <c r="H235">
        <v>81</v>
      </c>
    </row>
    <row r="236" spans="1:8">
      <c r="A236">
        <v>230634</v>
      </c>
      <c r="B236" t="s">
        <v>243</v>
      </c>
      <c r="C236">
        <v>85</v>
      </c>
      <c r="D236">
        <v>95</v>
      </c>
      <c r="E236">
        <v>104.5</v>
      </c>
      <c r="F236">
        <v>84</v>
      </c>
      <c r="G236">
        <v>74</v>
      </c>
      <c r="H236">
        <v>77</v>
      </c>
    </row>
    <row r="237" spans="1:8">
      <c r="A237">
        <v>230635</v>
      </c>
      <c r="B237" t="s">
        <v>244</v>
      </c>
      <c r="C237">
        <v>75</v>
      </c>
      <c r="D237">
        <v>54</v>
      </c>
      <c r="E237">
        <v>86</v>
      </c>
      <c r="F237">
        <v>56</v>
      </c>
      <c r="G237">
        <v>69</v>
      </c>
      <c r="H237">
        <v>57</v>
      </c>
    </row>
    <row r="238" spans="1:8">
      <c r="A238">
        <v>230636</v>
      </c>
      <c r="B238" t="s">
        <v>245</v>
      </c>
      <c r="C238">
        <v>83</v>
      </c>
      <c r="D238">
        <v>112</v>
      </c>
      <c r="E238">
        <v>87.5</v>
      </c>
      <c r="F238">
        <v>89</v>
      </c>
      <c r="G238">
        <v>80</v>
      </c>
      <c r="H238">
        <v>80</v>
      </c>
    </row>
    <row r="239" spans="1:8">
      <c r="A239">
        <v>230637</v>
      </c>
      <c r="B239" t="s">
        <v>246</v>
      </c>
      <c r="C239">
        <v>79</v>
      </c>
      <c r="D239">
        <v>99</v>
      </c>
      <c r="E239">
        <v>83.5</v>
      </c>
      <c r="F239">
        <v>80</v>
      </c>
      <c r="G239">
        <v>60</v>
      </c>
      <c r="H239">
        <v>63</v>
      </c>
    </row>
    <row r="240" spans="1:8">
      <c r="A240">
        <v>230638</v>
      </c>
      <c r="B240" t="s">
        <v>247</v>
      </c>
      <c r="C240">
        <v>103</v>
      </c>
      <c r="D240">
        <v>109</v>
      </c>
      <c r="E240">
        <v>113</v>
      </c>
      <c r="F240">
        <v>87</v>
      </c>
      <c r="G240">
        <v>77</v>
      </c>
      <c r="H240">
        <v>82</v>
      </c>
    </row>
    <row r="241" spans="1:8">
      <c r="A241">
        <v>230639</v>
      </c>
      <c r="B241" t="s">
        <v>248</v>
      </c>
      <c r="C241">
        <v>99</v>
      </c>
      <c r="D241">
        <v>100</v>
      </c>
      <c r="E241">
        <v>101.5</v>
      </c>
      <c r="F241">
        <v>88</v>
      </c>
      <c r="G241">
        <v>84</v>
      </c>
      <c r="H241">
        <v>82</v>
      </c>
    </row>
    <row r="242" spans="1:8">
      <c r="A242">
        <v>230640</v>
      </c>
      <c r="B242" t="s">
        <v>249</v>
      </c>
      <c r="C242">
        <v>95</v>
      </c>
      <c r="D242">
        <v>93</v>
      </c>
      <c r="E242">
        <v>85</v>
      </c>
      <c r="F242">
        <v>81</v>
      </c>
      <c r="G242">
        <v>79</v>
      </c>
      <c r="H242">
        <v>78</v>
      </c>
    </row>
    <row r="243" spans="1:8">
      <c r="A243">
        <v>230641</v>
      </c>
      <c r="B243" t="s">
        <v>250</v>
      </c>
      <c r="C243">
        <v>90</v>
      </c>
      <c r="D243">
        <v>92</v>
      </c>
      <c r="E243">
        <v>98</v>
      </c>
      <c r="F243">
        <v>86</v>
      </c>
      <c r="G243">
        <v>78</v>
      </c>
      <c r="H243">
        <v>77</v>
      </c>
    </row>
    <row r="244" spans="1:8">
      <c r="A244">
        <v>230642</v>
      </c>
      <c r="B244" t="s">
        <v>251</v>
      </c>
      <c r="C244">
        <v>80</v>
      </c>
      <c r="D244">
        <v>85</v>
      </c>
      <c r="E244">
        <v>76</v>
      </c>
      <c r="F244">
        <v>87</v>
      </c>
      <c r="G244">
        <v>72</v>
      </c>
      <c r="H244">
        <v>70</v>
      </c>
    </row>
    <row r="245" spans="1:8">
      <c r="A245">
        <v>230643</v>
      </c>
      <c r="B245" t="s">
        <v>252</v>
      </c>
      <c r="C245">
        <v>80</v>
      </c>
      <c r="D245">
        <v>91</v>
      </c>
      <c r="E245">
        <v>99</v>
      </c>
      <c r="F245">
        <v>86</v>
      </c>
      <c r="G245">
        <v>73</v>
      </c>
      <c r="H245">
        <v>71</v>
      </c>
    </row>
    <row r="246" spans="1:8">
      <c r="A246">
        <v>230644</v>
      </c>
      <c r="B246" t="s">
        <v>253</v>
      </c>
      <c r="C246">
        <v>89</v>
      </c>
      <c r="D246">
        <v>78</v>
      </c>
      <c r="E246">
        <v>89.5</v>
      </c>
      <c r="F246">
        <v>79</v>
      </c>
      <c r="G246">
        <v>72</v>
      </c>
      <c r="H246">
        <v>73</v>
      </c>
    </row>
    <row r="247" spans="1:8">
      <c r="A247">
        <v>230645</v>
      </c>
      <c r="B247" t="s">
        <v>254</v>
      </c>
      <c r="C247">
        <v>83</v>
      </c>
      <c r="D247">
        <v>83</v>
      </c>
      <c r="E247">
        <v>93.5</v>
      </c>
      <c r="F247">
        <v>86</v>
      </c>
      <c r="G247">
        <v>69</v>
      </c>
      <c r="H247">
        <v>74</v>
      </c>
    </row>
    <row r="248" spans="1:8">
      <c r="A248">
        <v>230646</v>
      </c>
      <c r="B248" t="s">
        <v>255</v>
      </c>
      <c r="C248">
        <v>75</v>
      </c>
      <c r="D248">
        <v>65</v>
      </c>
      <c r="E248">
        <v>82</v>
      </c>
      <c r="F248">
        <v>67</v>
      </c>
      <c r="G248">
        <v>71</v>
      </c>
      <c r="H248">
        <v>62</v>
      </c>
    </row>
    <row r="249" spans="1:8">
      <c r="A249">
        <v>230701</v>
      </c>
      <c r="B249" t="s">
        <v>256</v>
      </c>
      <c r="C249">
        <v>79.5</v>
      </c>
      <c r="D249">
        <v>92</v>
      </c>
      <c r="E249">
        <v>98</v>
      </c>
      <c r="F249">
        <v>86</v>
      </c>
      <c r="G249">
        <v>74</v>
      </c>
      <c r="H249">
        <v>75</v>
      </c>
    </row>
    <row r="250" spans="1:8">
      <c r="A250">
        <v>230702</v>
      </c>
      <c r="B250" t="s">
        <v>257</v>
      </c>
      <c r="C250">
        <v>88</v>
      </c>
      <c r="D250">
        <v>80</v>
      </c>
      <c r="E250">
        <v>90</v>
      </c>
      <c r="F250">
        <v>72</v>
      </c>
      <c r="G250">
        <v>75</v>
      </c>
      <c r="H250">
        <v>66</v>
      </c>
    </row>
    <row r="251" spans="1:8">
      <c r="A251">
        <v>230703</v>
      </c>
      <c r="B251" t="s">
        <v>258</v>
      </c>
      <c r="C251">
        <v>96</v>
      </c>
      <c r="D251">
        <v>92</v>
      </c>
      <c r="E251">
        <v>107.5</v>
      </c>
      <c r="F251">
        <v>84</v>
      </c>
      <c r="G251">
        <v>79</v>
      </c>
      <c r="H251">
        <v>68</v>
      </c>
    </row>
    <row r="252" spans="1:8">
      <c r="A252">
        <v>230704</v>
      </c>
      <c r="B252" t="s">
        <v>259</v>
      </c>
      <c r="C252">
        <v>78</v>
      </c>
      <c r="D252">
        <v>95</v>
      </c>
      <c r="E252">
        <v>73.5</v>
      </c>
      <c r="F252">
        <v>89</v>
      </c>
      <c r="G252">
        <v>73</v>
      </c>
      <c r="H252">
        <v>81</v>
      </c>
    </row>
    <row r="253" spans="1:8">
      <c r="A253">
        <v>230705</v>
      </c>
      <c r="B253" t="s">
        <v>260</v>
      </c>
      <c r="C253">
        <v>89</v>
      </c>
      <c r="D253">
        <v>95</v>
      </c>
      <c r="E253">
        <v>100.5</v>
      </c>
      <c r="F253">
        <v>83</v>
      </c>
      <c r="G253">
        <v>78</v>
      </c>
      <c r="H253">
        <v>76</v>
      </c>
    </row>
    <row r="254" spans="1:8">
      <c r="A254">
        <v>230706</v>
      </c>
      <c r="B254" t="s">
        <v>261</v>
      </c>
      <c r="C254">
        <v>97</v>
      </c>
      <c r="D254">
        <v>102</v>
      </c>
      <c r="E254">
        <v>98</v>
      </c>
      <c r="F254">
        <v>82</v>
      </c>
      <c r="G254">
        <v>74</v>
      </c>
      <c r="H254">
        <v>70</v>
      </c>
    </row>
    <row r="255" spans="1:8">
      <c r="A255">
        <v>230707</v>
      </c>
      <c r="B255" t="s">
        <v>262</v>
      </c>
      <c r="C255">
        <v>78</v>
      </c>
      <c r="D255">
        <v>92</v>
      </c>
      <c r="E255">
        <v>84.5</v>
      </c>
      <c r="F255">
        <v>70</v>
      </c>
      <c r="G255">
        <v>67</v>
      </c>
      <c r="H255">
        <v>79</v>
      </c>
    </row>
    <row r="256" spans="1:8">
      <c r="A256">
        <v>230708</v>
      </c>
      <c r="B256" t="s">
        <v>263</v>
      </c>
      <c r="C256">
        <v>86</v>
      </c>
      <c r="D256">
        <v>98</v>
      </c>
      <c r="E256" t="s">
        <v>36</v>
      </c>
      <c r="F256" t="s">
        <v>36</v>
      </c>
      <c r="G256">
        <v>82</v>
      </c>
      <c r="H256" t="s">
        <v>36</v>
      </c>
    </row>
    <row r="257" spans="1:8">
      <c r="A257">
        <v>230709</v>
      </c>
      <c r="B257" t="s">
        <v>264</v>
      </c>
      <c r="C257">
        <v>97</v>
      </c>
      <c r="D257">
        <v>85</v>
      </c>
      <c r="E257">
        <v>109</v>
      </c>
      <c r="F257">
        <v>79</v>
      </c>
      <c r="G257">
        <v>77</v>
      </c>
      <c r="H257">
        <v>77</v>
      </c>
    </row>
    <row r="258" spans="1:8">
      <c r="A258">
        <v>230710</v>
      </c>
      <c r="B258" t="s">
        <v>265</v>
      </c>
      <c r="C258">
        <v>89</v>
      </c>
      <c r="D258">
        <v>83</v>
      </c>
      <c r="E258">
        <v>98.5</v>
      </c>
      <c r="F258">
        <v>80</v>
      </c>
      <c r="G258">
        <v>77</v>
      </c>
      <c r="H258">
        <v>81</v>
      </c>
    </row>
    <row r="259" spans="1:8">
      <c r="A259">
        <v>230711</v>
      </c>
      <c r="B259" t="s">
        <v>266</v>
      </c>
      <c r="C259">
        <v>87</v>
      </c>
      <c r="D259">
        <v>86</v>
      </c>
      <c r="E259">
        <v>98</v>
      </c>
      <c r="F259">
        <v>86</v>
      </c>
      <c r="G259">
        <v>71</v>
      </c>
      <c r="H259">
        <v>76</v>
      </c>
    </row>
    <row r="260" spans="1:8">
      <c r="A260">
        <v>230712</v>
      </c>
      <c r="B260" t="s">
        <v>267</v>
      </c>
      <c r="C260">
        <v>87</v>
      </c>
      <c r="D260">
        <v>93</v>
      </c>
      <c r="E260">
        <v>94.5</v>
      </c>
      <c r="F260">
        <v>85</v>
      </c>
      <c r="G260">
        <v>78</v>
      </c>
      <c r="H260">
        <v>71</v>
      </c>
    </row>
    <row r="261" spans="1:8">
      <c r="A261">
        <v>230713</v>
      </c>
      <c r="B261" t="s">
        <v>268</v>
      </c>
      <c r="C261">
        <v>78</v>
      </c>
      <c r="D261">
        <v>91</v>
      </c>
      <c r="E261">
        <v>85.5</v>
      </c>
      <c r="F261">
        <v>85</v>
      </c>
      <c r="G261">
        <v>57</v>
      </c>
      <c r="H261">
        <v>74</v>
      </c>
    </row>
    <row r="262" spans="1:8">
      <c r="A262">
        <v>230714</v>
      </c>
      <c r="B262" t="s">
        <v>269</v>
      </c>
      <c r="C262">
        <v>89</v>
      </c>
      <c r="D262">
        <v>110</v>
      </c>
      <c r="E262">
        <v>111.5</v>
      </c>
      <c r="F262">
        <v>85</v>
      </c>
      <c r="G262">
        <v>79</v>
      </c>
      <c r="H262">
        <v>82</v>
      </c>
    </row>
    <row r="263" spans="1:8">
      <c r="A263">
        <v>230715</v>
      </c>
      <c r="B263" t="s">
        <v>270</v>
      </c>
      <c r="C263">
        <v>91</v>
      </c>
      <c r="D263">
        <v>101</v>
      </c>
      <c r="E263">
        <v>99</v>
      </c>
      <c r="F263">
        <v>82</v>
      </c>
      <c r="G263">
        <v>76</v>
      </c>
      <c r="H263">
        <v>78</v>
      </c>
    </row>
    <row r="264" spans="1:8">
      <c r="A264">
        <v>230716</v>
      </c>
      <c r="B264" t="s">
        <v>271</v>
      </c>
      <c r="C264">
        <v>96</v>
      </c>
      <c r="D264">
        <v>89</v>
      </c>
      <c r="E264">
        <v>102.5</v>
      </c>
      <c r="F264">
        <v>87</v>
      </c>
      <c r="G264">
        <v>70</v>
      </c>
      <c r="H264">
        <v>83</v>
      </c>
    </row>
    <row r="265" spans="1:8">
      <c r="A265">
        <v>230717</v>
      </c>
      <c r="B265" t="s">
        <v>272</v>
      </c>
      <c r="C265">
        <v>85</v>
      </c>
      <c r="D265">
        <v>78</v>
      </c>
      <c r="E265">
        <v>93.5</v>
      </c>
      <c r="F265">
        <v>80</v>
      </c>
      <c r="G265">
        <v>65</v>
      </c>
      <c r="H265">
        <v>71</v>
      </c>
    </row>
    <row r="266" spans="1:8">
      <c r="A266">
        <v>230718</v>
      </c>
      <c r="B266" t="s">
        <v>273</v>
      </c>
      <c r="C266">
        <v>107.5</v>
      </c>
      <c r="D266">
        <v>88</v>
      </c>
      <c r="E266">
        <v>109.5</v>
      </c>
      <c r="F266">
        <v>86</v>
      </c>
      <c r="G266">
        <v>85</v>
      </c>
      <c r="H266">
        <v>79</v>
      </c>
    </row>
    <row r="267" spans="1:8">
      <c r="A267">
        <v>230719</v>
      </c>
      <c r="B267" t="s">
        <v>274</v>
      </c>
      <c r="C267">
        <v>101</v>
      </c>
      <c r="D267">
        <v>99</v>
      </c>
      <c r="E267">
        <v>87.5</v>
      </c>
      <c r="F267">
        <v>88</v>
      </c>
      <c r="G267">
        <v>76</v>
      </c>
      <c r="H267">
        <v>84</v>
      </c>
    </row>
    <row r="268" spans="1:8">
      <c r="A268">
        <v>230720</v>
      </c>
      <c r="B268" t="s">
        <v>275</v>
      </c>
      <c r="C268">
        <v>88</v>
      </c>
      <c r="D268">
        <v>89</v>
      </c>
      <c r="E268">
        <v>94</v>
      </c>
      <c r="F268">
        <v>80</v>
      </c>
      <c r="G268">
        <v>77</v>
      </c>
      <c r="H268">
        <v>75</v>
      </c>
    </row>
    <row r="269" spans="1:8">
      <c r="A269">
        <v>230722</v>
      </c>
      <c r="B269" t="s">
        <v>276</v>
      </c>
      <c r="C269">
        <v>93</v>
      </c>
      <c r="D269">
        <v>101</v>
      </c>
      <c r="E269">
        <v>104</v>
      </c>
      <c r="F269">
        <v>85</v>
      </c>
      <c r="G269">
        <v>78</v>
      </c>
      <c r="H269">
        <v>78</v>
      </c>
    </row>
    <row r="270" spans="1:8">
      <c r="A270">
        <v>230723</v>
      </c>
      <c r="B270" t="s">
        <v>277</v>
      </c>
      <c r="C270">
        <v>95</v>
      </c>
      <c r="D270">
        <v>101</v>
      </c>
      <c r="E270">
        <v>96</v>
      </c>
      <c r="F270">
        <v>86</v>
      </c>
      <c r="G270">
        <v>83</v>
      </c>
      <c r="H270">
        <v>72</v>
      </c>
    </row>
    <row r="271" spans="1:8">
      <c r="A271">
        <v>230724</v>
      </c>
      <c r="B271" t="s">
        <v>278</v>
      </c>
      <c r="C271">
        <v>81</v>
      </c>
      <c r="D271">
        <v>89</v>
      </c>
      <c r="E271">
        <v>86</v>
      </c>
      <c r="F271">
        <v>87</v>
      </c>
      <c r="G271">
        <v>68</v>
      </c>
      <c r="H271">
        <v>71</v>
      </c>
    </row>
    <row r="272" spans="1:8">
      <c r="A272">
        <v>230725</v>
      </c>
      <c r="B272" t="s">
        <v>279</v>
      </c>
      <c r="C272">
        <v>89</v>
      </c>
      <c r="D272">
        <v>93</v>
      </c>
      <c r="E272">
        <v>92.5</v>
      </c>
      <c r="F272">
        <v>87</v>
      </c>
      <c r="G272">
        <v>75</v>
      </c>
      <c r="H272">
        <v>72</v>
      </c>
    </row>
    <row r="273" spans="1:8">
      <c r="A273">
        <v>230726</v>
      </c>
      <c r="B273" t="s">
        <v>280</v>
      </c>
      <c r="C273">
        <v>94</v>
      </c>
      <c r="D273">
        <v>92</v>
      </c>
      <c r="E273">
        <v>82</v>
      </c>
      <c r="F273">
        <v>84</v>
      </c>
      <c r="G273">
        <v>66</v>
      </c>
      <c r="H273">
        <v>70</v>
      </c>
    </row>
    <row r="274" spans="1:8">
      <c r="A274">
        <v>230727</v>
      </c>
      <c r="B274" t="s">
        <v>281</v>
      </c>
      <c r="C274">
        <v>83</v>
      </c>
      <c r="D274">
        <v>101</v>
      </c>
      <c r="E274">
        <v>85</v>
      </c>
      <c r="F274">
        <v>86</v>
      </c>
      <c r="G274">
        <v>72</v>
      </c>
      <c r="H274">
        <v>74</v>
      </c>
    </row>
    <row r="275" spans="1:8">
      <c r="A275">
        <v>230728</v>
      </c>
      <c r="B275" t="s">
        <v>282</v>
      </c>
      <c r="C275">
        <v>92.5</v>
      </c>
      <c r="D275">
        <v>77</v>
      </c>
      <c r="E275">
        <v>89</v>
      </c>
      <c r="F275">
        <v>76</v>
      </c>
      <c r="G275">
        <v>69</v>
      </c>
      <c r="H275">
        <v>68</v>
      </c>
    </row>
    <row r="276" spans="1:8">
      <c r="A276">
        <v>230729</v>
      </c>
      <c r="B276" t="s">
        <v>283</v>
      </c>
      <c r="C276">
        <v>84</v>
      </c>
      <c r="D276">
        <v>97</v>
      </c>
      <c r="E276">
        <v>103.5</v>
      </c>
      <c r="F276">
        <v>87</v>
      </c>
      <c r="G276">
        <v>77</v>
      </c>
      <c r="H276">
        <v>70</v>
      </c>
    </row>
    <row r="277" spans="1:8">
      <c r="A277">
        <v>230730</v>
      </c>
      <c r="B277" t="s">
        <v>284</v>
      </c>
      <c r="C277">
        <v>111</v>
      </c>
      <c r="D277">
        <v>104</v>
      </c>
      <c r="E277">
        <v>107</v>
      </c>
      <c r="F277">
        <v>89</v>
      </c>
      <c r="G277">
        <v>86</v>
      </c>
      <c r="H277">
        <v>87</v>
      </c>
    </row>
    <row r="278" spans="1:8">
      <c r="A278">
        <v>230731</v>
      </c>
      <c r="B278" t="s">
        <v>285</v>
      </c>
      <c r="C278">
        <v>92</v>
      </c>
      <c r="D278">
        <v>96</v>
      </c>
      <c r="E278">
        <v>92</v>
      </c>
      <c r="F278">
        <v>85</v>
      </c>
      <c r="G278">
        <v>75</v>
      </c>
      <c r="H278">
        <v>74</v>
      </c>
    </row>
    <row r="279" spans="1:8">
      <c r="A279">
        <v>230732</v>
      </c>
      <c r="B279" t="s">
        <v>286</v>
      </c>
      <c r="C279">
        <v>89</v>
      </c>
      <c r="D279">
        <v>88</v>
      </c>
      <c r="E279">
        <v>100.5</v>
      </c>
      <c r="F279">
        <v>86</v>
      </c>
      <c r="G279">
        <v>80</v>
      </c>
      <c r="H279">
        <v>81</v>
      </c>
    </row>
    <row r="280" spans="1:8">
      <c r="A280">
        <v>230733</v>
      </c>
      <c r="B280" t="s">
        <v>287</v>
      </c>
      <c r="C280">
        <v>80</v>
      </c>
      <c r="D280">
        <v>90</v>
      </c>
      <c r="E280">
        <v>84</v>
      </c>
      <c r="F280">
        <v>73</v>
      </c>
      <c r="G280">
        <v>55</v>
      </c>
      <c r="H280">
        <v>70</v>
      </c>
    </row>
    <row r="281" spans="1:8">
      <c r="A281">
        <v>230734</v>
      </c>
      <c r="B281" t="s">
        <v>288</v>
      </c>
      <c r="C281">
        <v>95</v>
      </c>
      <c r="D281">
        <v>93</v>
      </c>
      <c r="E281">
        <v>104.5</v>
      </c>
      <c r="F281">
        <v>87</v>
      </c>
      <c r="G281">
        <v>80</v>
      </c>
      <c r="H281">
        <v>89</v>
      </c>
    </row>
    <row r="282" spans="1:8">
      <c r="A282">
        <v>230735</v>
      </c>
      <c r="B282" t="s">
        <v>289</v>
      </c>
      <c r="C282">
        <v>79</v>
      </c>
      <c r="D282">
        <v>89</v>
      </c>
      <c r="E282">
        <v>90.5</v>
      </c>
      <c r="F282">
        <v>81</v>
      </c>
      <c r="G282">
        <v>66</v>
      </c>
      <c r="H282">
        <v>72</v>
      </c>
    </row>
    <row r="283" spans="1:8">
      <c r="A283">
        <v>230736</v>
      </c>
      <c r="B283" t="s">
        <v>290</v>
      </c>
      <c r="C283">
        <v>101</v>
      </c>
      <c r="D283">
        <v>98</v>
      </c>
      <c r="E283">
        <v>115.5</v>
      </c>
      <c r="F283">
        <v>84</v>
      </c>
      <c r="G283">
        <v>80</v>
      </c>
      <c r="H283">
        <v>79</v>
      </c>
    </row>
    <row r="284" spans="1:8">
      <c r="A284">
        <v>230737</v>
      </c>
      <c r="B284" t="s">
        <v>291</v>
      </c>
      <c r="C284">
        <v>88</v>
      </c>
      <c r="D284">
        <v>83</v>
      </c>
      <c r="E284">
        <v>101.5</v>
      </c>
      <c r="F284">
        <v>82</v>
      </c>
      <c r="G284">
        <v>75</v>
      </c>
      <c r="H284">
        <v>79</v>
      </c>
    </row>
    <row r="285" spans="1:8">
      <c r="A285">
        <v>230738</v>
      </c>
      <c r="B285" t="s">
        <v>292</v>
      </c>
      <c r="C285">
        <v>77</v>
      </c>
      <c r="D285">
        <v>50</v>
      </c>
      <c r="E285">
        <v>46.5</v>
      </c>
      <c r="F285">
        <v>66</v>
      </c>
      <c r="G285">
        <v>66</v>
      </c>
      <c r="H285">
        <v>69</v>
      </c>
    </row>
    <row r="286" spans="1:8">
      <c r="A286">
        <v>230739</v>
      </c>
      <c r="B286" t="s">
        <v>293</v>
      </c>
      <c r="C286">
        <v>89</v>
      </c>
      <c r="D286">
        <v>96</v>
      </c>
      <c r="E286">
        <v>109</v>
      </c>
      <c r="F286">
        <v>84</v>
      </c>
      <c r="G286">
        <v>84</v>
      </c>
      <c r="H286">
        <v>85</v>
      </c>
    </row>
    <row r="287" spans="1:8">
      <c r="A287">
        <v>230740</v>
      </c>
      <c r="B287" t="s">
        <v>294</v>
      </c>
      <c r="C287">
        <v>89</v>
      </c>
      <c r="D287">
        <v>79</v>
      </c>
      <c r="E287">
        <v>104</v>
      </c>
      <c r="F287">
        <v>68</v>
      </c>
      <c r="G287">
        <v>76</v>
      </c>
      <c r="H287">
        <v>74</v>
      </c>
    </row>
    <row r="288" spans="1:8">
      <c r="A288">
        <v>230741</v>
      </c>
      <c r="B288" t="s">
        <v>295</v>
      </c>
      <c r="C288">
        <v>94</v>
      </c>
      <c r="D288">
        <v>114</v>
      </c>
      <c r="E288">
        <v>113</v>
      </c>
      <c r="F288">
        <v>90</v>
      </c>
      <c r="G288">
        <v>85</v>
      </c>
      <c r="H288">
        <v>89</v>
      </c>
    </row>
    <row r="289" spans="1:8">
      <c r="A289">
        <v>230742</v>
      </c>
      <c r="B289" t="s">
        <v>296</v>
      </c>
      <c r="C289">
        <v>96</v>
      </c>
      <c r="D289">
        <v>115</v>
      </c>
      <c r="E289">
        <v>91</v>
      </c>
      <c r="F289">
        <v>83</v>
      </c>
      <c r="G289">
        <v>75</v>
      </c>
      <c r="H289">
        <v>71</v>
      </c>
    </row>
    <row r="290" spans="1:8">
      <c r="A290">
        <v>230743</v>
      </c>
      <c r="B290" t="s">
        <v>297</v>
      </c>
      <c r="C290">
        <v>79</v>
      </c>
      <c r="D290">
        <v>64</v>
      </c>
      <c r="E290">
        <v>39.5</v>
      </c>
      <c r="F290">
        <v>70</v>
      </c>
      <c r="G290">
        <v>56</v>
      </c>
      <c r="H290">
        <v>55</v>
      </c>
    </row>
    <row r="291" spans="1:8">
      <c r="A291">
        <v>230744</v>
      </c>
      <c r="B291" t="s">
        <v>298</v>
      </c>
      <c r="C291">
        <v>106</v>
      </c>
      <c r="D291">
        <v>105</v>
      </c>
      <c r="E291">
        <v>115</v>
      </c>
      <c r="F291">
        <v>85</v>
      </c>
      <c r="G291">
        <v>82</v>
      </c>
      <c r="H291">
        <v>80</v>
      </c>
    </row>
    <row r="292" spans="1:8">
      <c r="A292">
        <v>230745</v>
      </c>
      <c r="B292" t="s">
        <v>299</v>
      </c>
      <c r="C292">
        <v>85</v>
      </c>
      <c r="D292">
        <v>100</v>
      </c>
      <c r="E292">
        <v>108.5</v>
      </c>
      <c r="F292">
        <v>80</v>
      </c>
      <c r="G292">
        <v>71</v>
      </c>
      <c r="H292">
        <v>71</v>
      </c>
    </row>
    <row r="293" spans="1:8">
      <c r="A293">
        <v>230746</v>
      </c>
      <c r="B293" t="s">
        <v>300</v>
      </c>
      <c r="C293">
        <v>97</v>
      </c>
      <c r="D293">
        <v>96</v>
      </c>
      <c r="E293">
        <v>93</v>
      </c>
      <c r="F293">
        <v>86</v>
      </c>
      <c r="G293">
        <v>75</v>
      </c>
      <c r="H293">
        <v>83</v>
      </c>
    </row>
    <row r="294" spans="1:8">
      <c r="A294">
        <v>230801</v>
      </c>
      <c r="B294" t="s">
        <v>301</v>
      </c>
      <c r="C294">
        <v>98.5</v>
      </c>
      <c r="D294">
        <v>88</v>
      </c>
      <c r="E294">
        <v>86.5</v>
      </c>
      <c r="F294">
        <v>77</v>
      </c>
      <c r="G294">
        <v>70</v>
      </c>
      <c r="H294">
        <v>66</v>
      </c>
    </row>
    <row r="295" spans="1:8">
      <c r="A295">
        <v>230802</v>
      </c>
      <c r="B295" t="s">
        <v>302</v>
      </c>
      <c r="C295">
        <v>100</v>
      </c>
      <c r="D295">
        <v>101</v>
      </c>
      <c r="E295">
        <v>110.5</v>
      </c>
      <c r="F295">
        <v>85</v>
      </c>
      <c r="G295">
        <v>85</v>
      </c>
      <c r="H295">
        <v>82</v>
      </c>
    </row>
    <row r="296" spans="1:8">
      <c r="A296">
        <v>230803</v>
      </c>
      <c r="B296" t="s">
        <v>303</v>
      </c>
      <c r="C296">
        <v>82</v>
      </c>
      <c r="D296">
        <v>70</v>
      </c>
      <c r="E296">
        <v>69</v>
      </c>
      <c r="F296">
        <v>70</v>
      </c>
      <c r="G296">
        <v>63</v>
      </c>
      <c r="H296">
        <v>61</v>
      </c>
    </row>
    <row r="297" spans="1:8">
      <c r="A297">
        <v>230804</v>
      </c>
      <c r="B297" t="s">
        <v>304</v>
      </c>
      <c r="C297">
        <v>81</v>
      </c>
      <c r="D297">
        <v>100</v>
      </c>
      <c r="E297">
        <v>75</v>
      </c>
      <c r="F297">
        <v>75</v>
      </c>
      <c r="G297">
        <v>54</v>
      </c>
      <c r="H297">
        <v>58</v>
      </c>
    </row>
    <row r="298" spans="1:8">
      <c r="A298">
        <v>230805</v>
      </c>
      <c r="B298" t="s">
        <v>305</v>
      </c>
      <c r="C298">
        <v>86</v>
      </c>
      <c r="D298">
        <v>96</v>
      </c>
      <c r="E298">
        <v>100.5</v>
      </c>
      <c r="F298">
        <v>84</v>
      </c>
      <c r="G298">
        <v>69</v>
      </c>
      <c r="H298">
        <v>76</v>
      </c>
    </row>
    <row r="299" spans="1:8">
      <c r="A299">
        <v>230806</v>
      </c>
      <c r="B299" t="s">
        <v>306</v>
      </c>
      <c r="C299">
        <v>96</v>
      </c>
      <c r="D299">
        <v>91</v>
      </c>
      <c r="E299">
        <v>102.5</v>
      </c>
      <c r="F299">
        <v>85</v>
      </c>
      <c r="G299">
        <v>80</v>
      </c>
      <c r="H299">
        <v>81</v>
      </c>
    </row>
    <row r="300" spans="1:8">
      <c r="A300">
        <v>230808</v>
      </c>
      <c r="B300" t="s">
        <v>307</v>
      </c>
      <c r="C300">
        <v>93</v>
      </c>
      <c r="D300">
        <v>72</v>
      </c>
      <c r="E300">
        <v>77.5</v>
      </c>
      <c r="F300">
        <v>62</v>
      </c>
      <c r="G300">
        <v>66</v>
      </c>
      <c r="H300">
        <v>70</v>
      </c>
    </row>
    <row r="301" spans="1:8">
      <c r="A301">
        <v>230809</v>
      </c>
      <c r="B301" t="s">
        <v>308</v>
      </c>
      <c r="C301">
        <v>102</v>
      </c>
      <c r="D301">
        <v>84</v>
      </c>
      <c r="E301">
        <v>98.5</v>
      </c>
      <c r="F301">
        <v>82</v>
      </c>
      <c r="G301">
        <v>71</v>
      </c>
      <c r="H301">
        <v>71</v>
      </c>
    </row>
    <row r="302" spans="1:8">
      <c r="A302">
        <v>230811</v>
      </c>
      <c r="B302" t="s">
        <v>309</v>
      </c>
      <c r="C302">
        <v>103</v>
      </c>
      <c r="D302">
        <v>109</v>
      </c>
      <c r="E302">
        <v>117</v>
      </c>
      <c r="F302">
        <v>89</v>
      </c>
      <c r="G302">
        <v>80</v>
      </c>
      <c r="H302">
        <v>80</v>
      </c>
    </row>
    <row r="303" spans="1:8">
      <c r="A303">
        <v>230812</v>
      </c>
      <c r="B303" t="s">
        <v>310</v>
      </c>
      <c r="C303">
        <v>90</v>
      </c>
      <c r="D303">
        <v>102</v>
      </c>
      <c r="E303">
        <v>91</v>
      </c>
      <c r="F303">
        <v>86</v>
      </c>
      <c r="G303">
        <v>76</v>
      </c>
      <c r="H303">
        <v>74</v>
      </c>
    </row>
    <row r="304" spans="1:8">
      <c r="A304">
        <v>230814</v>
      </c>
      <c r="B304" t="s">
        <v>311</v>
      </c>
      <c r="C304">
        <v>101</v>
      </c>
      <c r="D304">
        <v>105</v>
      </c>
      <c r="E304">
        <v>106.5</v>
      </c>
      <c r="F304">
        <v>87</v>
      </c>
      <c r="G304">
        <v>75</v>
      </c>
      <c r="H304">
        <v>76</v>
      </c>
    </row>
    <row r="305" spans="1:8">
      <c r="A305">
        <v>230815</v>
      </c>
      <c r="B305" t="s">
        <v>312</v>
      </c>
      <c r="C305">
        <v>65</v>
      </c>
      <c r="D305">
        <v>91</v>
      </c>
      <c r="E305">
        <v>52.5</v>
      </c>
      <c r="F305">
        <v>77</v>
      </c>
      <c r="G305">
        <v>53</v>
      </c>
      <c r="H305">
        <v>54</v>
      </c>
    </row>
    <row r="306" spans="1:8">
      <c r="A306">
        <v>230816</v>
      </c>
      <c r="B306" t="s">
        <v>313</v>
      </c>
      <c r="C306">
        <v>78</v>
      </c>
      <c r="D306">
        <v>68</v>
      </c>
      <c r="E306">
        <v>89.5</v>
      </c>
      <c r="F306">
        <v>74</v>
      </c>
      <c r="G306">
        <v>54</v>
      </c>
      <c r="H306">
        <v>45</v>
      </c>
    </row>
    <row r="307" spans="1:8">
      <c r="A307">
        <v>230817</v>
      </c>
      <c r="B307" t="s">
        <v>314</v>
      </c>
      <c r="C307">
        <v>97</v>
      </c>
      <c r="D307">
        <v>91</v>
      </c>
      <c r="E307">
        <v>99.5</v>
      </c>
      <c r="F307">
        <v>71</v>
      </c>
      <c r="G307">
        <v>71</v>
      </c>
      <c r="H307">
        <v>59</v>
      </c>
    </row>
    <row r="308" spans="1:8">
      <c r="A308">
        <v>230818</v>
      </c>
      <c r="B308" t="s">
        <v>315</v>
      </c>
      <c r="C308">
        <v>93</v>
      </c>
      <c r="D308">
        <v>97</v>
      </c>
      <c r="E308">
        <v>86.5</v>
      </c>
      <c r="F308">
        <v>79</v>
      </c>
      <c r="G308">
        <v>67</v>
      </c>
      <c r="H308">
        <v>73</v>
      </c>
    </row>
    <row r="309" spans="1:8">
      <c r="A309">
        <v>230819</v>
      </c>
      <c r="B309" t="s">
        <v>316</v>
      </c>
      <c r="C309">
        <v>88</v>
      </c>
      <c r="D309">
        <v>97</v>
      </c>
      <c r="E309">
        <v>102.5</v>
      </c>
      <c r="F309">
        <v>83</v>
      </c>
      <c r="G309">
        <v>73</v>
      </c>
      <c r="H309">
        <v>75</v>
      </c>
    </row>
    <row r="310" spans="1:8">
      <c r="A310">
        <v>230820</v>
      </c>
      <c r="B310" t="s">
        <v>317</v>
      </c>
      <c r="C310">
        <v>89</v>
      </c>
      <c r="D310">
        <v>93</v>
      </c>
      <c r="E310">
        <v>111</v>
      </c>
      <c r="F310">
        <v>83</v>
      </c>
      <c r="G310">
        <v>64</v>
      </c>
      <c r="H310">
        <v>66</v>
      </c>
    </row>
    <row r="311" spans="1:8">
      <c r="A311">
        <v>230821</v>
      </c>
      <c r="B311" t="s">
        <v>318</v>
      </c>
      <c r="C311">
        <v>81</v>
      </c>
      <c r="D311">
        <v>85</v>
      </c>
      <c r="E311">
        <v>67</v>
      </c>
      <c r="F311">
        <v>73</v>
      </c>
      <c r="G311">
        <v>62</v>
      </c>
      <c r="H311">
        <v>70</v>
      </c>
    </row>
    <row r="312" spans="1:8">
      <c r="A312">
        <v>230822</v>
      </c>
      <c r="B312" t="s">
        <v>319</v>
      </c>
      <c r="C312">
        <v>94.5</v>
      </c>
      <c r="D312">
        <v>94</v>
      </c>
      <c r="E312">
        <v>86</v>
      </c>
      <c r="F312">
        <v>75</v>
      </c>
      <c r="G312">
        <v>66</v>
      </c>
      <c r="H312">
        <v>80</v>
      </c>
    </row>
    <row r="313" spans="1:8">
      <c r="A313">
        <v>230824</v>
      </c>
      <c r="B313" t="s">
        <v>320</v>
      </c>
      <c r="C313">
        <v>99.5</v>
      </c>
      <c r="D313">
        <v>96</v>
      </c>
      <c r="E313">
        <v>105.5</v>
      </c>
      <c r="F313">
        <v>84</v>
      </c>
      <c r="G313">
        <v>80</v>
      </c>
      <c r="H313">
        <v>63</v>
      </c>
    </row>
    <row r="314" spans="1:8">
      <c r="A314">
        <v>230825</v>
      </c>
      <c r="B314" t="s">
        <v>321</v>
      </c>
      <c r="C314">
        <v>87</v>
      </c>
      <c r="D314">
        <v>102</v>
      </c>
      <c r="E314">
        <v>95.5</v>
      </c>
      <c r="F314">
        <v>83</v>
      </c>
      <c r="G314">
        <v>69</v>
      </c>
      <c r="H314">
        <v>71</v>
      </c>
    </row>
    <row r="315" spans="1:8">
      <c r="A315">
        <v>230826</v>
      </c>
      <c r="B315" t="s">
        <v>322</v>
      </c>
      <c r="C315">
        <v>92</v>
      </c>
      <c r="D315">
        <v>75</v>
      </c>
      <c r="E315">
        <v>92.5</v>
      </c>
      <c r="F315">
        <v>79</v>
      </c>
      <c r="G315">
        <v>69</v>
      </c>
      <c r="H315">
        <v>62</v>
      </c>
    </row>
    <row r="316" spans="1:8">
      <c r="A316">
        <v>230827</v>
      </c>
      <c r="B316" t="s">
        <v>323</v>
      </c>
      <c r="C316">
        <v>103</v>
      </c>
      <c r="D316">
        <v>92</v>
      </c>
      <c r="E316">
        <v>109</v>
      </c>
      <c r="F316">
        <v>82</v>
      </c>
      <c r="G316">
        <v>74</v>
      </c>
      <c r="H316">
        <v>79</v>
      </c>
    </row>
    <row r="317" spans="1:8">
      <c r="A317">
        <v>230828</v>
      </c>
      <c r="B317" t="s">
        <v>324</v>
      </c>
      <c r="C317">
        <v>80</v>
      </c>
      <c r="D317">
        <v>57</v>
      </c>
      <c r="E317">
        <v>55.5</v>
      </c>
      <c r="F317">
        <v>61</v>
      </c>
      <c r="G317">
        <v>71</v>
      </c>
      <c r="H317">
        <v>68</v>
      </c>
    </row>
    <row r="318" spans="1:8">
      <c r="A318">
        <v>230829</v>
      </c>
      <c r="B318" t="s">
        <v>325</v>
      </c>
      <c r="C318">
        <v>83</v>
      </c>
      <c r="D318">
        <v>96</v>
      </c>
      <c r="E318">
        <v>95.5</v>
      </c>
      <c r="F318">
        <v>83</v>
      </c>
      <c r="G318">
        <v>59</v>
      </c>
      <c r="H318">
        <v>58</v>
      </c>
    </row>
    <row r="319" spans="1:8">
      <c r="A319">
        <v>230831</v>
      </c>
      <c r="B319" t="s">
        <v>326</v>
      </c>
      <c r="C319">
        <v>68</v>
      </c>
      <c r="D319">
        <v>67</v>
      </c>
      <c r="E319">
        <v>50</v>
      </c>
      <c r="F319">
        <v>80</v>
      </c>
      <c r="G319">
        <v>66</v>
      </c>
      <c r="H319">
        <v>63</v>
      </c>
    </row>
    <row r="320" spans="1:8">
      <c r="A320">
        <v>230832</v>
      </c>
      <c r="B320" t="s">
        <v>327</v>
      </c>
      <c r="C320">
        <v>98</v>
      </c>
      <c r="D320">
        <v>86</v>
      </c>
      <c r="E320">
        <v>78</v>
      </c>
      <c r="F320">
        <v>90</v>
      </c>
      <c r="G320">
        <v>76</v>
      </c>
      <c r="H320">
        <v>74</v>
      </c>
    </row>
    <row r="321" spans="1:8">
      <c r="A321">
        <v>230833</v>
      </c>
      <c r="B321" t="s">
        <v>328</v>
      </c>
      <c r="C321">
        <v>76</v>
      </c>
      <c r="D321">
        <v>65</v>
      </c>
      <c r="E321">
        <v>104.5</v>
      </c>
      <c r="F321">
        <v>86</v>
      </c>
      <c r="G321">
        <v>68</v>
      </c>
      <c r="H321">
        <v>58</v>
      </c>
    </row>
    <row r="322" spans="1:8">
      <c r="A322">
        <v>230834</v>
      </c>
      <c r="B322" t="s">
        <v>329</v>
      </c>
      <c r="C322">
        <v>77</v>
      </c>
      <c r="D322">
        <v>92</v>
      </c>
      <c r="E322">
        <v>108</v>
      </c>
      <c r="F322">
        <v>89</v>
      </c>
      <c r="G322">
        <v>74</v>
      </c>
      <c r="H322">
        <v>71</v>
      </c>
    </row>
    <row r="323" spans="1:8">
      <c r="A323">
        <v>230835</v>
      </c>
      <c r="B323" t="s">
        <v>330</v>
      </c>
      <c r="C323">
        <v>90</v>
      </c>
      <c r="D323">
        <v>92</v>
      </c>
      <c r="E323">
        <v>78.5</v>
      </c>
      <c r="F323">
        <v>81</v>
      </c>
      <c r="G323">
        <v>67</v>
      </c>
      <c r="H323">
        <v>71</v>
      </c>
    </row>
    <row r="324" spans="1:8">
      <c r="A324">
        <v>230836</v>
      </c>
      <c r="B324" t="s">
        <v>331</v>
      </c>
      <c r="C324">
        <v>78</v>
      </c>
      <c r="D324">
        <v>85</v>
      </c>
      <c r="E324">
        <v>95.5</v>
      </c>
      <c r="F324">
        <v>81</v>
      </c>
      <c r="G324">
        <v>76</v>
      </c>
      <c r="H324">
        <v>57</v>
      </c>
    </row>
    <row r="325" spans="1:8">
      <c r="A325">
        <v>230837</v>
      </c>
      <c r="B325" t="s">
        <v>332</v>
      </c>
      <c r="C325">
        <v>94.5</v>
      </c>
      <c r="D325">
        <v>85</v>
      </c>
      <c r="E325">
        <v>98.5</v>
      </c>
      <c r="F325">
        <v>82</v>
      </c>
      <c r="G325">
        <v>71</v>
      </c>
      <c r="H325">
        <v>75</v>
      </c>
    </row>
    <row r="326" spans="1:8">
      <c r="A326">
        <v>230838</v>
      </c>
      <c r="B326" t="s">
        <v>333</v>
      </c>
      <c r="C326">
        <v>97</v>
      </c>
      <c r="D326">
        <v>88</v>
      </c>
      <c r="E326">
        <v>113</v>
      </c>
      <c r="F326">
        <v>85</v>
      </c>
      <c r="G326">
        <v>70</v>
      </c>
      <c r="H326">
        <v>73</v>
      </c>
    </row>
    <row r="327" spans="1:8">
      <c r="A327">
        <v>230839</v>
      </c>
      <c r="B327" t="s">
        <v>334</v>
      </c>
      <c r="C327">
        <v>81</v>
      </c>
      <c r="D327">
        <v>85</v>
      </c>
      <c r="E327">
        <v>103</v>
      </c>
      <c r="F327">
        <v>74</v>
      </c>
      <c r="G327">
        <v>72</v>
      </c>
      <c r="H327">
        <v>61</v>
      </c>
    </row>
    <row r="328" spans="1:8">
      <c r="A328">
        <v>230840</v>
      </c>
      <c r="B328" t="s">
        <v>335</v>
      </c>
      <c r="C328">
        <v>97</v>
      </c>
      <c r="D328">
        <v>74</v>
      </c>
      <c r="E328">
        <v>73.5</v>
      </c>
      <c r="F328">
        <v>88</v>
      </c>
      <c r="G328">
        <v>68</v>
      </c>
      <c r="H328">
        <v>65</v>
      </c>
    </row>
    <row r="329" spans="1:8">
      <c r="A329">
        <v>230841</v>
      </c>
      <c r="B329" t="s">
        <v>336</v>
      </c>
      <c r="C329">
        <v>93</v>
      </c>
      <c r="D329">
        <v>90</v>
      </c>
      <c r="E329">
        <v>98</v>
      </c>
      <c r="F329">
        <v>59</v>
      </c>
      <c r="G329">
        <v>60</v>
      </c>
      <c r="H329">
        <v>59</v>
      </c>
    </row>
    <row r="330" spans="1:8">
      <c r="A330">
        <v>230842</v>
      </c>
      <c r="B330" t="s">
        <v>337</v>
      </c>
      <c r="C330">
        <v>98</v>
      </c>
      <c r="D330">
        <v>104</v>
      </c>
      <c r="E330">
        <v>98.5</v>
      </c>
      <c r="F330">
        <v>88</v>
      </c>
      <c r="G330">
        <v>72</v>
      </c>
      <c r="H330">
        <v>72</v>
      </c>
    </row>
    <row r="331" spans="1:8">
      <c r="A331">
        <v>230843</v>
      </c>
      <c r="B331" t="s">
        <v>338</v>
      </c>
      <c r="C331">
        <v>97</v>
      </c>
      <c r="D331">
        <v>92</v>
      </c>
      <c r="E331">
        <v>107</v>
      </c>
      <c r="F331">
        <v>80</v>
      </c>
      <c r="G331">
        <v>84</v>
      </c>
      <c r="H331">
        <v>78</v>
      </c>
    </row>
    <row r="332" spans="1:8">
      <c r="A332">
        <v>230844</v>
      </c>
      <c r="B332" t="s">
        <v>339</v>
      </c>
      <c r="C332">
        <v>90</v>
      </c>
      <c r="D332">
        <v>101</v>
      </c>
      <c r="E332">
        <v>106</v>
      </c>
      <c r="F332">
        <v>90</v>
      </c>
      <c r="G332">
        <v>77</v>
      </c>
      <c r="H332">
        <v>83</v>
      </c>
    </row>
    <row r="333" spans="1:8">
      <c r="A333">
        <v>230845</v>
      </c>
      <c r="B333" t="s">
        <v>340</v>
      </c>
      <c r="C333">
        <v>104</v>
      </c>
      <c r="D333">
        <v>90</v>
      </c>
      <c r="E333">
        <v>101.5</v>
      </c>
      <c r="F333">
        <v>87</v>
      </c>
      <c r="G333">
        <v>71</v>
      </c>
      <c r="H333">
        <v>79</v>
      </c>
    </row>
    <row r="334" spans="1:8">
      <c r="A334">
        <v>230846</v>
      </c>
      <c r="B334" t="s">
        <v>341</v>
      </c>
      <c r="C334">
        <v>81</v>
      </c>
      <c r="D334">
        <v>92</v>
      </c>
      <c r="E334">
        <v>95</v>
      </c>
      <c r="F334">
        <v>82</v>
      </c>
      <c r="G334">
        <v>64</v>
      </c>
      <c r="H334">
        <v>73</v>
      </c>
    </row>
    <row r="335" spans="1:8">
      <c r="A335">
        <v>230901</v>
      </c>
      <c r="B335" t="s">
        <v>342</v>
      </c>
      <c r="C335">
        <v>96.5</v>
      </c>
      <c r="D335">
        <v>82</v>
      </c>
      <c r="E335">
        <v>87.5</v>
      </c>
      <c r="F335">
        <v>83</v>
      </c>
      <c r="G335">
        <v>78</v>
      </c>
      <c r="H335">
        <v>74</v>
      </c>
    </row>
    <row r="336" spans="1:8">
      <c r="A336">
        <v>230902</v>
      </c>
      <c r="B336" t="s">
        <v>343</v>
      </c>
      <c r="C336">
        <v>112</v>
      </c>
      <c r="D336">
        <v>97</v>
      </c>
      <c r="E336">
        <v>105.5</v>
      </c>
      <c r="F336">
        <v>88</v>
      </c>
      <c r="G336">
        <v>80</v>
      </c>
      <c r="H336">
        <v>81</v>
      </c>
    </row>
    <row r="337" spans="1:8">
      <c r="A337">
        <v>230903</v>
      </c>
      <c r="B337" t="s">
        <v>344</v>
      </c>
      <c r="C337">
        <v>86</v>
      </c>
      <c r="D337">
        <v>86</v>
      </c>
      <c r="E337">
        <v>89</v>
      </c>
      <c r="F337">
        <v>80</v>
      </c>
      <c r="G337">
        <v>73</v>
      </c>
      <c r="H337">
        <v>79</v>
      </c>
    </row>
    <row r="338" spans="1:8">
      <c r="A338">
        <v>230904</v>
      </c>
      <c r="B338" t="s">
        <v>345</v>
      </c>
      <c r="C338">
        <v>90</v>
      </c>
      <c r="D338">
        <v>92</v>
      </c>
      <c r="E338">
        <v>96.5</v>
      </c>
      <c r="F338">
        <v>85</v>
      </c>
      <c r="G338">
        <v>70</v>
      </c>
      <c r="H338">
        <v>71</v>
      </c>
    </row>
    <row r="339" spans="1:8">
      <c r="A339">
        <v>230905</v>
      </c>
      <c r="B339" t="s">
        <v>346</v>
      </c>
      <c r="C339">
        <v>93.5</v>
      </c>
      <c r="D339">
        <v>93</v>
      </c>
      <c r="E339">
        <v>107.5</v>
      </c>
      <c r="F339">
        <v>86</v>
      </c>
      <c r="G339">
        <v>74</v>
      </c>
      <c r="H339">
        <v>82</v>
      </c>
    </row>
    <row r="340" spans="1:8">
      <c r="A340">
        <v>230906</v>
      </c>
      <c r="B340" t="s">
        <v>347</v>
      </c>
      <c r="C340">
        <v>85</v>
      </c>
      <c r="D340">
        <v>89</v>
      </c>
      <c r="E340">
        <v>94</v>
      </c>
      <c r="F340">
        <v>79</v>
      </c>
      <c r="G340">
        <v>75</v>
      </c>
      <c r="H340">
        <v>69</v>
      </c>
    </row>
    <row r="341" spans="1:8">
      <c r="A341">
        <v>230907</v>
      </c>
      <c r="B341" t="s">
        <v>348</v>
      </c>
      <c r="C341">
        <v>96</v>
      </c>
      <c r="D341">
        <v>86</v>
      </c>
      <c r="E341">
        <v>102.5</v>
      </c>
      <c r="F341">
        <v>86</v>
      </c>
      <c r="G341">
        <v>80</v>
      </c>
      <c r="H341">
        <v>86</v>
      </c>
    </row>
    <row r="342" spans="1:8">
      <c r="A342">
        <v>230908</v>
      </c>
      <c r="B342" t="s">
        <v>349</v>
      </c>
      <c r="C342">
        <v>94</v>
      </c>
      <c r="D342">
        <v>64</v>
      </c>
      <c r="E342">
        <v>91.5</v>
      </c>
      <c r="F342">
        <v>73</v>
      </c>
      <c r="G342">
        <v>72</v>
      </c>
      <c r="H342">
        <v>66</v>
      </c>
    </row>
    <row r="343" spans="1:8">
      <c r="A343">
        <v>230909</v>
      </c>
      <c r="B343" t="s">
        <v>350</v>
      </c>
      <c r="C343">
        <v>67</v>
      </c>
      <c r="D343">
        <v>59</v>
      </c>
      <c r="E343">
        <v>62.5</v>
      </c>
      <c r="F343">
        <v>56</v>
      </c>
      <c r="G343">
        <v>65</v>
      </c>
      <c r="H343">
        <v>59</v>
      </c>
    </row>
    <row r="344" spans="1:8">
      <c r="A344">
        <v>230910</v>
      </c>
      <c r="B344" t="s">
        <v>351</v>
      </c>
      <c r="C344">
        <v>62</v>
      </c>
      <c r="D344">
        <v>49</v>
      </c>
      <c r="E344">
        <v>42.5</v>
      </c>
      <c r="F344">
        <v>67</v>
      </c>
      <c r="G344">
        <v>55</v>
      </c>
      <c r="H344">
        <v>52</v>
      </c>
    </row>
    <row r="345" spans="1:8">
      <c r="A345">
        <v>230911</v>
      </c>
      <c r="B345" t="s">
        <v>352</v>
      </c>
      <c r="C345">
        <v>81.5</v>
      </c>
      <c r="D345">
        <v>66</v>
      </c>
      <c r="E345">
        <v>96</v>
      </c>
      <c r="F345">
        <v>82</v>
      </c>
      <c r="G345">
        <v>63</v>
      </c>
      <c r="H345">
        <v>62</v>
      </c>
    </row>
    <row r="346" spans="1:8">
      <c r="A346">
        <v>230912</v>
      </c>
      <c r="B346" t="s">
        <v>353</v>
      </c>
      <c r="C346">
        <v>92</v>
      </c>
      <c r="D346">
        <v>84</v>
      </c>
      <c r="E346">
        <v>94.5</v>
      </c>
      <c r="F346">
        <v>84</v>
      </c>
      <c r="G346">
        <v>72</v>
      </c>
      <c r="H346">
        <v>65</v>
      </c>
    </row>
    <row r="347" spans="1:8">
      <c r="A347">
        <v>230913</v>
      </c>
      <c r="B347" t="s">
        <v>354</v>
      </c>
      <c r="C347">
        <v>99</v>
      </c>
      <c r="D347">
        <v>92</v>
      </c>
      <c r="E347">
        <v>102.5</v>
      </c>
      <c r="F347">
        <v>85</v>
      </c>
      <c r="G347">
        <v>78</v>
      </c>
      <c r="H347">
        <v>74</v>
      </c>
    </row>
    <row r="348" spans="1:8">
      <c r="A348">
        <v>230914</v>
      </c>
      <c r="B348" t="s">
        <v>355</v>
      </c>
      <c r="C348">
        <v>80</v>
      </c>
      <c r="D348">
        <v>78</v>
      </c>
      <c r="E348">
        <v>85</v>
      </c>
      <c r="F348">
        <v>84</v>
      </c>
      <c r="G348">
        <v>60</v>
      </c>
      <c r="H348">
        <v>58</v>
      </c>
    </row>
    <row r="349" spans="1:8">
      <c r="A349">
        <v>230915</v>
      </c>
      <c r="B349" t="s">
        <v>356</v>
      </c>
      <c r="C349">
        <v>91</v>
      </c>
      <c r="D349">
        <v>62</v>
      </c>
      <c r="E349">
        <v>99</v>
      </c>
      <c r="F349">
        <v>80</v>
      </c>
      <c r="G349">
        <v>72</v>
      </c>
      <c r="H349">
        <v>74</v>
      </c>
    </row>
    <row r="350" spans="1:8">
      <c r="A350">
        <v>230916</v>
      </c>
      <c r="B350" t="s">
        <v>357</v>
      </c>
      <c r="C350">
        <v>101</v>
      </c>
      <c r="D350">
        <v>99</v>
      </c>
      <c r="E350">
        <v>107</v>
      </c>
      <c r="F350">
        <v>80</v>
      </c>
      <c r="G350">
        <v>70</v>
      </c>
      <c r="H350">
        <v>75</v>
      </c>
    </row>
    <row r="351" spans="1:8">
      <c r="A351">
        <v>230917</v>
      </c>
      <c r="B351" t="s">
        <v>358</v>
      </c>
      <c r="C351">
        <v>95</v>
      </c>
      <c r="D351">
        <v>87</v>
      </c>
      <c r="E351">
        <v>91</v>
      </c>
      <c r="F351">
        <v>81</v>
      </c>
      <c r="G351">
        <v>70</v>
      </c>
      <c r="H351">
        <v>73</v>
      </c>
    </row>
    <row r="352" spans="1:8">
      <c r="A352">
        <v>230918</v>
      </c>
      <c r="B352" t="s">
        <v>359</v>
      </c>
      <c r="C352">
        <v>102</v>
      </c>
      <c r="D352">
        <v>89</v>
      </c>
      <c r="E352">
        <v>107</v>
      </c>
      <c r="F352">
        <v>82</v>
      </c>
      <c r="G352">
        <v>73</v>
      </c>
      <c r="H352">
        <v>81</v>
      </c>
    </row>
    <row r="353" spans="1:8">
      <c r="A353">
        <v>230919</v>
      </c>
      <c r="B353" t="s">
        <v>360</v>
      </c>
      <c r="C353">
        <v>74.5</v>
      </c>
      <c r="D353">
        <v>58</v>
      </c>
      <c r="E353">
        <v>62.5</v>
      </c>
      <c r="F353">
        <v>64</v>
      </c>
      <c r="G353">
        <v>47</v>
      </c>
      <c r="H353">
        <v>66</v>
      </c>
    </row>
    <row r="354" spans="1:8">
      <c r="A354">
        <v>230920</v>
      </c>
      <c r="B354" t="s">
        <v>361</v>
      </c>
      <c r="C354">
        <v>91</v>
      </c>
      <c r="D354">
        <v>104</v>
      </c>
      <c r="E354">
        <v>89.5</v>
      </c>
      <c r="F354">
        <v>85</v>
      </c>
      <c r="G354">
        <v>61</v>
      </c>
      <c r="H354">
        <v>69</v>
      </c>
    </row>
    <row r="355" spans="1:8">
      <c r="A355">
        <v>230921</v>
      </c>
      <c r="B355" t="s">
        <v>362</v>
      </c>
      <c r="C355">
        <v>100</v>
      </c>
      <c r="D355">
        <v>95</v>
      </c>
      <c r="E355">
        <v>88.5</v>
      </c>
      <c r="F355">
        <v>81</v>
      </c>
      <c r="G355">
        <v>79</v>
      </c>
      <c r="H355">
        <v>83</v>
      </c>
    </row>
    <row r="356" spans="1:8">
      <c r="A356">
        <v>230923</v>
      </c>
      <c r="B356" t="s">
        <v>363</v>
      </c>
      <c r="C356">
        <v>97</v>
      </c>
      <c r="D356">
        <v>97</v>
      </c>
      <c r="E356">
        <v>99.5</v>
      </c>
      <c r="F356">
        <v>85</v>
      </c>
      <c r="G356">
        <v>71</v>
      </c>
      <c r="H356">
        <v>74</v>
      </c>
    </row>
    <row r="357" spans="1:8">
      <c r="A357">
        <v>230924</v>
      </c>
      <c r="B357" t="s">
        <v>364</v>
      </c>
      <c r="C357">
        <v>83.5</v>
      </c>
      <c r="D357">
        <v>94</v>
      </c>
      <c r="E357">
        <v>101.5</v>
      </c>
      <c r="F357">
        <v>83</v>
      </c>
      <c r="G357">
        <v>66</v>
      </c>
      <c r="H357">
        <v>56</v>
      </c>
    </row>
    <row r="358" spans="1:8">
      <c r="A358">
        <v>230925</v>
      </c>
      <c r="B358" t="s">
        <v>365</v>
      </c>
      <c r="C358">
        <v>93</v>
      </c>
      <c r="D358">
        <v>98</v>
      </c>
      <c r="E358">
        <v>115</v>
      </c>
      <c r="F358">
        <v>82</v>
      </c>
      <c r="G358">
        <v>69</v>
      </c>
      <c r="H358">
        <v>56</v>
      </c>
    </row>
    <row r="359" spans="1:8">
      <c r="A359">
        <v>230926</v>
      </c>
      <c r="B359" t="s">
        <v>366</v>
      </c>
      <c r="C359">
        <v>93</v>
      </c>
      <c r="D359">
        <v>69</v>
      </c>
      <c r="E359">
        <v>108.5</v>
      </c>
      <c r="F359">
        <v>65</v>
      </c>
      <c r="G359">
        <v>67</v>
      </c>
      <c r="H359">
        <v>75</v>
      </c>
    </row>
    <row r="360" spans="1:8">
      <c r="A360">
        <v>230927</v>
      </c>
      <c r="B360" t="s">
        <v>367</v>
      </c>
      <c r="C360">
        <v>98</v>
      </c>
      <c r="D360">
        <v>88</v>
      </c>
      <c r="E360">
        <v>98</v>
      </c>
      <c r="F360">
        <v>83</v>
      </c>
      <c r="G360">
        <v>81</v>
      </c>
      <c r="H360">
        <v>72</v>
      </c>
    </row>
    <row r="361" spans="1:8">
      <c r="A361">
        <v>230928</v>
      </c>
      <c r="B361" t="s">
        <v>368</v>
      </c>
      <c r="C361">
        <v>85</v>
      </c>
      <c r="D361">
        <v>84</v>
      </c>
      <c r="E361">
        <v>93</v>
      </c>
      <c r="F361">
        <v>70</v>
      </c>
      <c r="G361">
        <v>71</v>
      </c>
      <c r="H361">
        <v>57</v>
      </c>
    </row>
    <row r="362" spans="1:8">
      <c r="A362">
        <v>230929</v>
      </c>
      <c r="B362" t="s">
        <v>369</v>
      </c>
      <c r="C362">
        <v>93</v>
      </c>
      <c r="D362">
        <v>96</v>
      </c>
      <c r="E362">
        <v>98.5</v>
      </c>
      <c r="F362">
        <v>82</v>
      </c>
      <c r="G362">
        <v>73</v>
      </c>
      <c r="H362">
        <v>72</v>
      </c>
    </row>
    <row r="363" spans="1:8">
      <c r="A363">
        <v>230930</v>
      </c>
      <c r="B363" t="s">
        <v>370</v>
      </c>
      <c r="C363">
        <v>87</v>
      </c>
      <c r="D363">
        <v>94</v>
      </c>
      <c r="E363">
        <v>88.5</v>
      </c>
      <c r="F363">
        <v>76</v>
      </c>
      <c r="G363">
        <v>74</v>
      </c>
      <c r="H363">
        <v>69</v>
      </c>
    </row>
    <row r="364" spans="1:8">
      <c r="A364">
        <v>230931</v>
      </c>
      <c r="B364" t="s">
        <v>371</v>
      </c>
      <c r="C364">
        <v>88</v>
      </c>
      <c r="D364">
        <v>75</v>
      </c>
      <c r="E364">
        <v>78.5</v>
      </c>
      <c r="F364">
        <v>72</v>
      </c>
      <c r="G364">
        <v>71</v>
      </c>
      <c r="H364">
        <v>59</v>
      </c>
    </row>
    <row r="365" spans="1:8">
      <c r="A365">
        <v>230932</v>
      </c>
      <c r="B365" t="s">
        <v>372</v>
      </c>
      <c r="C365">
        <v>79</v>
      </c>
      <c r="D365">
        <v>86</v>
      </c>
      <c r="E365">
        <v>89</v>
      </c>
      <c r="F365">
        <v>69</v>
      </c>
      <c r="G365">
        <v>67</v>
      </c>
      <c r="H365">
        <v>70</v>
      </c>
    </row>
    <row r="366" spans="1:8">
      <c r="A366">
        <v>230933</v>
      </c>
      <c r="B366" t="s">
        <v>373</v>
      </c>
      <c r="C366">
        <v>70.5</v>
      </c>
      <c r="D366">
        <v>57</v>
      </c>
      <c r="E366">
        <v>77.5</v>
      </c>
      <c r="F366">
        <v>74</v>
      </c>
      <c r="G366">
        <v>58</v>
      </c>
      <c r="H366">
        <v>60</v>
      </c>
    </row>
    <row r="367" spans="1:8">
      <c r="A367">
        <v>230934</v>
      </c>
      <c r="B367" t="s">
        <v>374</v>
      </c>
      <c r="C367">
        <v>98</v>
      </c>
      <c r="D367">
        <v>89</v>
      </c>
      <c r="E367">
        <v>110.5</v>
      </c>
      <c r="F367">
        <v>86</v>
      </c>
      <c r="G367">
        <v>78</v>
      </c>
      <c r="H367">
        <v>77</v>
      </c>
    </row>
    <row r="368" spans="1:8">
      <c r="A368">
        <v>230935</v>
      </c>
      <c r="B368" t="s">
        <v>375</v>
      </c>
      <c r="C368">
        <v>89</v>
      </c>
      <c r="D368">
        <v>88</v>
      </c>
      <c r="E368">
        <v>93.5</v>
      </c>
      <c r="F368">
        <v>81</v>
      </c>
      <c r="G368">
        <v>76</v>
      </c>
      <c r="H368">
        <v>80</v>
      </c>
    </row>
    <row r="369" spans="1:8">
      <c r="A369">
        <v>230936</v>
      </c>
      <c r="B369" t="s">
        <v>376</v>
      </c>
      <c r="C369">
        <v>101</v>
      </c>
      <c r="D369">
        <v>95</v>
      </c>
      <c r="E369">
        <v>99.5</v>
      </c>
      <c r="F369">
        <v>78</v>
      </c>
      <c r="G369">
        <v>76</v>
      </c>
      <c r="H369">
        <v>79</v>
      </c>
    </row>
    <row r="370" spans="1:8">
      <c r="A370">
        <v>230937</v>
      </c>
      <c r="B370" t="s">
        <v>377</v>
      </c>
      <c r="C370">
        <v>75</v>
      </c>
      <c r="D370">
        <v>84</v>
      </c>
      <c r="E370">
        <v>92</v>
      </c>
      <c r="F370">
        <v>76</v>
      </c>
      <c r="G370">
        <v>74</v>
      </c>
      <c r="H370">
        <v>71</v>
      </c>
    </row>
    <row r="371" spans="1:8">
      <c r="A371">
        <v>230938</v>
      </c>
      <c r="B371" t="s">
        <v>378</v>
      </c>
      <c r="C371">
        <v>90</v>
      </c>
      <c r="D371">
        <v>107</v>
      </c>
      <c r="E371">
        <v>96</v>
      </c>
      <c r="F371">
        <v>89</v>
      </c>
      <c r="G371">
        <v>71</v>
      </c>
      <c r="H371">
        <v>77</v>
      </c>
    </row>
    <row r="372" spans="1:8">
      <c r="A372">
        <v>230939</v>
      </c>
      <c r="B372" t="s">
        <v>379</v>
      </c>
      <c r="C372">
        <v>77</v>
      </c>
      <c r="D372">
        <v>80</v>
      </c>
      <c r="E372">
        <v>86</v>
      </c>
      <c r="F372">
        <v>60</v>
      </c>
      <c r="G372">
        <v>62</v>
      </c>
      <c r="H372">
        <v>69</v>
      </c>
    </row>
    <row r="373" spans="1:8">
      <c r="A373">
        <v>230940</v>
      </c>
      <c r="B373" t="s">
        <v>380</v>
      </c>
      <c r="C373">
        <v>73</v>
      </c>
      <c r="D373">
        <v>72</v>
      </c>
      <c r="E373">
        <v>95.5</v>
      </c>
      <c r="F373">
        <v>71</v>
      </c>
      <c r="G373">
        <v>69</v>
      </c>
      <c r="H373">
        <v>62</v>
      </c>
    </row>
    <row r="374" spans="1:8">
      <c r="A374">
        <v>230941</v>
      </c>
      <c r="B374" t="s">
        <v>381</v>
      </c>
      <c r="C374">
        <v>90</v>
      </c>
      <c r="D374">
        <v>94</v>
      </c>
      <c r="E374">
        <v>97.5</v>
      </c>
      <c r="F374">
        <v>71</v>
      </c>
      <c r="G374">
        <v>61</v>
      </c>
      <c r="H374">
        <v>78</v>
      </c>
    </row>
    <row r="375" spans="1:8">
      <c r="A375">
        <v>230942</v>
      </c>
      <c r="B375" t="s">
        <v>382</v>
      </c>
      <c r="C375">
        <v>83</v>
      </c>
      <c r="D375">
        <v>94</v>
      </c>
      <c r="E375">
        <v>96</v>
      </c>
      <c r="F375">
        <v>76</v>
      </c>
      <c r="G375">
        <v>76</v>
      </c>
      <c r="H375">
        <v>74</v>
      </c>
    </row>
    <row r="376" spans="1:8">
      <c r="A376">
        <v>230943</v>
      </c>
      <c r="B376" t="s">
        <v>383</v>
      </c>
      <c r="C376">
        <v>96</v>
      </c>
      <c r="D376">
        <v>92</v>
      </c>
      <c r="E376">
        <v>81</v>
      </c>
      <c r="F376">
        <v>80</v>
      </c>
      <c r="G376">
        <v>74</v>
      </c>
      <c r="H376">
        <v>78</v>
      </c>
    </row>
    <row r="377" spans="1:8">
      <c r="A377">
        <v>230944</v>
      </c>
      <c r="B377" t="s">
        <v>384</v>
      </c>
      <c r="C377">
        <v>93</v>
      </c>
      <c r="D377">
        <v>81</v>
      </c>
      <c r="E377">
        <v>99</v>
      </c>
      <c r="F377">
        <v>77</v>
      </c>
      <c r="G377">
        <v>70</v>
      </c>
      <c r="H377">
        <v>61</v>
      </c>
    </row>
    <row r="378" spans="1:8">
      <c r="A378">
        <v>230945</v>
      </c>
      <c r="B378" t="s">
        <v>385</v>
      </c>
      <c r="C378">
        <v>87.5</v>
      </c>
      <c r="D378">
        <v>96</v>
      </c>
      <c r="E378">
        <v>99.5</v>
      </c>
      <c r="F378">
        <v>81</v>
      </c>
      <c r="G378">
        <v>71</v>
      </c>
      <c r="H378">
        <v>85</v>
      </c>
    </row>
    <row r="379" spans="1:8">
      <c r="A379">
        <v>230946</v>
      </c>
      <c r="B379" t="s">
        <v>386</v>
      </c>
      <c r="C379">
        <v>86</v>
      </c>
      <c r="D379">
        <v>78</v>
      </c>
      <c r="E379">
        <v>103</v>
      </c>
      <c r="F379">
        <v>73</v>
      </c>
      <c r="G379">
        <v>59</v>
      </c>
      <c r="H379">
        <v>63</v>
      </c>
    </row>
    <row r="380" spans="1:8">
      <c r="A380">
        <v>231001</v>
      </c>
      <c r="B380" t="s">
        <v>387</v>
      </c>
      <c r="C380">
        <v>96</v>
      </c>
      <c r="D380">
        <v>103</v>
      </c>
      <c r="E380">
        <v>105</v>
      </c>
      <c r="F380">
        <v>80</v>
      </c>
      <c r="G380">
        <v>74</v>
      </c>
      <c r="H380">
        <v>81</v>
      </c>
    </row>
    <row r="381" spans="1:8">
      <c r="A381">
        <v>231003</v>
      </c>
      <c r="B381" t="s">
        <v>388</v>
      </c>
      <c r="C381">
        <v>104</v>
      </c>
      <c r="D381">
        <v>102</v>
      </c>
      <c r="E381">
        <v>106.5</v>
      </c>
      <c r="F381">
        <v>88</v>
      </c>
      <c r="G381">
        <v>74</v>
      </c>
      <c r="H381">
        <v>81</v>
      </c>
    </row>
    <row r="382" spans="1:8">
      <c r="A382">
        <v>231004</v>
      </c>
      <c r="B382" t="s">
        <v>389</v>
      </c>
      <c r="C382">
        <v>93</v>
      </c>
      <c r="D382">
        <v>109</v>
      </c>
      <c r="E382">
        <v>108</v>
      </c>
      <c r="F382">
        <v>83</v>
      </c>
      <c r="G382">
        <v>83</v>
      </c>
      <c r="H382">
        <v>76</v>
      </c>
    </row>
    <row r="383" spans="1:8">
      <c r="A383">
        <v>231005</v>
      </c>
      <c r="B383" t="s">
        <v>390</v>
      </c>
      <c r="C383">
        <v>109</v>
      </c>
      <c r="D383">
        <v>95</v>
      </c>
      <c r="E383">
        <v>106</v>
      </c>
      <c r="F383">
        <v>87</v>
      </c>
      <c r="G383">
        <v>80</v>
      </c>
      <c r="H383">
        <v>88</v>
      </c>
    </row>
    <row r="384" spans="1:8">
      <c r="A384">
        <v>231006</v>
      </c>
      <c r="B384" t="s">
        <v>391</v>
      </c>
      <c r="C384">
        <v>88</v>
      </c>
      <c r="D384">
        <v>98</v>
      </c>
      <c r="E384">
        <v>91</v>
      </c>
      <c r="F384">
        <v>84</v>
      </c>
      <c r="G384">
        <v>79</v>
      </c>
      <c r="H384">
        <v>72</v>
      </c>
    </row>
    <row r="385" spans="1:8">
      <c r="A385">
        <v>231008</v>
      </c>
      <c r="B385" t="s">
        <v>392</v>
      </c>
      <c r="C385">
        <v>96</v>
      </c>
      <c r="D385">
        <v>106</v>
      </c>
      <c r="E385">
        <v>112.5</v>
      </c>
      <c r="F385">
        <v>78</v>
      </c>
      <c r="G385">
        <v>72</v>
      </c>
      <c r="H385">
        <v>69</v>
      </c>
    </row>
    <row r="386" spans="1:8">
      <c r="A386">
        <v>231010</v>
      </c>
      <c r="B386" t="s">
        <v>393</v>
      </c>
      <c r="C386">
        <v>91</v>
      </c>
      <c r="D386">
        <v>97</v>
      </c>
      <c r="E386">
        <v>87.5</v>
      </c>
      <c r="F386">
        <v>81</v>
      </c>
      <c r="G386">
        <v>67</v>
      </c>
      <c r="H386">
        <v>75</v>
      </c>
    </row>
    <row r="387" spans="1:8">
      <c r="A387">
        <v>231011</v>
      </c>
      <c r="B387" t="s">
        <v>394</v>
      </c>
      <c r="C387">
        <v>108</v>
      </c>
      <c r="D387">
        <v>91</v>
      </c>
      <c r="E387">
        <v>109.5</v>
      </c>
      <c r="F387">
        <v>77</v>
      </c>
      <c r="G387">
        <v>64</v>
      </c>
      <c r="H387">
        <v>83</v>
      </c>
    </row>
    <row r="388" spans="1:8">
      <c r="A388">
        <v>231012</v>
      </c>
      <c r="B388" t="s">
        <v>395</v>
      </c>
      <c r="C388">
        <v>105</v>
      </c>
      <c r="D388">
        <v>99</v>
      </c>
      <c r="E388">
        <v>110</v>
      </c>
      <c r="F388">
        <v>88</v>
      </c>
      <c r="G388">
        <v>84</v>
      </c>
      <c r="H388">
        <v>85</v>
      </c>
    </row>
    <row r="389" spans="1:8">
      <c r="A389">
        <v>231013</v>
      </c>
      <c r="B389" t="s">
        <v>396</v>
      </c>
      <c r="C389">
        <v>103</v>
      </c>
      <c r="D389">
        <v>105</v>
      </c>
      <c r="E389">
        <v>105.5</v>
      </c>
      <c r="F389">
        <v>86</v>
      </c>
      <c r="G389">
        <v>68</v>
      </c>
      <c r="H389">
        <v>71</v>
      </c>
    </row>
    <row r="390" spans="1:8">
      <c r="A390">
        <v>231014</v>
      </c>
      <c r="B390" t="s">
        <v>397</v>
      </c>
      <c r="C390">
        <v>101</v>
      </c>
      <c r="D390">
        <v>106</v>
      </c>
      <c r="E390">
        <v>100</v>
      </c>
      <c r="F390">
        <v>86</v>
      </c>
      <c r="G390">
        <v>86</v>
      </c>
      <c r="H390">
        <v>84</v>
      </c>
    </row>
    <row r="391" spans="1:8">
      <c r="A391">
        <v>231015</v>
      </c>
      <c r="B391" t="s">
        <v>398</v>
      </c>
      <c r="C391">
        <v>107</v>
      </c>
      <c r="D391">
        <v>113</v>
      </c>
      <c r="E391">
        <v>113.5</v>
      </c>
      <c r="F391">
        <v>87</v>
      </c>
      <c r="G391">
        <v>83</v>
      </c>
      <c r="H391">
        <v>85</v>
      </c>
    </row>
    <row r="392" spans="1:8">
      <c r="A392">
        <v>231016</v>
      </c>
      <c r="B392" t="s">
        <v>399</v>
      </c>
      <c r="C392">
        <v>108</v>
      </c>
      <c r="D392">
        <v>106</v>
      </c>
      <c r="E392">
        <v>111.5</v>
      </c>
      <c r="F392">
        <v>88</v>
      </c>
      <c r="G392">
        <v>76</v>
      </c>
      <c r="H392">
        <v>78</v>
      </c>
    </row>
    <row r="393" spans="1:8">
      <c r="A393">
        <v>231017</v>
      </c>
      <c r="B393" t="s">
        <v>400</v>
      </c>
      <c r="C393">
        <v>102</v>
      </c>
      <c r="D393">
        <v>110</v>
      </c>
      <c r="E393">
        <v>105</v>
      </c>
      <c r="F393">
        <v>87</v>
      </c>
      <c r="G393">
        <v>81</v>
      </c>
      <c r="H393">
        <v>77</v>
      </c>
    </row>
    <row r="394" spans="1:8">
      <c r="A394">
        <v>231018</v>
      </c>
      <c r="B394" t="s">
        <v>401</v>
      </c>
      <c r="C394">
        <v>95</v>
      </c>
      <c r="D394">
        <v>104</v>
      </c>
      <c r="E394">
        <v>109.5</v>
      </c>
      <c r="F394">
        <v>81</v>
      </c>
      <c r="G394">
        <v>79</v>
      </c>
      <c r="H394">
        <v>78</v>
      </c>
    </row>
    <row r="395" spans="1:8">
      <c r="A395">
        <v>231019</v>
      </c>
      <c r="B395" t="s">
        <v>402</v>
      </c>
      <c r="C395">
        <v>101</v>
      </c>
      <c r="D395">
        <v>94</v>
      </c>
      <c r="E395">
        <v>110</v>
      </c>
      <c r="F395">
        <v>85</v>
      </c>
      <c r="G395">
        <v>75</v>
      </c>
      <c r="H395">
        <v>73</v>
      </c>
    </row>
    <row r="396" spans="1:8">
      <c r="A396">
        <v>231020</v>
      </c>
      <c r="B396" t="s">
        <v>403</v>
      </c>
      <c r="C396">
        <v>104</v>
      </c>
      <c r="D396">
        <v>106</v>
      </c>
      <c r="E396">
        <v>115.5</v>
      </c>
      <c r="F396">
        <v>86</v>
      </c>
      <c r="G396">
        <v>86</v>
      </c>
      <c r="H396">
        <v>86</v>
      </c>
    </row>
    <row r="397" spans="1:8">
      <c r="A397">
        <v>231023</v>
      </c>
      <c r="B397" t="s">
        <v>404</v>
      </c>
      <c r="C397">
        <v>105</v>
      </c>
      <c r="D397">
        <v>111</v>
      </c>
      <c r="E397">
        <v>115.5</v>
      </c>
      <c r="F397">
        <v>87</v>
      </c>
      <c r="G397">
        <v>84</v>
      </c>
      <c r="H397">
        <v>84</v>
      </c>
    </row>
    <row r="398" spans="1:8">
      <c r="A398">
        <v>231024</v>
      </c>
      <c r="B398" t="s">
        <v>405</v>
      </c>
      <c r="C398">
        <v>101</v>
      </c>
      <c r="D398">
        <v>93</v>
      </c>
      <c r="E398">
        <v>88.5</v>
      </c>
      <c r="F398">
        <v>83</v>
      </c>
      <c r="G398">
        <v>77</v>
      </c>
      <c r="H398">
        <v>76</v>
      </c>
    </row>
    <row r="399" spans="1:8">
      <c r="A399">
        <v>231025</v>
      </c>
      <c r="B399" t="s">
        <v>406</v>
      </c>
      <c r="C399">
        <v>105</v>
      </c>
      <c r="D399">
        <v>91</v>
      </c>
      <c r="E399">
        <v>113</v>
      </c>
      <c r="F399">
        <v>86</v>
      </c>
      <c r="G399">
        <v>77</v>
      </c>
      <c r="H399">
        <v>82</v>
      </c>
    </row>
    <row r="400" spans="1:8">
      <c r="A400">
        <v>231026</v>
      </c>
      <c r="B400" t="s">
        <v>407</v>
      </c>
      <c r="C400">
        <v>97</v>
      </c>
      <c r="D400">
        <v>92</v>
      </c>
      <c r="E400">
        <v>81.5</v>
      </c>
      <c r="F400">
        <v>78</v>
      </c>
      <c r="G400">
        <v>75</v>
      </c>
      <c r="H400">
        <v>88</v>
      </c>
    </row>
    <row r="401" spans="1:8">
      <c r="A401">
        <v>231027</v>
      </c>
      <c r="B401" t="s">
        <v>408</v>
      </c>
      <c r="C401">
        <v>93</v>
      </c>
      <c r="D401">
        <v>93</v>
      </c>
      <c r="E401">
        <v>109</v>
      </c>
      <c r="F401">
        <v>85</v>
      </c>
      <c r="G401">
        <v>76</v>
      </c>
      <c r="H401">
        <v>75</v>
      </c>
    </row>
    <row r="402" spans="1:8">
      <c r="A402">
        <v>231028</v>
      </c>
      <c r="B402" t="s">
        <v>409</v>
      </c>
      <c r="C402">
        <v>97</v>
      </c>
      <c r="D402">
        <v>106</v>
      </c>
      <c r="E402">
        <v>109</v>
      </c>
      <c r="F402">
        <v>88</v>
      </c>
      <c r="G402">
        <v>72</v>
      </c>
      <c r="H402">
        <v>78</v>
      </c>
    </row>
    <row r="403" spans="1:8">
      <c r="A403">
        <v>231029</v>
      </c>
      <c r="B403" t="s">
        <v>410</v>
      </c>
      <c r="C403">
        <v>99</v>
      </c>
      <c r="D403">
        <v>101</v>
      </c>
      <c r="E403">
        <v>110</v>
      </c>
      <c r="F403">
        <v>87</v>
      </c>
      <c r="G403">
        <v>80</v>
      </c>
      <c r="H403">
        <v>85</v>
      </c>
    </row>
    <row r="404" spans="1:8">
      <c r="A404">
        <v>231031</v>
      </c>
      <c r="B404" t="s">
        <v>411</v>
      </c>
      <c r="C404">
        <v>103</v>
      </c>
      <c r="D404">
        <v>91</v>
      </c>
      <c r="E404">
        <v>104.5</v>
      </c>
      <c r="F404">
        <v>79</v>
      </c>
      <c r="G404">
        <v>80</v>
      </c>
      <c r="H404">
        <v>78</v>
      </c>
    </row>
    <row r="405" spans="1:8">
      <c r="A405">
        <v>231032</v>
      </c>
      <c r="B405" t="s">
        <v>412</v>
      </c>
      <c r="C405">
        <v>99</v>
      </c>
      <c r="D405">
        <v>98</v>
      </c>
      <c r="E405">
        <v>106</v>
      </c>
      <c r="F405">
        <v>85</v>
      </c>
      <c r="G405">
        <v>80</v>
      </c>
      <c r="H405">
        <v>78</v>
      </c>
    </row>
    <row r="406" spans="1:8">
      <c r="A406">
        <v>231033</v>
      </c>
      <c r="B406" t="s">
        <v>413</v>
      </c>
      <c r="C406">
        <v>87</v>
      </c>
      <c r="D406">
        <v>79</v>
      </c>
      <c r="E406">
        <v>88.5</v>
      </c>
      <c r="F406">
        <v>74</v>
      </c>
      <c r="G406">
        <v>63</v>
      </c>
      <c r="H406">
        <v>50</v>
      </c>
    </row>
    <row r="407" spans="1:8">
      <c r="A407">
        <v>231034</v>
      </c>
      <c r="B407" t="s">
        <v>414</v>
      </c>
      <c r="C407">
        <v>96</v>
      </c>
      <c r="D407">
        <v>94</v>
      </c>
      <c r="E407">
        <v>106.5</v>
      </c>
      <c r="F407">
        <v>77</v>
      </c>
      <c r="G407">
        <v>70</v>
      </c>
      <c r="H407">
        <v>73</v>
      </c>
    </row>
    <row r="408" spans="1:8">
      <c r="A408">
        <v>231035</v>
      </c>
      <c r="B408" t="s">
        <v>415</v>
      </c>
      <c r="C408">
        <v>90</v>
      </c>
      <c r="D408">
        <v>87</v>
      </c>
      <c r="E408">
        <v>99</v>
      </c>
      <c r="F408">
        <v>86</v>
      </c>
      <c r="G408">
        <v>71</v>
      </c>
      <c r="H408">
        <v>67</v>
      </c>
    </row>
    <row r="409" spans="1:8">
      <c r="A409">
        <v>231037</v>
      </c>
      <c r="B409" t="s">
        <v>416</v>
      </c>
      <c r="C409">
        <v>101</v>
      </c>
      <c r="D409">
        <v>110</v>
      </c>
      <c r="E409">
        <v>107</v>
      </c>
      <c r="F409">
        <v>84</v>
      </c>
      <c r="G409">
        <v>83</v>
      </c>
      <c r="H409">
        <v>83</v>
      </c>
    </row>
    <row r="410" spans="1:8">
      <c r="A410">
        <v>231038</v>
      </c>
      <c r="B410" t="s">
        <v>417</v>
      </c>
      <c r="C410">
        <v>98</v>
      </c>
      <c r="D410">
        <v>95</v>
      </c>
      <c r="E410">
        <v>100.5</v>
      </c>
      <c r="F410">
        <v>89</v>
      </c>
      <c r="G410">
        <v>72</v>
      </c>
      <c r="H410">
        <v>83</v>
      </c>
    </row>
    <row r="411" spans="1:8">
      <c r="A411">
        <v>231039</v>
      </c>
      <c r="B411" t="s">
        <v>418</v>
      </c>
      <c r="C411">
        <v>96</v>
      </c>
      <c r="D411">
        <v>110</v>
      </c>
      <c r="E411">
        <v>102</v>
      </c>
      <c r="F411">
        <v>83</v>
      </c>
      <c r="G411">
        <v>81</v>
      </c>
      <c r="H411">
        <v>79</v>
      </c>
    </row>
    <row r="412" spans="1:8">
      <c r="A412">
        <v>231040</v>
      </c>
      <c r="B412" t="s">
        <v>419</v>
      </c>
      <c r="C412">
        <v>89</v>
      </c>
      <c r="D412">
        <v>110</v>
      </c>
      <c r="E412">
        <v>107</v>
      </c>
      <c r="F412">
        <v>84</v>
      </c>
      <c r="G412">
        <v>77</v>
      </c>
      <c r="H412">
        <v>78</v>
      </c>
    </row>
    <row r="413" spans="1:8">
      <c r="A413">
        <v>231041</v>
      </c>
      <c r="B413" t="s">
        <v>420</v>
      </c>
      <c r="C413">
        <v>93</v>
      </c>
      <c r="D413">
        <v>100</v>
      </c>
      <c r="E413">
        <v>111</v>
      </c>
      <c r="F413">
        <v>86</v>
      </c>
      <c r="G413">
        <v>81</v>
      </c>
      <c r="H413">
        <v>84</v>
      </c>
    </row>
    <row r="414" spans="1:8">
      <c r="A414">
        <v>230130</v>
      </c>
      <c r="B414" t="s">
        <v>421</v>
      </c>
      <c r="C414">
        <v>96</v>
      </c>
      <c r="D414">
        <v>101</v>
      </c>
      <c r="E414">
        <v>107</v>
      </c>
      <c r="F414">
        <v>87</v>
      </c>
      <c r="G414">
        <v>78</v>
      </c>
      <c r="H414">
        <v>83</v>
      </c>
    </row>
    <row r="415" spans="1:8">
      <c r="A415">
        <v>231045</v>
      </c>
      <c r="B415" t="s">
        <v>422</v>
      </c>
      <c r="C415">
        <v>106</v>
      </c>
      <c r="D415">
        <v>86</v>
      </c>
      <c r="E415">
        <v>107</v>
      </c>
      <c r="F415">
        <v>86</v>
      </c>
      <c r="G415">
        <v>80</v>
      </c>
      <c r="H415">
        <v>69</v>
      </c>
    </row>
    <row r="416" spans="1:8">
      <c r="A416">
        <v>231046</v>
      </c>
      <c r="B416" t="s">
        <v>423</v>
      </c>
      <c r="C416">
        <v>98</v>
      </c>
      <c r="D416">
        <v>97</v>
      </c>
      <c r="E416">
        <v>102</v>
      </c>
      <c r="F416">
        <v>87</v>
      </c>
      <c r="G416">
        <v>76</v>
      </c>
      <c r="H416">
        <v>79</v>
      </c>
    </row>
    <row r="417" spans="1:8">
      <c r="A417">
        <v>231047</v>
      </c>
      <c r="B417" t="s">
        <v>424</v>
      </c>
      <c r="C417" t="e">
        <v>#N/A</v>
      </c>
      <c r="D417" t="e">
        <v>#N/A</v>
      </c>
      <c r="E417" t="e">
        <v>#N/A</v>
      </c>
      <c r="F417" t="e">
        <v>#N/A</v>
      </c>
      <c r="G417" t="e">
        <v>#N/A</v>
      </c>
      <c r="H417" t="e">
        <v>#N/A</v>
      </c>
    </row>
    <row r="418" spans="1:8">
      <c r="A418">
        <v>231048</v>
      </c>
      <c r="B418" t="s">
        <v>425</v>
      </c>
      <c r="C418" t="e">
        <v>#N/A</v>
      </c>
      <c r="D418" t="e">
        <v>#N/A</v>
      </c>
      <c r="E418" t="e">
        <v>#N/A</v>
      </c>
      <c r="F418" t="e">
        <v>#N/A</v>
      </c>
      <c r="G418" t="e">
        <v>#N/A</v>
      </c>
      <c r="H418" t="e">
        <v>#N/A</v>
      </c>
    </row>
    <row r="419" spans="1:8">
      <c r="A419">
        <v>231101</v>
      </c>
      <c r="B419" t="s">
        <v>426</v>
      </c>
      <c r="C419">
        <v>108</v>
      </c>
      <c r="D419">
        <v>74</v>
      </c>
      <c r="E419">
        <v>95.5</v>
      </c>
      <c r="F419">
        <v>84</v>
      </c>
      <c r="G419">
        <v>75</v>
      </c>
      <c r="H419">
        <v>82</v>
      </c>
    </row>
    <row r="420" spans="1:8">
      <c r="A420">
        <v>231102</v>
      </c>
      <c r="B420" t="s">
        <v>427</v>
      </c>
      <c r="C420">
        <v>94</v>
      </c>
      <c r="D420">
        <v>93</v>
      </c>
      <c r="E420">
        <v>93.5</v>
      </c>
      <c r="F420">
        <v>82</v>
      </c>
      <c r="G420">
        <v>66</v>
      </c>
      <c r="H420">
        <v>71</v>
      </c>
    </row>
    <row r="421" spans="1:8">
      <c r="A421">
        <v>231103</v>
      </c>
      <c r="B421" t="s">
        <v>428</v>
      </c>
      <c r="C421">
        <v>92</v>
      </c>
      <c r="D421">
        <v>94</v>
      </c>
      <c r="E421">
        <v>99.5</v>
      </c>
      <c r="F421">
        <v>89</v>
      </c>
      <c r="G421">
        <v>76</v>
      </c>
      <c r="H421">
        <v>74</v>
      </c>
    </row>
    <row r="422" spans="1:8">
      <c r="A422">
        <v>231105</v>
      </c>
      <c r="B422" t="s">
        <v>429</v>
      </c>
      <c r="C422" t="e">
        <v>#N/A</v>
      </c>
      <c r="D422" t="e">
        <v>#N/A</v>
      </c>
      <c r="E422" t="e">
        <v>#N/A</v>
      </c>
      <c r="F422" t="e">
        <v>#N/A</v>
      </c>
      <c r="G422" t="e">
        <v>#N/A</v>
      </c>
      <c r="H422" t="e">
        <v>#N/A</v>
      </c>
    </row>
    <row r="423" spans="1:8">
      <c r="A423">
        <v>231106</v>
      </c>
      <c r="B423" t="s">
        <v>430</v>
      </c>
      <c r="C423">
        <v>89</v>
      </c>
      <c r="D423">
        <v>99</v>
      </c>
      <c r="E423">
        <v>95.5</v>
      </c>
      <c r="F423">
        <v>75</v>
      </c>
      <c r="G423">
        <v>67</v>
      </c>
      <c r="H423">
        <v>73</v>
      </c>
    </row>
    <row r="424" spans="1:8">
      <c r="A424">
        <v>231108</v>
      </c>
      <c r="B424" t="s">
        <v>431</v>
      </c>
      <c r="C424">
        <v>99</v>
      </c>
      <c r="D424">
        <v>94</v>
      </c>
      <c r="E424">
        <v>103.5</v>
      </c>
      <c r="F424">
        <v>87</v>
      </c>
      <c r="G424">
        <v>67</v>
      </c>
      <c r="H424">
        <v>70</v>
      </c>
    </row>
    <row r="425" spans="1:8">
      <c r="A425">
        <v>231109</v>
      </c>
      <c r="B425" t="s">
        <v>432</v>
      </c>
      <c r="C425">
        <v>88</v>
      </c>
      <c r="D425">
        <v>88</v>
      </c>
      <c r="E425">
        <v>110</v>
      </c>
      <c r="F425">
        <v>73</v>
      </c>
      <c r="G425">
        <v>70</v>
      </c>
      <c r="H425">
        <v>73</v>
      </c>
    </row>
    <row r="426" spans="1:8">
      <c r="A426">
        <v>231110</v>
      </c>
      <c r="B426" t="s">
        <v>433</v>
      </c>
      <c r="C426">
        <v>101</v>
      </c>
      <c r="D426">
        <v>105</v>
      </c>
      <c r="E426">
        <v>102.5</v>
      </c>
      <c r="F426">
        <v>77</v>
      </c>
      <c r="G426">
        <v>78</v>
      </c>
      <c r="H426">
        <v>76</v>
      </c>
    </row>
    <row r="427" spans="1:8">
      <c r="A427">
        <v>231111</v>
      </c>
      <c r="B427" t="s">
        <v>434</v>
      </c>
      <c r="C427">
        <v>90</v>
      </c>
      <c r="D427">
        <v>89</v>
      </c>
      <c r="E427">
        <v>96.5</v>
      </c>
      <c r="F427">
        <v>77</v>
      </c>
      <c r="G427">
        <v>70</v>
      </c>
      <c r="H427">
        <v>63</v>
      </c>
    </row>
    <row r="428" spans="1:8">
      <c r="A428">
        <v>231112</v>
      </c>
      <c r="B428" t="s">
        <v>435</v>
      </c>
      <c r="C428">
        <v>104.5</v>
      </c>
      <c r="D428">
        <v>97</v>
      </c>
      <c r="E428">
        <v>107</v>
      </c>
      <c r="F428">
        <v>79</v>
      </c>
      <c r="G428">
        <v>72</v>
      </c>
      <c r="H428">
        <v>81</v>
      </c>
    </row>
    <row r="429" spans="1:8">
      <c r="A429">
        <v>231113</v>
      </c>
      <c r="B429" t="s">
        <v>436</v>
      </c>
      <c r="C429">
        <v>91</v>
      </c>
      <c r="D429">
        <v>80</v>
      </c>
      <c r="E429">
        <v>98</v>
      </c>
      <c r="F429">
        <v>83</v>
      </c>
      <c r="G429">
        <v>71</v>
      </c>
      <c r="H429">
        <v>73</v>
      </c>
    </row>
    <row r="430" spans="1:8">
      <c r="A430">
        <v>231114</v>
      </c>
      <c r="B430" t="s">
        <v>437</v>
      </c>
      <c r="C430">
        <v>86</v>
      </c>
      <c r="D430">
        <v>86</v>
      </c>
      <c r="E430">
        <v>89</v>
      </c>
      <c r="F430">
        <v>77</v>
      </c>
      <c r="G430">
        <v>59</v>
      </c>
      <c r="H430">
        <v>56</v>
      </c>
    </row>
    <row r="431" spans="1:8">
      <c r="A431">
        <v>231115</v>
      </c>
      <c r="B431" t="s">
        <v>438</v>
      </c>
      <c r="C431">
        <v>94</v>
      </c>
      <c r="D431">
        <v>95</v>
      </c>
      <c r="E431">
        <v>98</v>
      </c>
      <c r="F431">
        <v>79</v>
      </c>
      <c r="G431">
        <v>81</v>
      </c>
      <c r="H431">
        <v>77</v>
      </c>
    </row>
    <row r="432" spans="1:8">
      <c r="A432">
        <v>231116</v>
      </c>
      <c r="B432" t="s">
        <v>439</v>
      </c>
      <c r="C432">
        <v>95</v>
      </c>
      <c r="D432">
        <v>98</v>
      </c>
      <c r="E432">
        <v>102</v>
      </c>
      <c r="F432">
        <v>87</v>
      </c>
      <c r="G432">
        <v>83</v>
      </c>
      <c r="H432">
        <v>77</v>
      </c>
    </row>
    <row r="433" spans="1:8">
      <c r="A433">
        <v>231117</v>
      </c>
      <c r="B433" t="s">
        <v>440</v>
      </c>
      <c r="C433">
        <v>93</v>
      </c>
      <c r="D433">
        <v>96</v>
      </c>
      <c r="E433">
        <v>81</v>
      </c>
      <c r="F433">
        <v>77</v>
      </c>
      <c r="G433">
        <v>72</v>
      </c>
      <c r="H433">
        <v>77</v>
      </c>
    </row>
    <row r="434" spans="1:8">
      <c r="A434">
        <v>231118</v>
      </c>
      <c r="B434" t="s">
        <v>441</v>
      </c>
      <c r="C434">
        <v>104.5</v>
      </c>
      <c r="D434">
        <v>96</v>
      </c>
      <c r="E434">
        <v>109.5</v>
      </c>
      <c r="F434">
        <v>86</v>
      </c>
      <c r="G434">
        <v>71</v>
      </c>
      <c r="H434">
        <v>79</v>
      </c>
    </row>
    <row r="435" spans="1:8">
      <c r="A435">
        <v>231119</v>
      </c>
      <c r="B435" t="s">
        <v>442</v>
      </c>
      <c r="C435">
        <v>100</v>
      </c>
      <c r="D435">
        <v>91</v>
      </c>
      <c r="E435">
        <v>111.5</v>
      </c>
      <c r="F435">
        <v>85</v>
      </c>
      <c r="G435">
        <v>82</v>
      </c>
      <c r="H435">
        <v>69</v>
      </c>
    </row>
    <row r="436" spans="1:8">
      <c r="A436">
        <v>231120</v>
      </c>
      <c r="B436" t="s">
        <v>443</v>
      </c>
      <c r="C436">
        <v>103</v>
      </c>
      <c r="D436">
        <v>101</v>
      </c>
      <c r="E436">
        <v>111</v>
      </c>
      <c r="F436">
        <v>86</v>
      </c>
      <c r="G436">
        <v>80</v>
      </c>
      <c r="H436">
        <v>88</v>
      </c>
    </row>
    <row r="437" spans="1:8">
      <c r="A437">
        <v>231121</v>
      </c>
      <c r="B437" t="s">
        <v>444</v>
      </c>
      <c r="C437">
        <v>97.5</v>
      </c>
      <c r="D437">
        <v>94</v>
      </c>
      <c r="E437">
        <v>103.5</v>
      </c>
      <c r="F437">
        <v>86</v>
      </c>
      <c r="G437">
        <v>82</v>
      </c>
      <c r="H437">
        <v>81</v>
      </c>
    </row>
    <row r="438" spans="1:8">
      <c r="A438">
        <v>231122</v>
      </c>
      <c r="B438" t="s">
        <v>445</v>
      </c>
      <c r="C438">
        <v>96.5</v>
      </c>
      <c r="D438">
        <v>106</v>
      </c>
      <c r="E438">
        <v>116</v>
      </c>
      <c r="F438">
        <v>86</v>
      </c>
      <c r="G438">
        <v>85</v>
      </c>
      <c r="H438">
        <v>80</v>
      </c>
    </row>
    <row r="439" spans="1:8">
      <c r="A439">
        <v>231123</v>
      </c>
      <c r="B439" t="s">
        <v>446</v>
      </c>
      <c r="C439">
        <v>89</v>
      </c>
      <c r="D439">
        <v>86</v>
      </c>
      <c r="E439">
        <v>66.5</v>
      </c>
      <c r="F439">
        <v>73</v>
      </c>
      <c r="G439">
        <v>67</v>
      </c>
      <c r="H439">
        <v>75</v>
      </c>
    </row>
    <row r="440" spans="1:8">
      <c r="A440">
        <v>231125</v>
      </c>
      <c r="B440" t="s">
        <v>447</v>
      </c>
      <c r="C440">
        <v>102</v>
      </c>
      <c r="D440">
        <v>86</v>
      </c>
      <c r="E440">
        <v>108</v>
      </c>
      <c r="F440">
        <v>78</v>
      </c>
      <c r="G440">
        <v>80</v>
      </c>
      <c r="H440">
        <v>78</v>
      </c>
    </row>
    <row r="441" spans="1:8">
      <c r="A441">
        <v>231126</v>
      </c>
      <c r="B441" t="s">
        <v>448</v>
      </c>
      <c r="C441">
        <v>91</v>
      </c>
      <c r="D441">
        <v>90</v>
      </c>
      <c r="E441">
        <v>100</v>
      </c>
      <c r="F441">
        <v>76</v>
      </c>
      <c r="G441">
        <v>73</v>
      </c>
      <c r="H441">
        <v>68</v>
      </c>
    </row>
    <row r="442" spans="1:8">
      <c r="A442">
        <v>231127</v>
      </c>
      <c r="B442" t="s">
        <v>449</v>
      </c>
      <c r="C442">
        <v>96</v>
      </c>
      <c r="D442">
        <v>92</v>
      </c>
      <c r="E442">
        <v>101.5</v>
      </c>
      <c r="F442">
        <v>88</v>
      </c>
      <c r="G442">
        <v>75</v>
      </c>
      <c r="H442">
        <v>74</v>
      </c>
    </row>
    <row r="443" spans="1:8">
      <c r="A443">
        <v>231128</v>
      </c>
      <c r="B443" t="s">
        <v>450</v>
      </c>
      <c r="C443">
        <v>109</v>
      </c>
      <c r="D443">
        <v>98</v>
      </c>
      <c r="E443">
        <v>102.5</v>
      </c>
      <c r="F443">
        <v>86</v>
      </c>
      <c r="G443">
        <v>74</v>
      </c>
      <c r="H443">
        <v>84</v>
      </c>
    </row>
    <row r="444" spans="1:8">
      <c r="A444">
        <v>231129</v>
      </c>
      <c r="B444" t="s">
        <v>451</v>
      </c>
      <c r="C444">
        <v>88</v>
      </c>
      <c r="D444">
        <v>100</v>
      </c>
      <c r="E444">
        <v>106</v>
      </c>
      <c r="F444">
        <v>84</v>
      </c>
      <c r="G444">
        <v>67</v>
      </c>
      <c r="H444">
        <v>62</v>
      </c>
    </row>
    <row r="445" spans="1:8">
      <c r="A445">
        <v>231130</v>
      </c>
      <c r="B445" t="s">
        <v>452</v>
      </c>
      <c r="C445">
        <v>95.5</v>
      </c>
      <c r="D445">
        <v>80</v>
      </c>
      <c r="E445">
        <v>104</v>
      </c>
      <c r="F445">
        <v>79</v>
      </c>
      <c r="G445">
        <v>68</v>
      </c>
      <c r="H445">
        <v>75</v>
      </c>
    </row>
    <row r="446" spans="1:8">
      <c r="A446">
        <v>231131</v>
      </c>
      <c r="B446" t="s">
        <v>453</v>
      </c>
      <c r="C446">
        <v>93</v>
      </c>
      <c r="D446">
        <v>94</v>
      </c>
      <c r="E446">
        <v>95.5</v>
      </c>
      <c r="F446">
        <v>85</v>
      </c>
      <c r="G446">
        <v>66</v>
      </c>
      <c r="H446">
        <v>83</v>
      </c>
    </row>
    <row r="447" spans="1:8">
      <c r="A447">
        <v>231132</v>
      </c>
      <c r="B447" t="s">
        <v>454</v>
      </c>
      <c r="C447">
        <v>96</v>
      </c>
      <c r="D447">
        <v>106</v>
      </c>
      <c r="E447">
        <v>114.5</v>
      </c>
      <c r="F447">
        <v>90</v>
      </c>
      <c r="G447">
        <v>80</v>
      </c>
      <c r="H447">
        <v>84</v>
      </c>
    </row>
    <row r="448" spans="1:8">
      <c r="A448">
        <v>231133</v>
      </c>
      <c r="B448" t="s">
        <v>455</v>
      </c>
      <c r="C448">
        <v>79.5</v>
      </c>
      <c r="D448">
        <v>91</v>
      </c>
      <c r="E448">
        <v>97</v>
      </c>
      <c r="F448">
        <v>79</v>
      </c>
      <c r="G448">
        <v>74</v>
      </c>
      <c r="H448">
        <v>77</v>
      </c>
    </row>
    <row r="449" spans="1:8">
      <c r="A449">
        <v>231134</v>
      </c>
      <c r="B449" t="s">
        <v>456</v>
      </c>
      <c r="C449">
        <v>97</v>
      </c>
      <c r="D449">
        <v>87</v>
      </c>
      <c r="E449">
        <v>104.5</v>
      </c>
      <c r="F449">
        <v>85</v>
      </c>
      <c r="G449">
        <v>73</v>
      </c>
      <c r="H449">
        <v>79</v>
      </c>
    </row>
    <row r="450" spans="1:8">
      <c r="A450">
        <v>231135</v>
      </c>
      <c r="B450" t="s">
        <v>457</v>
      </c>
      <c r="C450">
        <v>101</v>
      </c>
      <c r="D450">
        <v>88</v>
      </c>
      <c r="E450">
        <v>90</v>
      </c>
      <c r="F450">
        <v>83</v>
      </c>
      <c r="G450">
        <v>63</v>
      </c>
      <c r="H450">
        <v>76</v>
      </c>
    </row>
    <row r="451" spans="1:8">
      <c r="A451">
        <v>231136</v>
      </c>
      <c r="B451" t="s">
        <v>458</v>
      </c>
      <c r="C451">
        <v>93.5</v>
      </c>
      <c r="D451">
        <v>103</v>
      </c>
      <c r="E451">
        <v>102.5</v>
      </c>
      <c r="F451">
        <v>85</v>
      </c>
      <c r="G451">
        <v>77</v>
      </c>
      <c r="H451">
        <v>71</v>
      </c>
    </row>
    <row r="452" spans="1:8">
      <c r="A452">
        <v>231137</v>
      </c>
      <c r="B452" t="s">
        <v>459</v>
      </c>
      <c r="C452">
        <v>95</v>
      </c>
      <c r="D452">
        <v>90</v>
      </c>
      <c r="E452">
        <v>116</v>
      </c>
      <c r="F452">
        <v>87</v>
      </c>
      <c r="G452">
        <v>82</v>
      </c>
      <c r="H452">
        <v>89</v>
      </c>
    </row>
    <row r="453" spans="1:8">
      <c r="A453">
        <v>231138</v>
      </c>
      <c r="B453" t="s">
        <v>460</v>
      </c>
      <c r="C453">
        <v>78</v>
      </c>
      <c r="D453">
        <v>67</v>
      </c>
      <c r="E453">
        <v>59</v>
      </c>
      <c r="F453">
        <v>81</v>
      </c>
      <c r="G453">
        <v>59</v>
      </c>
      <c r="H453">
        <v>48</v>
      </c>
    </row>
    <row r="454" spans="1:8">
      <c r="A454">
        <v>231139</v>
      </c>
      <c r="B454" t="s">
        <v>461</v>
      </c>
      <c r="C454">
        <v>101</v>
      </c>
      <c r="D454">
        <v>107</v>
      </c>
      <c r="E454">
        <v>96.5</v>
      </c>
      <c r="F454">
        <v>82</v>
      </c>
      <c r="G454">
        <v>76</v>
      </c>
      <c r="H454">
        <v>84</v>
      </c>
    </row>
    <row r="455" spans="1:8">
      <c r="A455">
        <v>231140</v>
      </c>
      <c r="B455" t="s">
        <v>462</v>
      </c>
      <c r="C455">
        <v>88</v>
      </c>
      <c r="D455">
        <v>102</v>
      </c>
      <c r="E455">
        <v>88.5</v>
      </c>
      <c r="F455">
        <v>80</v>
      </c>
      <c r="G455">
        <v>77</v>
      </c>
      <c r="H455">
        <v>80</v>
      </c>
    </row>
    <row r="456" spans="1:8">
      <c r="A456">
        <v>231141</v>
      </c>
      <c r="B456" t="s">
        <v>463</v>
      </c>
      <c r="C456">
        <v>89</v>
      </c>
      <c r="D456">
        <v>92</v>
      </c>
      <c r="E456">
        <v>97</v>
      </c>
      <c r="F456">
        <v>83</v>
      </c>
      <c r="G456">
        <v>79</v>
      </c>
      <c r="H456">
        <v>75</v>
      </c>
    </row>
    <row r="457" spans="1:8">
      <c r="A457">
        <v>231142</v>
      </c>
      <c r="B457" t="s">
        <v>464</v>
      </c>
      <c r="C457">
        <v>93</v>
      </c>
      <c r="D457">
        <v>113</v>
      </c>
      <c r="E457">
        <v>103</v>
      </c>
      <c r="F457">
        <v>88</v>
      </c>
      <c r="G457">
        <v>74</v>
      </c>
      <c r="H457">
        <v>77</v>
      </c>
    </row>
    <row r="458" spans="1:8">
      <c r="A458">
        <v>231143</v>
      </c>
      <c r="B458" t="s">
        <v>465</v>
      </c>
      <c r="C458">
        <v>105</v>
      </c>
      <c r="D458">
        <v>100</v>
      </c>
      <c r="E458">
        <v>110</v>
      </c>
      <c r="F458">
        <v>88</v>
      </c>
      <c r="G458">
        <v>80</v>
      </c>
      <c r="H458">
        <v>81</v>
      </c>
    </row>
    <row r="459" spans="1:8">
      <c r="A459">
        <v>231144</v>
      </c>
      <c r="B459" t="s">
        <v>466</v>
      </c>
      <c r="C459">
        <v>88</v>
      </c>
      <c r="D459">
        <v>78</v>
      </c>
      <c r="E459">
        <v>77</v>
      </c>
      <c r="F459">
        <v>77</v>
      </c>
      <c r="G459">
        <v>59</v>
      </c>
      <c r="H459">
        <v>65</v>
      </c>
    </row>
    <row r="460" spans="1:8">
      <c r="A460">
        <v>231704</v>
      </c>
      <c r="B460" t="s">
        <v>467</v>
      </c>
      <c r="C460">
        <v>78.5</v>
      </c>
      <c r="D460">
        <v>96</v>
      </c>
      <c r="E460">
        <v>99.5</v>
      </c>
      <c r="F460">
        <v>76</v>
      </c>
      <c r="G460">
        <v>63</v>
      </c>
      <c r="H460">
        <v>77</v>
      </c>
    </row>
    <row r="461" spans="1:8">
      <c r="A461">
        <v>220342</v>
      </c>
      <c r="B461" t="s">
        <v>468</v>
      </c>
      <c r="C461" t="e">
        <v>#N/A</v>
      </c>
      <c r="D461" t="e">
        <v>#N/A</v>
      </c>
      <c r="E461" t="e">
        <v>#N/A</v>
      </c>
      <c r="F461" t="e">
        <v>#N/A</v>
      </c>
      <c r="G461" t="e">
        <v>#N/A</v>
      </c>
      <c r="H461" t="e">
        <v>#N/A</v>
      </c>
    </row>
    <row r="462" spans="1:8">
      <c r="A462">
        <v>231201</v>
      </c>
      <c r="B462" t="s">
        <v>469</v>
      </c>
      <c r="C462">
        <v>94</v>
      </c>
      <c r="D462">
        <v>84</v>
      </c>
      <c r="E462">
        <v>88</v>
      </c>
      <c r="F462">
        <v>88</v>
      </c>
      <c r="G462">
        <v>70</v>
      </c>
      <c r="H462">
        <v>72</v>
      </c>
    </row>
    <row r="463" spans="1:8">
      <c r="A463">
        <v>231203</v>
      </c>
      <c r="B463" t="s">
        <v>470</v>
      </c>
      <c r="C463">
        <v>100</v>
      </c>
      <c r="D463">
        <v>97</v>
      </c>
      <c r="E463">
        <v>102</v>
      </c>
      <c r="F463">
        <v>80</v>
      </c>
      <c r="G463">
        <v>78</v>
      </c>
      <c r="H463">
        <v>70</v>
      </c>
    </row>
    <row r="464" spans="1:8">
      <c r="A464">
        <v>231204</v>
      </c>
      <c r="B464" t="s">
        <v>471</v>
      </c>
      <c r="C464">
        <v>96.5</v>
      </c>
      <c r="D464">
        <v>110</v>
      </c>
      <c r="E464">
        <v>60</v>
      </c>
      <c r="F464">
        <v>86</v>
      </c>
      <c r="G464">
        <v>75</v>
      </c>
      <c r="H464">
        <v>81</v>
      </c>
    </row>
    <row r="465" spans="1:8">
      <c r="A465">
        <v>231205</v>
      </c>
      <c r="B465" t="s">
        <v>472</v>
      </c>
      <c r="C465">
        <v>103</v>
      </c>
      <c r="D465">
        <v>113</v>
      </c>
      <c r="E465">
        <v>110</v>
      </c>
      <c r="F465">
        <v>86</v>
      </c>
      <c r="G465">
        <v>86</v>
      </c>
      <c r="H465">
        <v>86</v>
      </c>
    </row>
    <row r="466" spans="1:8">
      <c r="A466">
        <v>231206</v>
      </c>
      <c r="B466" t="s">
        <v>473</v>
      </c>
      <c r="C466">
        <v>97.5</v>
      </c>
      <c r="D466">
        <v>108</v>
      </c>
      <c r="E466">
        <v>107</v>
      </c>
      <c r="F466">
        <v>89</v>
      </c>
      <c r="G466">
        <v>79</v>
      </c>
      <c r="H466">
        <v>68</v>
      </c>
    </row>
    <row r="467" spans="1:8">
      <c r="A467">
        <v>231207</v>
      </c>
      <c r="B467" t="s">
        <v>474</v>
      </c>
      <c r="C467">
        <v>106</v>
      </c>
      <c r="D467">
        <v>88</v>
      </c>
      <c r="E467">
        <v>112</v>
      </c>
      <c r="F467">
        <v>90</v>
      </c>
      <c r="G467">
        <v>78</v>
      </c>
      <c r="H467">
        <v>74</v>
      </c>
    </row>
    <row r="468" spans="1:8">
      <c r="A468">
        <v>231208</v>
      </c>
      <c r="B468" t="s">
        <v>475</v>
      </c>
      <c r="C468">
        <v>94</v>
      </c>
      <c r="D468">
        <v>94</v>
      </c>
      <c r="E468">
        <v>88</v>
      </c>
      <c r="F468">
        <v>85</v>
      </c>
      <c r="G468">
        <v>69</v>
      </c>
      <c r="H468">
        <v>71</v>
      </c>
    </row>
    <row r="469" spans="1:8">
      <c r="A469">
        <v>231209</v>
      </c>
      <c r="B469" t="s">
        <v>476</v>
      </c>
      <c r="C469">
        <v>101</v>
      </c>
      <c r="D469">
        <v>91</v>
      </c>
      <c r="E469">
        <v>111</v>
      </c>
      <c r="F469">
        <v>86</v>
      </c>
      <c r="G469">
        <v>75</v>
      </c>
      <c r="H469">
        <v>71</v>
      </c>
    </row>
    <row r="470" spans="1:8">
      <c r="A470">
        <v>231210</v>
      </c>
      <c r="B470" t="s">
        <v>477</v>
      </c>
      <c r="C470">
        <v>97.5</v>
      </c>
      <c r="D470">
        <v>107</v>
      </c>
      <c r="E470">
        <v>108</v>
      </c>
      <c r="F470">
        <v>88</v>
      </c>
      <c r="G470">
        <v>81</v>
      </c>
      <c r="H470">
        <v>86</v>
      </c>
    </row>
    <row r="471" spans="1:8">
      <c r="A471">
        <v>231211</v>
      </c>
      <c r="B471" t="s">
        <v>478</v>
      </c>
      <c r="C471">
        <v>89</v>
      </c>
      <c r="D471">
        <v>95</v>
      </c>
      <c r="E471">
        <v>103</v>
      </c>
      <c r="F471">
        <v>88</v>
      </c>
      <c r="G471">
        <v>68</v>
      </c>
      <c r="H471">
        <v>78</v>
      </c>
    </row>
    <row r="472" spans="1:8">
      <c r="A472">
        <v>231212</v>
      </c>
      <c r="B472" t="s">
        <v>479</v>
      </c>
      <c r="C472">
        <v>95</v>
      </c>
      <c r="D472">
        <v>101</v>
      </c>
      <c r="E472">
        <v>83</v>
      </c>
      <c r="F472">
        <v>76</v>
      </c>
      <c r="G472">
        <v>59</v>
      </c>
      <c r="H472">
        <v>74</v>
      </c>
    </row>
    <row r="473" spans="1:8">
      <c r="A473">
        <v>231213</v>
      </c>
      <c r="B473" t="s">
        <v>480</v>
      </c>
      <c r="C473">
        <v>94</v>
      </c>
      <c r="D473">
        <v>97</v>
      </c>
      <c r="E473">
        <v>99.5</v>
      </c>
      <c r="F473">
        <v>85</v>
      </c>
      <c r="G473">
        <v>64</v>
      </c>
      <c r="H473">
        <v>76</v>
      </c>
    </row>
    <row r="474" spans="1:8">
      <c r="A474">
        <v>231214</v>
      </c>
      <c r="B474" t="s">
        <v>481</v>
      </c>
      <c r="C474">
        <v>89</v>
      </c>
      <c r="D474">
        <v>108</v>
      </c>
      <c r="E474">
        <v>100</v>
      </c>
      <c r="F474">
        <v>90</v>
      </c>
      <c r="G474">
        <v>83</v>
      </c>
      <c r="H474">
        <v>78</v>
      </c>
    </row>
    <row r="475" spans="1:8">
      <c r="A475">
        <v>231215</v>
      </c>
      <c r="B475" t="s">
        <v>482</v>
      </c>
      <c r="C475">
        <v>90.5</v>
      </c>
      <c r="D475">
        <v>96</v>
      </c>
      <c r="E475">
        <v>82.5</v>
      </c>
      <c r="F475">
        <v>87</v>
      </c>
      <c r="G475">
        <v>70</v>
      </c>
      <c r="H475">
        <v>63</v>
      </c>
    </row>
    <row r="476" spans="1:8">
      <c r="A476">
        <v>231216</v>
      </c>
      <c r="B476" t="s">
        <v>483</v>
      </c>
      <c r="C476">
        <v>95</v>
      </c>
      <c r="D476">
        <v>114</v>
      </c>
      <c r="E476">
        <v>110.5</v>
      </c>
      <c r="F476">
        <v>83</v>
      </c>
      <c r="G476">
        <v>71</v>
      </c>
      <c r="H476">
        <v>67</v>
      </c>
    </row>
    <row r="477" spans="1:8">
      <c r="A477">
        <v>231217</v>
      </c>
      <c r="B477" t="s">
        <v>484</v>
      </c>
      <c r="C477">
        <v>107</v>
      </c>
      <c r="D477">
        <v>92</v>
      </c>
      <c r="E477">
        <v>101</v>
      </c>
      <c r="F477">
        <v>77</v>
      </c>
      <c r="G477">
        <v>79</v>
      </c>
      <c r="H477">
        <v>79</v>
      </c>
    </row>
    <row r="478" spans="1:8">
      <c r="A478">
        <v>231218</v>
      </c>
      <c r="B478" t="s">
        <v>485</v>
      </c>
      <c r="C478">
        <v>94</v>
      </c>
      <c r="D478">
        <v>80</v>
      </c>
      <c r="E478">
        <v>104</v>
      </c>
      <c r="F478">
        <v>81</v>
      </c>
      <c r="G478">
        <v>68</v>
      </c>
      <c r="H478">
        <v>79</v>
      </c>
    </row>
    <row r="479" spans="1:8">
      <c r="A479">
        <v>231219</v>
      </c>
      <c r="B479" t="s">
        <v>486</v>
      </c>
      <c r="C479">
        <v>98</v>
      </c>
      <c r="D479">
        <v>85</v>
      </c>
      <c r="E479">
        <v>105.5</v>
      </c>
      <c r="F479">
        <v>87</v>
      </c>
      <c r="G479">
        <v>82</v>
      </c>
      <c r="H479">
        <v>79</v>
      </c>
    </row>
    <row r="480" spans="1:8">
      <c r="A480">
        <v>231220</v>
      </c>
      <c r="B480" t="s">
        <v>487</v>
      </c>
      <c r="C480">
        <v>99</v>
      </c>
      <c r="D480">
        <v>106</v>
      </c>
      <c r="E480">
        <v>109</v>
      </c>
      <c r="F480">
        <v>90</v>
      </c>
      <c r="G480">
        <v>81</v>
      </c>
      <c r="H480">
        <v>79</v>
      </c>
    </row>
    <row r="481" spans="1:8">
      <c r="A481">
        <v>231221</v>
      </c>
      <c r="B481" t="s">
        <v>488</v>
      </c>
      <c r="C481">
        <v>98</v>
      </c>
      <c r="D481">
        <v>93</v>
      </c>
      <c r="E481">
        <v>96.5</v>
      </c>
      <c r="F481">
        <v>86</v>
      </c>
      <c r="G481">
        <v>66</v>
      </c>
      <c r="H481">
        <v>76</v>
      </c>
    </row>
    <row r="482" spans="1:8">
      <c r="A482">
        <v>231222</v>
      </c>
      <c r="B482" t="s">
        <v>489</v>
      </c>
      <c r="C482">
        <v>99</v>
      </c>
      <c r="D482">
        <v>108</v>
      </c>
      <c r="E482">
        <v>113.5</v>
      </c>
      <c r="F482">
        <v>90</v>
      </c>
      <c r="G482">
        <v>78</v>
      </c>
      <c r="H482">
        <v>82</v>
      </c>
    </row>
    <row r="483" spans="1:8">
      <c r="A483">
        <v>231223</v>
      </c>
      <c r="B483" t="s">
        <v>490</v>
      </c>
      <c r="C483">
        <v>89</v>
      </c>
      <c r="D483">
        <v>93</v>
      </c>
      <c r="E483">
        <v>89.5</v>
      </c>
      <c r="F483">
        <v>83</v>
      </c>
      <c r="G483">
        <v>70</v>
      </c>
      <c r="H483">
        <v>81</v>
      </c>
    </row>
    <row r="484" spans="1:8">
      <c r="A484">
        <v>231224</v>
      </c>
      <c r="B484" t="s">
        <v>491</v>
      </c>
      <c r="C484">
        <v>107.5</v>
      </c>
      <c r="D484">
        <v>87</v>
      </c>
      <c r="E484">
        <v>106</v>
      </c>
      <c r="F484">
        <v>76</v>
      </c>
      <c r="G484">
        <v>73</v>
      </c>
      <c r="H484">
        <v>69</v>
      </c>
    </row>
    <row r="485" spans="1:8">
      <c r="A485">
        <v>231225</v>
      </c>
      <c r="B485" t="s">
        <v>492</v>
      </c>
      <c r="C485">
        <v>98</v>
      </c>
      <c r="D485">
        <v>98</v>
      </c>
      <c r="E485">
        <v>111.5</v>
      </c>
      <c r="F485">
        <v>88</v>
      </c>
      <c r="G485">
        <v>79</v>
      </c>
      <c r="H485">
        <v>80</v>
      </c>
    </row>
    <row r="486" spans="1:8">
      <c r="A486">
        <v>231227</v>
      </c>
      <c r="B486" t="s">
        <v>493</v>
      </c>
      <c r="C486">
        <v>93</v>
      </c>
      <c r="D486">
        <v>99</v>
      </c>
      <c r="E486">
        <v>87.5</v>
      </c>
      <c r="F486">
        <v>90</v>
      </c>
      <c r="G486">
        <v>64</v>
      </c>
      <c r="H486">
        <v>76</v>
      </c>
    </row>
    <row r="487" spans="1:8">
      <c r="A487">
        <v>231228</v>
      </c>
      <c r="B487" t="s">
        <v>494</v>
      </c>
      <c r="C487">
        <v>98</v>
      </c>
      <c r="D487">
        <v>90</v>
      </c>
      <c r="E487">
        <v>101.5</v>
      </c>
      <c r="F487">
        <v>80</v>
      </c>
      <c r="G487">
        <v>67</v>
      </c>
      <c r="H487">
        <v>82</v>
      </c>
    </row>
    <row r="488" spans="1:8">
      <c r="A488">
        <v>231229</v>
      </c>
      <c r="B488" t="s">
        <v>495</v>
      </c>
      <c r="C488">
        <v>94</v>
      </c>
      <c r="D488">
        <v>88</v>
      </c>
      <c r="E488">
        <v>102.5</v>
      </c>
      <c r="F488">
        <v>83</v>
      </c>
      <c r="G488">
        <v>81</v>
      </c>
      <c r="H488">
        <v>82</v>
      </c>
    </row>
    <row r="489" spans="1:8">
      <c r="A489">
        <v>231230</v>
      </c>
      <c r="B489" t="s">
        <v>496</v>
      </c>
      <c r="C489">
        <v>88</v>
      </c>
      <c r="D489">
        <v>99</v>
      </c>
      <c r="E489">
        <v>97</v>
      </c>
      <c r="F489">
        <v>82</v>
      </c>
      <c r="G489">
        <v>64</v>
      </c>
      <c r="H489">
        <v>74</v>
      </c>
    </row>
    <row r="490" spans="1:8">
      <c r="A490">
        <v>231231</v>
      </c>
      <c r="B490" t="s">
        <v>497</v>
      </c>
      <c r="C490">
        <v>80</v>
      </c>
      <c r="D490">
        <v>87</v>
      </c>
      <c r="E490">
        <v>76.5</v>
      </c>
      <c r="F490">
        <v>87</v>
      </c>
      <c r="G490">
        <v>59</v>
      </c>
      <c r="H490">
        <v>72</v>
      </c>
    </row>
    <row r="491" spans="1:8">
      <c r="A491">
        <v>231232</v>
      </c>
      <c r="B491" t="s">
        <v>498</v>
      </c>
      <c r="C491">
        <v>106</v>
      </c>
      <c r="D491">
        <v>101</v>
      </c>
      <c r="E491">
        <v>105.5</v>
      </c>
      <c r="F491">
        <v>89</v>
      </c>
      <c r="G491">
        <v>79</v>
      </c>
      <c r="H491">
        <v>87</v>
      </c>
    </row>
    <row r="492" spans="1:8">
      <c r="A492">
        <v>231233</v>
      </c>
      <c r="B492" t="s">
        <v>499</v>
      </c>
      <c r="C492">
        <v>105.5</v>
      </c>
      <c r="D492">
        <v>91</v>
      </c>
      <c r="E492">
        <v>102.5</v>
      </c>
      <c r="F492">
        <v>86</v>
      </c>
      <c r="G492">
        <v>76</v>
      </c>
      <c r="H492">
        <v>77</v>
      </c>
    </row>
    <row r="493" spans="1:8">
      <c r="A493">
        <v>231234</v>
      </c>
      <c r="B493" t="s">
        <v>500</v>
      </c>
      <c r="C493">
        <v>101</v>
      </c>
      <c r="D493">
        <v>100</v>
      </c>
      <c r="E493">
        <v>101.5</v>
      </c>
      <c r="F493">
        <v>89</v>
      </c>
      <c r="G493">
        <v>77</v>
      </c>
      <c r="H493">
        <v>58</v>
      </c>
    </row>
    <row r="494" spans="1:8">
      <c r="A494">
        <v>231235</v>
      </c>
      <c r="B494" t="s">
        <v>501</v>
      </c>
      <c r="C494">
        <v>91</v>
      </c>
      <c r="D494">
        <v>105</v>
      </c>
      <c r="E494">
        <v>103</v>
      </c>
      <c r="F494">
        <v>88</v>
      </c>
      <c r="G494">
        <v>78</v>
      </c>
      <c r="H494">
        <v>74</v>
      </c>
    </row>
    <row r="495" spans="1:8">
      <c r="A495">
        <v>231236</v>
      </c>
      <c r="B495" t="s">
        <v>502</v>
      </c>
      <c r="C495">
        <v>91</v>
      </c>
      <c r="D495">
        <v>97</v>
      </c>
      <c r="E495">
        <v>107.5</v>
      </c>
      <c r="F495">
        <v>88</v>
      </c>
      <c r="G495">
        <v>80</v>
      </c>
      <c r="H495">
        <v>74</v>
      </c>
    </row>
    <row r="496" spans="1:8">
      <c r="A496">
        <v>231237</v>
      </c>
      <c r="B496" t="s">
        <v>503</v>
      </c>
      <c r="C496">
        <v>104</v>
      </c>
      <c r="D496">
        <v>96</v>
      </c>
      <c r="E496">
        <v>108</v>
      </c>
      <c r="F496">
        <v>85</v>
      </c>
      <c r="G496">
        <v>81</v>
      </c>
      <c r="H496">
        <v>68</v>
      </c>
    </row>
    <row r="497" spans="1:8">
      <c r="A497">
        <v>231239</v>
      </c>
      <c r="B497" t="s">
        <v>504</v>
      </c>
      <c r="C497">
        <v>84</v>
      </c>
      <c r="D497">
        <v>100</v>
      </c>
      <c r="E497">
        <v>74.5</v>
      </c>
      <c r="F497">
        <v>89</v>
      </c>
      <c r="G497">
        <v>53</v>
      </c>
      <c r="H497">
        <v>70</v>
      </c>
    </row>
    <row r="498" spans="1:8">
      <c r="A498">
        <v>231240</v>
      </c>
      <c r="B498" t="s">
        <v>505</v>
      </c>
      <c r="C498">
        <v>81</v>
      </c>
      <c r="D498">
        <v>108</v>
      </c>
      <c r="E498">
        <v>77.5</v>
      </c>
      <c r="F498">
        <v>80</v>
      </c>
      <c r="G498">
        <v>72</v>
      </c>
      <c r="H498">
        <v>63</v>
      </c>
    </row>
    <row r="499" spans="1:8">
      <c r="A499">
        <v>231242</v>
      </c>
      <c r="B499" t="s">
        <v>506</v>
      </c>
      <c r="C499">
        <v>100</v>
      </c>
      <c r="D499">
        <v>103</v>
      </c>
      <c r="E499">
        <v>112</v>
      </c>
      <c r="F499">
        <v>89</v>
      </c>
      <c r="G499">
        <v>73</v>
      </c>
      <c r="H499">
        <v>75</v>
      </c>
    </row>
    <row r="500" spans="1:8">
      <c r="A500">
        <v>231243</v>
      </c>
      <c r="B500" t="s">
        <v>507</v>
      </c>
      <c r="C500">
        <v>96</v>
      </c>
      <c r="D500">
        <v>99</v>
      </c>
      <c r="E500">
        <v>105.5</v>
      </c>
      <c r="F500">
        <v>83</v>
      </c>
      <c r="G500">
        <v>80</v>
      </c>
      <c r="H500">
        <v>74</v>
      </c>
    </row>
    <row r="501" spans="1:8">
      <c r="A501">
        <v>231244</v>
      </c>
      <c r="B501" t="s">
        <v>508</v>
      </c>
      <c r="C501">
        <v>106</v>
      </c>
      <c r="D501">
        <v>102</v>
      </c>
      <c r="E501">
        <v>110.5</v>
      </c>
      <c r="F501">
        <v>85</v>
      </c>
      <c r="G501">
        <v>80</v>
      </c>
      <c r="H501">
        <v>85</v>
      </c>
    </row>
    <row r="502" spans="1:8">
      <c r="A502">
        <v>231245</v>
      </c>
      <c r="B502" t="s">
        <v>509</v>
      </c>
      <c r="C502" t="e">
        <v>#N/A</v>
      </c>
      <c r="D502" t="e">
        <v>#N/A</v>
      </c>
      <c r="E502" t="e">
        <v>#N/A</v>
      </c>
      <c r="F502" t="e">
        <v>#N/A</v>
      </c>
      <c r="G502" t="e">
        <v>#N/A</v>
      </c>
      <c r="H502" t="e">
        <v>#N/A</v>
      </c>
    </row>
    <row r="503" spans="1:8">
      <c r="A503">
        <v>231302</v>
      </c>
      <c r="B503" t="s">
        <v>510</v>
      </c>
      <c r="C503">
        <v>84</v>
      </c>
      <c r="D503">
        <v>88</v>
      </c>
      <c r="E503">
        <v>109.5</v>
      </c>
      <c r="F503">
        <v>88</v>
      </c>
      <c r="G503">
        <v>68</v>
      </c>
      <c r="H503">
        <v>72</v>
      </c>
    </row>
    <row r="504" spans="1:8">
      <c r="A504">
        <v>231303</v>
      </c>
      <c r="B504" t="s">
        <v>511</v>
      </c>
      <c r="C504">
        <v>85</v>
      </c>
      <c r="D504">
        <v>94</v>
      </c>
      <c r="E504">
        <v>100.5</v>
      </c>
      <c r="F504">
        <v>85</v>
      </c>
      <c r="G504">
        <v>62</v>
      </c>
      <c r="H504">
        <v>71</v>
      </c>
    </row>
    <row r="505" spans="1:8">
      <c r="A505">
        <v>231304</v>
      </c>
      <c r="B505" t="s">
        <v>512</v>
      </c>
      <c r="C505">
        <v>100.5</v>
      </c>
      <c r="D505">
        <v>98</v>
      </c>
      <c r="E505">
        <v>95</v>
      </c>
      <c r="F505">
        <v>79</v>
      </c>
      <c r="G505">
        <v>69</v>
      </c>
      <c r="H505">
        <v>81</v>
      </c>
    </row>
    <row r="506" spans="1:8">
      <c r="A506">
        <v>231305</v>
      </c>
      <c r="B506" t="s">
        <v>513</v>
      </c>
      <c r="C506">
        <v>89</v>
      </c>
      <c r="D506">
        <v>92</v>
      </c>
      <c r="E506">
        <v>108</v>
      </c>
      <c r="F506">
        <v>74</v>
      </c>
      <c r="G506">
        <v>69</v>
      </c>
      <c r="H506">
        <v>76</v>
      </c>
    </row>
    <row r="507" spans="1:8">
      <c r="A507">
        <v>231306</v>
      </c>
      <c r="B507" t="s">
        <v>514</v>
      </c>
      <c r="C507">
        <v>93.5</v>
      </c>
      <c r="D507">
        <v>91</v>
      </c>
      <c r="E507">
        <v>100.5</v>
      </c>
      <c r="F507">
        <v>79</v>
      </c>
      <c r="G507">
        <v>73</v>
      </c>
      <c r="H507">
        <v>79</v>
      </c>
    </row>
    <row r="508" spans="1:8">
      <c r="A508">
        <v>231307</v>
      </c>
      <c r="B508" t="s">
        <v>515</v>
      </c>
      <c r="C508">
        <v>89</v>
      </c>
      <c r="D508">
        <v>97</v>
      </c>
      <c r="E508">
        <v>86</v>
      </c>
      <c r="F508">
        <v>86</v>
      </c>
      <c r="G508">
        <v>76</v>
      </c>
      <c r="H508">
        <v>62</v>
      </c>
    </row>
    <row r="509" spans="1:8">
      <c r="A509">
        <v>231308</v>
      </c>
      <c r="B509" t="s">
        <v>516</v>
      </c>
      <c r="C509">
        <v>102</v>
      </c>
      <c r="D509">
        <v>92</v>
      </c>
      <c r="E509">
        <v>110.5</v>
      </c>
      <c r="F509">
        <v>85</v>
      </c>
      <c r="G509">
        <v>82</v>
      </c>
      <c r="H509">
        <v>80</v>
      </c>
    </row>
    <row r="510" spans="1:8">
      <c r="A510">
        <v>231309</v>
      </c>
      <c r="B510" t="s">
        <v>517</v>
      </c>
      <c r="C510">
        <v>101.5</v>
      </c>
      <c r="D510">
        <v>102</v>
      </c>
      <c r="E510">
        <v>115</v>
      </c>
      <c r="F510">
        <v>89</v>
      </c>
      <c r="G510">
        <v>83</v>
      </c>
      <c r="H510">
        <v>80</v>
      </c>
    </row>
    <row r="511" spans="1:8">
      <c r="A511">
        <v>231310</v>
      </c>
      <c r="B511" t="s">
        <v>518</v>
      </c>
      <c r="C511">
        <v>103</v>
      </c>
      <c r="D511">
        <v>94</v>
      </c>
      <c r="E511">
        <v>112.5</v>
      </c>
      <c r="F511">
        <v>89</v>
      </c>
      <c r="G511">
        <v>78</v>
      </c>
      <c r="H511">
        <v>68</v>
      </c>
    </row>
    <row r="512" spans="1:8">
      <c r="A512">
        <v>231311</v>
      </c>
      <c r="B512" t="s">
        <v>519</v>
      </c>
      <c r="C512">
        <v>93</v>
      </c>
      <c r="D512">
        <v>98</v>
      </c>
      <c r="E512">
        <v>97.5</v>
      </c>
      <c r="F512">
        <v>89</v>
      </c>
      <c r="G512">
        <v>70</v>
      </c>
      <c r="H512">
        <v>82</v>
      </c>
    </row>
    <row r="513" spans="1:8">
      <c r="A513">
        <v>231312</v>
      </c>
      <c r="B513" t="s">
        <v>520</v>
      </c>
      <c r="C513">
        <v>98</v>
      </c>
      <c r="D513">
        <v>87</v>
      </c>
      <c r="E513">
        <v>99.5</v>
      </c>
      <c r="F513">
        <v>85</v>
      </c>
      <c r="G513">
        <v>77</v>
      </c>
      <c r="H513">
        <v>70</v>
      </c>
    </row>
    <row r="514" spans="1:8">
      <c r="A514">
        <v>231313</v>
      </c>
      <c r="B514" t="s">
        <v>521</v>
      </c>
      <c r="C514">
        <v>108</v>
      </c>
      <c r="D514">
        <v>109</v>
      </c>
      <c r="E514">
        <v>116</v>
      </c>
      <c r="F514">
        <v>88</v>
      </c>
      <c r="G514">
        <v>75</v>
      </c>
      <c r="H514">
        <v>76</v>
      </c>
    </row>
    <row r="515" spans="1:8">
      <c r="A515">
        <v>231314</v>
      </c>
      <c r="B515" t="s">
        <v>522</v>
      </c>
      <c r="C515">
        <v>95</v>
      </c>
      <c r="D515">
        <v>113</v>
      </c>
      <c r="E515">
        <v>112.5</v>
      </c>
      <c r="F515">
        <v>85</v>
      </c>
      <c r="G515">
        <v>69</v>
      </c>
      <c r="H515">
        <v>79</v>
      </c>
    </row>
    <row r="516" spans="1:8">
      <c r="A516">
        <v>231315</v>
      </c>
      <c r="B516" t="s">
        <v>523</v>
      </c>
      <c r="C516">
        <v>88.5</v>
      </c>
      <c r="D516">
        <v>95</v>
      </c>
      <c r="E516">
        <v>104</v>
      </c>
      <c r="F516">
        <v>81</v>
      </c>
      <c r="G516">
        <v>73</v>
      </c>
      <c r="H516">
        <v>71</v>
      </c>
    </row>
    <row r="517" spans="1:8">
      <c r="A517">
        <v>231316</v>
      </c>
      <c r="B517" t="s">
        <v>524</v>
      </c>
      <c r="C517">
        <v>101</v>
      </c>
      <c r="D517">
        <v>88</v>
      </c>
      <c r="E517">
        <v>113</v>
      </c>
      <c r="F517">
        <v>90</v>
      </c>
      <c r="G517">
        <v>75</v>
      </c>
      <c r="H517">
        <v>81</v>
      </c>
    </row>
    <row r="518" spans="1:8">
      <c r="A518">
        <v>231317</v>
      </c>
      <c r="B518" t="s">
        <v>525</v>
      </c>
      <c r="C518">
        <v>94</v>
      </c>
      <c r="D518">
        <v>108</v>
      </c>
      <c r="E518">
        <v>115.5</v>
      </c>
      <c r="F518">
        <v>88</v>
      </c>
      <c r="G518">
        <v>70</v>
      </c>
      <c r="H518">
        <v>86</v>
      </c>
    </row>
    <row r="519" spans="1:8">
      <c r="A519">
        <v>231318</v>
      </c>
      <c r="B519" t="s">
        <v>526</v>
      </c>
      <c r="C519">
        <v>88</v>
      </c>
      <c r="D519">
        <v>78</v>
      </c>
      <c r="E519">
        <v>100.5</v>
      </c>
      <c r="F519">
        <v>79</v>
      </c>
      <c r="G519">
        <v>63</v>
      </c>
      <c r="H519">
        <v>60</v>
      </c>
    </row>
    <row r="520" spans="1:8">
      <c r="A520">
        <v>231319</v>
      </c>
      <c r="B520" t="s">
        <v>527</v>
      </c>
      <c r="C520">
        <v>99</v>
      </c>
      <c r="D520">
        <v>101</v>
      </c>
      <c r="E520">
        <v>103</v>
      </c>
      <c r="F520">
        <v>87</v>
      </c>
      <c r="G520">
        <v>82</v>
      </c>
      <c r="H520">
        <v>74</v>
      </c>
    </row>
    <row r="521" spans="1:8">
      <c r="A521">
        <v>231320</v>
      </c>
      <c r="B521" t="s">
        <v>528</v>
      </c>
      <c r="C521">
        <v>101</v>
      </c>
      <c r="D521">
        <v>108</v>
      </c>
      <c r="E521">
        <v>111</v>
      </c>
      <c r="F521">
        <v>90</v>
      </c>
      <c r="G521">
        <v>82</v>
      </c>
      <c r="H521">
        <v>87</v>
      </c>
    </row>
    <row r="522" spans="1:8">
      <c r="A522">
        <v>231321</v>
      </c>
      <c r="B522" t="s">
        <v>529</v>
      </c>
      <c r="C522">
        <v>101</v>
      </c>
      <c r="D522">
        <v>98</v>
      </c>
      <c r="E522">
        <v>106.5</v>
      </c>
      <c r="F522">
        <v>87</v>
      </c>
      <c r="G522">
        <v>83</v>
      </c>
      <c r="H522">
        <v>76</v>
      </c>
    </row>
    <row r="523" spans="1:8">
      <c r="A523">
        <v>231322</v>
      </c>
      <c r="B523" t="s">
        <v>530</v>
      </c>
      <c r="C523">
        <v>94</v>
      </c>
      <c r="D523">
        <v>96</v>
      </c>
      <c r="E523">
        <v>111</v>
      </c>
      <c r="F523">
        <v>88</v>
      </c>
      <c r="G523">
        <v>78</v>
      </c>
      <c r="H523">
        <v>66</v>
      </c>
    </row>
    <row r="524" spans="1:8">
      <c r="A524">
        <v>231323</v>
      </c>
      <c r="B524" t="s">
        <v>531</v>
      </c>
      <c r="C524">
        <v>111</v>
      </c>
      <c r="D524">
        <v>112</v>
      </c>
      <c r="E524">
        <v>119</v>
      </c>
      <c r="F524">
        <v>88</v>
      </c>
      <c r="G524">
        <v>76</v>
      </c>
      <c r="H524">
        <v>80</v>
      </c>
    </row>
    <row r="525" spans="1:8">
      <c r="A525">
        <v>231324</v>
      </c>
      <c r="B525" t="s">
        <v>532</v>
      </c>
      <c r="C525">
        <v>91</v>
      </c>
      <c r="D525">
        <v>104</v>
      </c>
      <c r="E525">
        <v>114.5</v>
      </c>
      <c r="F525">
        <v>90</v>
      </c>
      <c r="G525">
        <v>84</v>
      </c>
      <c r="H525">
        <v>84</v>
      </c>
    </row>
    <row r="526" spans="1:8">
      <c r="A526">
        <v>231325</v>
      </c>
      <c r="B526" t="s">
        <v>533</v>
      </c>
      <c r="C526">
        <v>96</v>
      </c>
      <c r="D526">
        <v>89</v>
      </c>
      <c r="E526">
        <v>99</v>
      </c>
      <c r="F526">
        <v>82</v>
      </c>
      <c r="G526">
        <v>81</v>
      </c>
      <c r="H526">
        <v>86</v>
      </c>
    </row>
    <row r="527" spans="1:8">
      <c r="A527">
        <v>231326</v>
      </c>
      <c r="B527" t="s">
        <v>534</v>
      </c>
      <c r="C527">
        <v>96.5</v>
      </c>
      <c r="D527">
        <v>95</v>
      </c>
      <c r="E527">
        <v>117.5</v>
      </c>
      <c r="F527">
        <v>81</v>
      </c>
      <c r="G527">
        <v>77</v>
      </c>
      <c r="H527">
        <v>81</v>
      </c>
    </row>
    <row r="528" spans="1:8">
      <c r="A528">
        <v>231327</v>
      </c>
      <c r="B528" t="s">
        <v>535</v>
      </c>
      <c r="C528">
        <v>89</v>
      </c>
      <c r="D528">
        <v>102</v>
      </c>
      <c r="E528">
        <v>97</v>
      </c>
      <c r="F528">
        <v>85</v>
      </c>
      <c r="G528">
        <v>76</v>
      </c>
      <c r="H528">
        <v>78</v>
      </c>
    </row>
    <row r="529" spans="1:8">
      <c r="A529">
        <v>231328</v>
      </c>
      <c r="B529" t="s">
        <v>536</v>
      </c>
      <c r="C529">
        <v>94</v>
      </c>
      <c r="D529">
        <v>105</v>
      </c>
      <c r="E529">
        <v>87</v>
      </c>
      <c r="F529">
        <v>90</v>
      </c>
      <c r="G529">
        <v>78</v>
      </c>
      <c r="H529">
        <v>67</v>
      </c>
    </row>
    <row r="530" spans="1:8">
      <c r="A530">
        <v>231329</v>
      </c>
      <c r="B530" t="s">
        <v>537</v>
      </c>
      <c r="C530">
        <v>92</v>
      </c>
      <c r="D530">
        <v>84</v>
      </c>
      <c r="E530">
        <v>103.5</v>
      </c>
      <c r="F530">
        <v>88</v>
      </c>
      <c r="G530">
        <v>74</v>
      </c>
      <c r="H530">
        <v>70</v>
      </c>
    </row>
    <row r="531" spans="1:8">
      <c r="A531">
        <v>231330</v>
      </c>
      <c r="B531" t="s">
        <v>538</v>
      </c>
      <c r="C531">
        <v>92</v>
      </c>
      <c r="D531">
        <v>101</v>
      </c>
      <c r="E531">
        <v>88.5</v>
      </c>
      <c r="F531">
        <v>85</v>
      </c>
      <c r="G531">
        <v>80</v>
      </c>
      <c r="H531">
        <v>70</v>
      </c>
    </row>
    <row r="532" spans="1:8">
      <c r="A532">
        <v>231331</v>
      </c>
      <c r="B532" t="s">
        <v>539</v>
      </c>
      <c r="C532">
        <v>99</v>
      </c>
      <c r="D532">
        <v>95</v>
      </c>
      <c r="E532">
        <v>80.5</v>
      </c>
      <c r="F532">
        <v>75</v>
      </c>
      <c r="G532">
        <v>77</v>
      </c>
      <c r="H532">
        <v>69</v>
      </c>
    </row>
    <row r="533" spans="1:8">
      <c r="A533">
        <v>231332</v>
      </c>
      <c r="B533" t="s">
        <v>540</v>
      </c>
      <c r="C533">
        <v>106</v>
      </c>
      <c r="D533">
        <v>88</v>
      </c>
      <c r="E533">
        <v>104</v>
      </c>
      <c r="F533">
        <v>87</v>
      </c>
      <c r="G533">
        <v>79</v>
      </c>
      <c r="H533">
        <v>80</v>
      </c>
    </row>
    <row r="534" spans="1:8">
      <c r="A534">
        <v>231334</v>
      </c>
      <c r="B534" t="s">
        <v>541</v>
      </c>
      <c r="C534">
        <v>99</v>
      </c>
      <c r="D534">
        <v>102</v>
      </c>
      <c r="E534">
        <v>101</v>
      </c>
      <c r="F534">
        <v>86</v>
      </c>
      <c r="G534">
        <v>64</v>
      </c>
      <c r="H534">
        <v>78</v>
      </c>
    </row>
    <row r="535" spans="1:8">
      <c r="A535">
        <v>231335</v>
      </c>
      <c r="B535" t="s">
        <v>542</v>
      </c>
      <c r="C535">
        <v>100</v>
      </c>
      <c r="D535">
        <v>92</v>
      </c>
      <c r="E535">
        <v>106.5</v>
      </c>
      <c r="F535">
        <v>82</v>
      </c>
      <c r="G535">
        <v>81</v>
      </c>
      <c r="H535">
        <v>84</v>
      </c>
    </row>
    <row r="536" spans="1:8">
      <c r="A536">
        <v>231336</v>
      </c>
      <c r="B536" t="s">
        <v>543</v>
      </c>
      <c r="C536">
        <v>91.5</v>
      </c>
      <c r="D536">
        <v>83</v>
      </c>
      <c r="E536">
        <v>100.5</v>
      </c>
      <c r="F536">
        <v>88</v>
      </c>
      <c r="G536">
        <v>72</v>
      </c>
      <c r="H536">
        <v>74</v>
      </c>
    </row>
    <row r="537" spans="1:8">
      <c r="A537">
        <v>231337</v>
      </c>
      <c r="B537" t="s">
        <v>544</v>
      </c>
      <c r="C537">
        <v>100.5</v>
      </c>
      <c r="D537">
        <v>98</v>
      </c>
      <c r="E537">
        <v>115.5</v>
      </c>
      <c r="F537">
        <v>88</v>
      </c>
      <c r="G537">
        <v>84</v>
      </c>
      <c r="H537">
        <v>76</v>
      </c>
    </row>
    <row r="538" spans="1:8">
      <c r="A538">
        <v>231338</v>
      </c>
      <c r="B538" t="s">
        <v>545</v>
      </c>
      <c r="C538">
        <v>106</v>
      </c>
      <c r="D538">
        <v>95</v>
      </c>
      <c r="E538">
        <v>103</v>
      </c>
      <c r="F538">
        <v>89</v>
      </c>
      <c r="G538">
        <v>78</v>
      </c>
      <c r="H538">
        <v>81</v>
      </c>
    </row>
    <row r="539" spans="1:8">
      <c r="A539">
        <v>231339</v>
      </c>
      <c r="B539" t="s">
        <v>546</v>
      </c>
      <c r="C539">
        <v>99</v>
      </c>
      <c r="D539">
        <v>114</v>
      </c>
      <c r="E539">
        <v>110.5</v>
      </c>
      <c r="F539">
        <v>86</v>
      </c>
      <c r="G539">
        <v>79</v>
      </c>
      <c r="H539">
        <v>75</v>
      </c>
    </row>
    <row r="540" spans="1:8">
      <c r="A540">
        <v>231340</v>
      </c>
      <c r="B540" t="s">
        <v>547</v>
      </c>
      <c r="C540" t="s">
        <v>36</v>
      </c>
      <c r="D540" t="s">
        <v>36</v>
      </c>
      <c r="E540" t="s">
        <v>36</v>
      </c>
      <c r="F540" t="s">
        <v>36</v>
      </c>
      <c r="G540" t="s">
        <v>36</v>
      </c>
      <c r="H540" t="s">
        <v>36</v>
      </c>
    </row>
    <row r="541" spans="1:8">
      <c r="A541">
        <v>231341</v>
      </c>
      <c r="B541" t="s">
        <v>548</v>
      </c>
      <c r="C541">
        <v>104</v>
      </c>
      <c r="D541">
        <v>100</v>
      </c>
      <c r="E541">
        <v>95</v>
      </c>
      <c r="F541">
        <v>87</v>
      </c>
      <c r="G541">
        <v>82</v>
      </c>
      <c r="H541">
        <v>77</v>
      </c>
    </row>
    <row r="542" spans="1:8">
      <c r="A542">
        <v>231342</v>
      </c>
      <c r="B542" t="s">
        <v>549</v>
      </c>
      <c r="C542">
        <v>81</v>
      </c>
      <c r="D542">
        <v>112</v>
      </c>
      <c r="E542">
        <v>104</v>
      </c>
      <c r="F542">
        <v>86</v>
      </c>
      <c r="G542">
        <v>73</v>
      </c>
      <c r="H542">
        <v>58</v>
      </c>
    </row>
    <row r="543" spans="1:8">
      <c r="A543">
        <v>231343</v>
      </c>
      <c r="B543" t="s">
        <v>550</v>
      </c>
      <c r="C543">
        <v>96</v>
      </c>
      <c r="D543">
        <v>108</v>
      </c>
      <c r="E543">
        <v>115</v>
      </c>
      <c r="F543">
        <v>89</v>
      </c>
      <c r="G543">
        <v>71</v>
      </c>
      <c r="H543">
        <v>84</v>
      </c>
    </row>
    <row r="544" spans="1:8">
      <c r="A544">
        <v>231401</v>
      </c>
      <c r="B544" t="s">
        <v>551</v>
      </c>
      <c r="C544">
        <v>100</v>
      </c>
      <c r="D544">
        <v>109</v>
      </c>
      <c r="E544">
        <v>109.5</v>
      </c>
      <c r="F544">
        <v>84</v>
      </c>
      <c r="G544">
        <v>80</v>
      </c>
      <c r="H544">
        <v>79</v>
      </c>
    </row>
    <row r="545" spans="1:8">
      <c r="A545">
        <v>231402</v>
      </c>
      <c r="B545" t="s">
        <v>552</v>
      </c>
      <c r="C545">
        <v>103</v>
      </c>
      <c r="D545">
        <v>104</v>
      </c>
      <c r="E545">
        <v>113</v>
      </c>
      <c r="F545">
        <v>84</v>
      </c>
      <c r="G545">
        <v>84</v>
      </c>
      <c r="H545">
        <v>87</v>
      </c>
    </row>
    <row r="546" spans="1:8">
      <c r="A546">
        <v>231403</v>
      </c>
      <c r="B546" t="s">
        <v>553</v>
      </c>
      <c r="C546">
        <v>96.5</v>
      </c>
      <c r="D546">
        <v>101</v>
      </c>
      <c r="E546">
        <v>106.5</v>
      </c>
      <c r="F546">
        <v>89</v>
      </c>
      <c r="G546">
        <v>75</v>
      </c>
      <c r="H546">
        <v>84</v>
      </c>
    </row>
    <row r="547" spans="1:8">
      <c r="A547">
        <v>231404</v>
      </c>
      <c r="B547" t="s">
        <v>554</v>
      </c>
      <c r="C547">
        <v>104</v>
      </c>
      <c r="D547">
        <v>101</v>
      </c>
      <c r="E547">
        <v>109</v>
      </c>
      <c r="F547">
        <v>84</v>
      </c>
      <c r="G547">
        <v>82</v>
      </c>
      <c r="H547">
        <v>82</v>
      </c>
    </row>
    <row r="548" spans="1:8">
      <c r="A548">
        <v>231405</v>
      </c>
      <c r="B548" t="s">
        <v>555</v>
      </c>
      <c r="C548">
        <v>97</v>
      </c>
      <c r="D548">
        <v>102</v>
      </c>
      <c r="E548">
        <v>104.5</v>
      </c>
      <c r="F548">
        <v>76</v>
      </c>
      <c r="G548">
        <v>78</v>
      </c>
      <c r="H548">
        <v>86</v>
      </c>
    </row>
    <row r="549" spans="1:8">
      <c r="A549">
        <v>231406</v>
      </c>
      <c r="B549" t="s">
        <v>556</v>
      </c>
      <c r="C549">
        <v>95</v>
      </c>
      <c r="D549">
        <v>101</v>
      </c>
      <c r="E549">
        <v>104.5</v>
      </c>
      <c r="F549">
        <v>85</v>
      </c>
      <c r="G549">
        <v>79</v>
      </c>
      <c r="H549">
        <v>76</v>
      </c>
    </row>
    <row r="550" spans="1:8">
      <c r="A550">
        <v>231407</v>
      </c>
      <c r="B550" t="s">
        <v>557</v>
      </c>
      <c r="C550">
        <v>105</v>
      </c>
      <c r="D550">
        <v>117</v>
      </c>
      <c r="E550">
        <v>107</v>
      </c>
      <c r="F550">
        <v>86</v>
      </c>
      <c r="G550">
        <v>83</v>
      </c>
      <c r="H550">
        <v>81</v>
      </c>
    </row>
    <row r="551" spans="1:8">
      <c r="A551">
        <v>231408</v>
      </c>
      <c r="B551" t="s">
        <v>558</v>
      </c>
      <c r="C551">
        <v>102</v>
      </c>
      <c r="D551">
        <v>113</v>
      </c>
      <c r="E551">
        <v>109</v>
      </c>
      <c r="F551">
        <v>85</v>
      </c>
      <c r="G551">
        <v>81</v>
      </c>
      <c r="H551">
        <v>85</v>
      </c>
    </row>
    <row r="552" spans="1:8">
      <c r="A552">
        <v>231409</v>
      </c>
      <c r="B552" t="s">
        <v>559</v>
      </c>
      <c r="C552">
        <v>102</v>
      </c>
      <c r="D552">
        <v>109</v>
      </c>
      <c r="E552">
        <v>108.5</v>
      </c>
      <c r="F552">
        <v>81</v>
      </c>
      <c r="G552">
        <v>79</v>
      </c>
      <c r="H552">
        <v>85</v>
      </c>
    </row>
    <row r="553" spans="1:8">
      <c r="A553">
        <v>231410</v>
      </c>
      <c r="B553" t="s">
        <v>560</v>
      </c>
      <c r="C553">
        <v>106</v>
      </c>
      <c r="D553">
        <v>116</v>
      </c>
      <c r="E553">
        <v>106.5</v>
      </c>
      <c r="F553">
        <v>87</v>
      </c>
      <c r="G553">
        <v>76</v>
      </c>
      <c r="H553">
        <v>85</v>
      </c>
    </row>
    <row r="554" spans="1:8">
      <c r="A554">
        <v>231411</v>
      </c>
      <c r="B554" t="s">
        <v>561</v>
      </c>
      <c r="C554">
        <v>96</v>
      </c>
      <c r="D554">
        <v>106</v>
      </c>
      <c r="E554">
        <v>110</v>
      </c>
      <c r="F554">
        <v>89</v>
      </c>
      <c r="G554">
        <v>83</v>
      </c>
      <c r="H554">
        <v>85</v>
      </c>
    </row>
    <row r="555" spans="1:8">
      <c r="A555">
        <v>231412</v>
      </c>
      <c r="B555" t="s">
        <v>562</v>
      </c>
      <c r="C555">
        <v>93.5</v>
      </c>
      <c r="D555">
        <v>95</v>
      </c>
      <c r="E555">
        <v>112</v>
      </c>
      <c r="F555">
        <v>80</v>
      </c>
      <c r="G555">
        <v>77</v>
      </c>
      <c r="H555">
        <v>79</v>
      </c>
    </row>
    <row r="556" spans="1:8">
      <c r="A556">
        <v>231413</v>
      </c>
      <c r="B556" t="s">
        <v>563</v>
      </c>
      <c r="C556">
        <v>97</v>
      </c>
      <c r="D556">
        <v>100</v>
      </c>
      <c r="E556">
        <v>106.5</v>
      </c>
      <c r="F556">
        <v>79</v>
      </c>
      <c r="G556">
        <v>78</v>
      </c>
      <c r="H556">
        <v>81</v>
      </c>
    </row>
    <row r="557" spans="1:8">
      <c r="A557">
        <v>231414</v>
      </c>
      <c r="B557" t="s">
        <v>564</v>
      </c>
      <c r="C557">
        <v>97</v>
      </c>
      <c r="D557">
        <v>106</v>
      </c>
      <c r="E557">
        <v>109</v>
      </c>
      <c r="F557">
        <v>83</v>
      </c>
      <c r="G557">
        <v>79</v>
      </c>
      <c r="H557">
        <v>78</v>
      </c>
    </row>
    <row r="558" spans="1:8">
      <c r="A558">
        <v>231415</v>
      </c>
      <c r="B558" t="s">
        <v>565</v>
      </c>
      <c r="C558">
        <v>103</v>
      </c>
      <c r="D558">
        <v>103</v>
      </c>
      <c r="E558">
        <v>108.5</v>
      </c>
      <c r="F558">
        <v>87</v>
      </c>
      <c r="G558">
        <v>78</v>
      </c>
      <c r="H558">
        <v>88</v>
      </c>
    </row>
    <row r="559" spans="1:8">
      <c r="A559">
        <v>231416</v>
      </c>
      <c r="B559" t="s">
        <v>566</v>
      </c>
      <c r="C559">
        <v>100</v>
      </c>
      <c r="D559">
        <v>95</v>
      </c>
      <c r="E559">
        <v>108</v>
      </c>
      <c r="F559">
        <v>85</v>
      </c>
      <c r="G559">
        <v>67</v>
      </c>
      <c r="H559">
        <v>77</v>
      </c>
    </row>
    <row r="560" spans="1:8">
      <c r="A560">
        <v>231417</v>
      </c>
      <c r="B560" t="s">
        <v>567</v>
      </c>
      <c r="C560">
        <v>102</v>
      </c>
      <c r="D560">
        <v>100</v>
      </c>
      <c r="E560">
        <v>112.5</v>
      </c>
      <c r="F560">
        <v>83</v>
      </c>
      <c r="G560">
        <v>77</v>
      </c>
      <c r="H560">
        <v>81</v>
      </c>
    </row>
    <row r="561" spans="1:8">
      <c r="A561">
        <v>231418</v>
      </c>
      <c r="B561" t="s">
        <v>568</v>
      </c>
      <c r="C561">
        <v>106</v>
      </c>
      <c r="D561">
        <v>112</v>
      </c>
      <c r="E561">
        <v>98.5</v>
      </c>
      <c r="F561">
        <v>89</v>
      </c>
      <c r="G561">
        <v>78</v>
      </c>
      <c r="H561">
        <v>80</v>
      </c>
    </row>
    <row r="562" spans="1:8">
      <c r="A562">
        <v>231419</v>
      </c>
      <c r="B562" t="s">
        <v>569</v>
      </c>
      <c r="C562">
        <v>104.5</v>
      </c>
      <c r="D562">
        <v>95</v>
      </c>
      <c r="E562">
        <v>117.5</v>
      </c>
      <c r="F562">
        <v>86</v>
      </c>
      <c r="G562">
        <v>87</v>
      </c>
      <c r="H562">
        <v>88</v>
      </c>
    </row>
    <row r="563" spans="1:8">
      <c r="A563">
        <v>231420</v>
      </c>
      <c r="B563" t="s">
        <v>570</v>
      </c>
      <c r="C563">
        <v>98</v>
      </c>
      <c r="D563">
        <v>95</v>
      </c>
      <c r="E563">
        <v>110</v>
      </c>
      <c r="F563">
        <v>77</v>
      </c>
      <c r="G563">
        <v>78</v>
      </c>
      <c r="H563">
        <v>87</v>
      </c>
    </row>
    <row r="564" spans="1:8">
      <c r="A564">
        <v>231421</v>
      </c>
      <c r="B564" t="s">
        <v>571</v>
      </c>
      <c r="C564">
        <v>97</v>
      </c>
      <c r="D564">
        <v>86</v>
      </c>
      <c r="E564">
        <v>109.5</v>
      </c>
      <c r="F564">
        <v>89</v>
      </c>
      <c r="G564">
        <v>78</v>
      </c>
      <c r="H564">
        <v>83</v>
      </c>
    </row>
    <row r="565" spans="1:8">
      <c r="A565">
        <v>231422</v>
      </c>
      <c r="B565" t="s">
        <v>572</v>
      </c>
      <c r="C565">
        <v>99</v>
      </c>
      <c r="D565">
        <v>105</v>
      </c>
      <c r="E565">
        <v>101.5</v>
      </c>
      <c r="F565">
        <v>84</v>
      </c>
      <c r="G565">
        <v>76</v>
      </c>
      <c r="H565">
        <v>85</v>
      </c>
    </row>
    <row r="566" spans="1:8">
      <c r="A566">
        <v>231423</v>
      </c>
      <c r="B566" t="s">
        <v>573</v>
      </c>
      <c r="C566">
        <v>100</v>
      </c>
      <c r="D566">
        <v>97</v>
      </c>
      <c r="E566">
        <v>113.5</v>
      </c>
      <c r="F566">
        <v>83</v>
      </c>
      <c r="G566">
        <v>78</v>
      </c>
      <c r="H566">
        <v>77</v>
      </c>
    </row>
    <row r="567" spans="1:8">
      <c r="A567">
        <v>231424</v>
      </c>
      <c r="B567" t="s">
        <v>574</v>
      </c>
      <c r="C567">
        <v>100.5</v>
      </c>
      <c r="D567">
        <v>89</v>
      </c>
      <c r="E567">
        <v>102</v>
      </c>
      <c r="F567">
        <v>75</v>
      </c>
      <c r="G567">
        <v>83</v>
      </c>
      <c r="H567">
        <v>76</v>
      </c>
    </row>
    <row r="568" spans="1:8">
      <c r="A568">
        <v>231425</v>
      </c>
      <c r="B568" t="s">
        <v>575</v>
      </c>
      <c r="C568">
        <v>106.5</v>
      </c>
      <c r="D568">
        <v>108</v>
      </c>
      <c r="E568">
        <v>112.5</v>
      </c>
      <c r="F568">
        <v>90</v>
      </c>
      <c r="G568">
        <v>85</v>
      </c>
      <c r="H568">
        <v>85</v>
      </c>
    </row>
    <row r="569" spans="1:8">
      <c r="A569">
        <v>231426</v>
      </c>
      <c r="B569" t="s">
        <v>576</v>
      </c>
      <c r="C569">
        <v>103</v>
      </c>
      <c r="D569">
        <v>117</v>
      </c>
      <c r="E569">
        <v>114.5</v>
      </c>
      <c r="F569">
        <v>86</v>
      </c>
      <c r="G569">
        <v>79</v>
      </c>
      <c r="H569">
        <v>81</v>
      </c>
    </row>
    <row r="570" spans="1:8">
      <c r="A570">
        <v>231427</v>
      </c>
      <c r="B570" t="s">
        <v>577</v>
      </c>
      <c r="C570">
        <v>89</v>
      </c>
      <c r="D570">
        <v>117</v>
      </c>
      <c r="E570">
        <v>105</v>
      </c>
      <c r="F570">
        <v>82</v>
      </c>
      <c r="G570">
        <v>82</v>
      </c>
      <c r="H570">
        <v>87</v>
      </c>
    </row>
    <row r="571" spans="1:8">
      <c r="A571">
        <v>231428</v>
      </c>
      <c r="B571" t="s">
        <v>578</v>
      </c>
      <c r="C571">
        <v>97</v>
      </c>
      <c r="D571">
        <v>92</v>
      </c>
      <c r="E571">
        <v>106</v>
      </c>
      <c r="F571">
        <v>80</v>
      </c>
      <c r="G571">
        <v>80</v>
      </c>
      <c r="H571">
        <v>77</v>
      </c>
    </row>
    <row r="572" spans="1:8">
      <c r="A572">
        <v>231429</v>
      </c>
      <c r="B572" t="s">
        <v>579</v>
      </c>
      <c r="C572">
        <v>99</v>
      </c>
      <c r="D572">
        <v>98</v>
      </c>
      <c r="E572">
        <v>110.5</v>
      </c>
      <c r="F572">
        <v>90</v>
      </c>
      <c r="G572">
        <v>81</v>
      </c>
      <c r="H572">
        <v>79</v>
      </c>
    </row>
    <row r="573" spans="1:8">
      <c r="A573">
        <v>231430</v>
      </c>
      <c r="B573" t="s">
        <v>580</v>
      </c>
      <c r="C573">
        <v>97.5</v>
      </c>
      <c r="D573">
        <v>84</v>
      </c>
      <c r="E573">
        <v>104</v>
      </c>
      <c r="F573">
        <v>84</v>
      </c>
      <c r="G573">
        <v>81</v>
      </c>
      <c r="H573">
        <v>80</v>
      </c>
    </row>
    <row r="574" spans="1:8">
      <c r="A574">
        <v>231431</v>
      </c>
      <c r="B574" t="s">
        <v>581</v>
      </c>
      <c r="C574">
        <v>110</v>
      </c>
      <c r="D574">
        <v>109</v>
      </c>
      <c r="E574">
        <v>107.5</v>
      </c>
      <c r="F574">
        <v>87</v>
      </c>
      <c r="G574">
        <v>78</v>
      </c>
      <c r="H574">
        <v>87</v>
      </c>
    </row>
    <row r="575" spans="1:8">
      <c r="A575">
        <v>231432</v>
      </c>
      <c r="B575" t="s">
        <v>582</v>
      </c>
      <c r="C575">
        <v>93</v>
      </c>
      <c r="D575">
        <v>97</v>
      </c>
      <c r="E575">
        <v>101</v>
      </c>
      <c r="F575">
        <v>85</v>
      </c>
      <c r="G575">
        <v>72</v>
      </c>
      <c r="H575">
        <v>75</v>
      </c>
    </row>
    <row r="576" spans="1:8">
      <c r="A576">
        <v>231433</v>
      </c>
      <c r="B576" t="s">
        <v>583</v>
      </c>
      <c r="C576">
        <v>111.5</v>
      </c>
      <c r="D576">
        <v>107</v>
      </c>
      <c r="E576">
        <v>112</v>
      </c>
      <c r="F576">
        <v>81</v>
      </c>
      <c r="G576">
        <v>85</v>
      </c>
      <c r="H576">
        <v>82</v>
      </c>
    </row>
    <row r="577" spans="1:8">
      <c r="A577">
        <v>231434</v>
      </c>
      <c r="B577" t="s">
        <v>584</v>
      </c>
      <c r="C577">
        <v>111</v>
      </c>
      <c r="D577">
        <v>98</v>
      </c>
      <c r="E577">
        <v>111.5</v>
      </c>
      <c r="F577">
        <v>87</v>
      </c>
      <c r="G577">
        <v>80</v>
      </c>
      <c r="H577">
        <v>78</v>
      </c>
    </row>
    <row r="578" spans="1:8">
      <c r="A578">
        <v>231435</v>
      </c>
      <c r="B578" t="s">
        <v>585</v>
      </c>
      <c r="C578">
        <v>96</v>
      </c>
      <c r="D578">
        <v>96</v>
      </c>
      <c r="E578">
        <v>109.5</v>
      </c>
      <c r="F578">
        <v>84</v>
      </c>
      <c r="G578">
        <v>82</v>
      </c>
      <c r="H578">
        <v>83</v>
      </c>
    </row>
    <row r="579" spans="1:8">
      <c r="A579">
        <v>231436</v>
      </c>
      <c r="B579" t="s">
        <v>586</v>
      </c>
      <c r="C579">
        <v>95</v>
      </c>
      <c r="D579">
        <v>99</v>
      </c>
      <c r="E579">
        <v>109</v>
      </c>
      <c r="F579">
        <v>89</v>
      </c>
      <c r="G579">
        <v>80</v>
      </c>
      <c r="H579">
        <v>80</v>
      </c>
    </row>
    <row r="580" spans="1:8">
      <c r="A580">
        <v>231438</v>
      </c>
      <c r="B580" t="s">
        <v>587</v>
      </c>
      <c r="C580">
        <v>108</v>
      </c>
      <c r="D580">
        <v>106</v>
      </c>
      <c r="E580">
        <v>112</v>
      </c>
      <c r="F580">
        <v>84</v>
      </c>
      <c r="G580">
        <v>78</v>
      </c>
      <c r="H580">
        <v>86</v>
      </c>
    </row>
    <row r="581" spans="1:8">
      <c r="A581">
        <v>231439</v>
      </c>
      <c r="B581" t="s">
        <v>588</v>
      </c>
      <c r="C581">
        <v>97.5</v>
      </c>
      <c r="D581">
        <v>99</v>
      </c>
      <c r="E581">
        <v>96.5</v>
      </c>
      <c r="F581">
        <v>78</v>
      </c>
      <c r="G581">
        <v>69</v>
      </c>
      <c r="H581">
        <v>72</v>
      </c>
    </row>
    <row r="582" spans="1:8">
      <c r="A582">
        <v>231440</v>
      </c>
      <c r="B582" t="s">
        <v>589</v>
      </c>
      <c r="C582">
        <v>79.5</v>
      </c>
      <c r="D582">
        <v>99</v>
      </c>
      <c r="E582">
        <v>93.5</v>
      </c>
      <c r="F582">
        <v>90</v>
      </c>
      <c r="G582">
        <v>78</v>
      </c>
      <c r="H582">
        <v>82</v>
      </c>
    </row>
    <row r="583" spans="1:8">
      <c r="A583">
        <v>231441</v>
      </c>
      <c r="B583" t="s">
        <v>590</v>
      </c>
      <c r="C583">
        <v>94</v>
      </c>
      <c r="D583">
        <v>99</v>
      </c>
      <c r="E583">
        <v>114</v>
      </c>
      <c r="F583">
        <v>83</v>
      </c>
      <c r="G583">
        <v>83</v>
      </c>
      <c r="H583">
        <v>85</v>
      </c>
    </row>
    <row r="584" spans="1:8">
      <c r="A584">
        <v>231442</v>
      </c>
      <c r="B584" t="s">
        <v>591</v>
      </c>
      <c r="C584">
        <v>101</v>
      </c>
      <c r="D584">
        <v>105</v>
      </c>
      <c r="E584">
        <v>108.5</v>
      </c>
      <c r="F584">
        <v>84</v>
      </c>
      <c r="G584">
        <v>77</v>
      </c>
      <c r="H584">
        <v>81</v>
      </c>
    </row>
    <row r="585" spans="1:8">
      <c r="A585">
        <v>231443</v>
      </c>
      <c r="B585" t="s">
        <v>592</v>
      </c>
      <c r="C585">
        <v>96</v>
      </c>
      <c r="D585">
        <v>110</v>
      </c>
      <c r="E585">
        <v>112</v>
      </c>
      <c r="F585">
        <v>82</v>
      </c>
      <c r="G585">
        <v>81</v>
      </c>
      <c r="H585">
        <v>84</v>
      </c>
    </row>
    <row r="586" spans="1:8">
      <c r="A586">
        <v>231444</v>
      </c>
      <c r="B586" t="s">
        <v>593</v>
      </c>
      <c r="C586">
        <v>106</v>
      </c>
      <c r="D586">
        <v>101</v>
      </c>
      <c r="E586">
        <v>113.5</v>
      </c>
      <c r="F586">
        <v>88</v>
      </c>
      <c r="G586">
        <v>76</v>
      </c>
      <c r="H586">
        <v>77</v>
      </c>
    </row>
    <row r="587" spans="1:8">
      <c r="A587">
        <v>231501</v>
      </c>
      <c r="B587" t="s">
        <v>594</v>
      </c>
      <c r="C587">
        <v>81.5</v>
      </c>
      <c r="D587">
        <v>111</v>
      </c>
      <c r="E587">
        <v>109</v>
      </c>
      <c r="F587">
        <v>85</v>
      </c>
      <c r="G587">
        <v>81</v>
      </c>
      <c r="H587">
        <v>80</v>
      </c>
    </row>
    <row r="588" spans="1:8">
      <c r="A588">
        <v>231502</v>
      </c>
      <c r="B588" t="s">
        <v>595</v>
      </c>
      <c r="C588">
        <v>100.5</v>
      </c>
      <c r="D588">
        <v>88</v>
      </c>
      <c r="E588">
        <v>93.5</v>
      </c>
      <c r="F588">
        <v>84</v>
      </c>
      <c r="G588">
        <v>81</v>
      </c>
      <c r="H588">
        <v>76</v>
      </c>
    </row>
    <row r="589" spans="1:8">
      <c r="A589">
        <v>231503</v>
      </c>
      <c r="B589" t="s">
        <v>596</v>
      </c>
      <c r="C589">
        <v>84</v>
      </c>
      <c r="D589">
        <v>92</v>
      </c>
      <c r="E589">
        <v>102.5</v>
      </c>
      <c r="F589">
        <v>85</v>
      </c>
      <c r="G589">
        <v>78</v>
      </c>
      <c r="H589">
        <v>75</v>
      </c>
    </row>
    <row r="590" spans="1:8">
      <c r="A590">
        <v>231504</v>
      </c>
      <c r="B590" t="s">
        <v>597</v>
      </c>
      <c r="C590">
        <v>104</v>
      </c>
      <c r="D590">
        <v>108</v>
      </c>
      <c r="E590">
        <v>112</v>
      </c>
      <c r="F590">
        <v>88</v>
      </c>
      <c r="G590">
        <v>83</v>
      </c>
      <c r="H590">
        <v>81</v>
      </c>
    </row>
    <row r="591" spans="1:8">
      <c r="A591">
        <v>231505</v>
      </c>
      <c r="B591" t="s">
        <v>598</v>
      </c>
      <c r="C591">
        <v>95</v>
      </c>
      <c r="D591">
        <v>103</v>
      </c>
      <c r="E591">
        <v>96.5</v>
      </c>
      <c r="F591">
        <v>86</v>
      </c>
      <c r="G591">
        <v>74</v>
      </c>
      <c r="H591">
        <v>78</v>
      </c>
    </row>
    <row r="592" spans="1:8">
      <c r="A592">
        <v>231506</v>
      </c>
      <c r="B592" t="s">
        <v>599</v>
      </c>
      <c r="C592">
        <v>92</v>
      </c>
      <c r="D592">
        <v>105</v>
      </c>
      <c r="E592">
        <v>104.5</v>
      </c>
      <c r="F592">
        <v>90</v>
      </c>
      <c r="G592">
        <v>78</v>
      </c>
      <c r="H592">
        <v>78</v>
      </c>
    </row>
    <row r="593" spans="1:8">
      <c r="A593">
        <v>231507</v>
      </c>
      <c r="B593" t="s">
        <v>600</v>
      </c>
      <c r="C593">
        <v>89</v>
      </c>
      <c r="D593">
        <v>96</v>
      </c>
      <c r="E593">
        <v>110</v>
      </c>
      <c r="F593">
        <v>82</v>
      </c>
      <c r="G593">
        <v>78</v>
      </c>
      <c r="H593">
        <v>83</v>
      </c>
    </row>
    <row r="594" spans="1:8">
      <c r="A594">
        <v>231508</v>
      </c>
      <c r="B594" t="s">
        <v>601</v>
      </c>
      <c r="C594">
        <v>93</v>
      </c>
      <c r="D594">
        <v>98</v>
      </c>
      <c r="E594">
        <v>113.5</v>
      </c>
      <c r="F594">
        <v>82</v>
      </c>
      <c r="G594">
        <v>78</v>
      </c>
      <c r="H594">
        <v>72</v>
      </c>
    </row>
    <row r="595" spans="1:8">
      <c r="A595">
        <v>231509</v>
      </c>
      <c r="B595" t="s">
        <v>602</v>
      </c>
      <c r="C595">
        <v>93</v>
      </c>
      <c r="D595">
        <v>87</v>
      </c>
      <c r="E595">
        <v>109.5</v>
      </c>
      <c r="F595">
        <v>83</v>
      </c>
      <c r="G595">
        <v>77</v>
      </c>
      <c r="H595">
        <v>67</v>
      </c>
    </row>
    <row r="596" spans="1:8">
      <c r="A596">
        <v>231510</v>
      </c>
      <c r="B596" t="s">
        <v>603</v>
      </c>
      <c r="C596">
        <v>98</v>
      </c>
      <c r="D596">
        <v>111</v>
      </c>
      <c r="E596">
        <v>103</v>
      </c>
      <c r="F596">
        <v>79</v>
      </c>
      <c r="G596">
        <v>85</v>
      </c>
      <c r="H596">
        <v>71</v>
      </c>
    </row>
    <row r="597" spans="1:8">
      <c r="A597">
        <v>231511</v>
      </c>
      <c r="B597" t="s">
        <v>604</v>
      </c>
      <c r="C597">
        <v>95</v>
      </c>
      <c r="D597">
        <v>95</v>
      </c>
      <c r="E597">
        <v>106.5</v>
      </c>
      <c r="F597">
        <v>87</v>
      </c>
      <c r="G597">
        <v>77</v>
      </c>
      <c r="H597">
        <v>82</v>
      </c>
    </row>
    <row r="598" spans="1:8">
      <c r="A598">
        <v>231512</v>
      </c>
      <c r="B598" t="s">
        <v>605</v>
      </c>
      <c r="C598">
        <v>106</v>
      </c>
      <c r="D598">
        <v>108</v>
      </c>
      <c r="E598">
        <v>107</v>
      </c>
      <c r="F598">
        <v>77</v>
      </c>
      <c r="G598">
        <v>74</v>
      </c>
      <c r="H598">
        <v>75</v>
      </c>
    </row>
    <row r="599" spans="1:8">
      <c r="A599">
        <v>231513</v>
      </c>
      <c r="B599" t="s">
        <v>606</v>
      </c>
      <c r="C599">
        <v>95</v>
      </c>
      <c r="D599">
        <v>102</v>
      </c>
      <c r="E599">
        <v>103</v>
      </c>
      <c r="F599">
        <v>82</v>
      </c>
      <c r="G599">
        <v>71</v>
      </c>
      <c r="H599">
        <v>86</v>
      </c>
    </row>
    <row r="600" spans="1:8">
      <c r="A600">
        <v>231514</v>
      </c>
      <c r="B600" t="s">
        <v>607</v>
      </c>
      <c r="C600">
        <v>90</v>
      </c>
      <c r="D600">
        <v>100</v>
      </c>
      <c r="E600">
        <v>114</v>
      </c>
      <c r="F600">
        <v>85</v>
      </c>
      <c r="G600">
        <v>77</v>
      </c>
      <c r="H600">
        <v>77</v>
      </c>
    </row>
    <row r="601" spans="1:8">
      <c r="A601">
        <v>231515</v>
      </c>
      <c r="B601" t="s">
        <v>608</v>
      </c>
      <c r="C601">
        <v>98.5</v>
      </c>
      <c r="D601">
        <v>108</v>
      </c>
      <c r="E601">
        <v>111</v>
      </c>
      <c r="F601">
        <v>84</v>
      </c>
      <c r="G601">
        <v>81</v>
      </c>
      <c r="H601">
        <v>87</v>
      </c>
    </row>
    <row r="602" spans="1:8">
      <c r="A602">
        <v>231516</v>
      </c>
      <c r="B602" t="s">
        <v>609</v>
      </c>
      <c r="C602">
        <v>91</v>
      </c>
      <c r="D602">
        <v>99</v>
      </c>
      <c r="E602">
        <v>111.5</v>
      </c>
      <c r="F602">
        <v>85</v>
      </c>
      <c r="G602">
        <v>67</v>
      </c>
      <c r="H602">
        <v>74</v>
      </c>
    </row>
    <row r="603" spans="1:8">
      <c r="A603">
        <v>231517</v>
      </c>
      <c r="B603" t="s">
        <v>610</v>
      </c>
      <c r="C603">
        <v>91</v>
      </c>
      <c r="D603">
        <v>119</v>
      </c>
      <c r="E603">
        <v>105</v>
      </c>
      <c r="F603">
        <v>85</v>
      </c>
      <c r="G603">
        <v>76</v>
      </c>
      <c r="H603">
        <v>81</v>
      </c>
    </row>
    <row r="604" spans="1:8">
      <c r="A604">
        <v>231518</v>
      </c>
      <c r="B604" t="s">
        <v>611</v>
      </c>
      <c r="C604">
        <v>93.5</v>
      </c>
      <c r="D604">
        <v>98</v>
      </c>
      <c r="E604">
        <v>111.5</v>
      </c>
      <c r="F604">
        <v>89</v>
      </c>
      <c r="G604">
        <v>78</v>
      </c>
      <c r="H604">
        <v>76</v>
      </c>
    </row>
    <row r="605" spans="1:8">
      <c r="A605">
        <v>231519</v>
      </c>
      <c r="B605" t="s">
        <v>612</v>
      </c>
      <c r="C605">
        <v>93</v>
      </c>
      <c r="D605">
        <v>104</v>
      </c>
      <c r="E605">
        <v>102.5</v>
      </c>
      <c r="F605">
        <v>85</v>
      </c>
      <c r="G605">
        <v>75</v>
      </c>
      <c r="H605">
        <v>77</v>
      </c>
    </row>
    <row r="606" spans="1:8">
      <c r="A606">
        <v>231520</v>
      </c>
      <c r="B606" t="s">
        <v>613</v>
      </c>
      <c r="C606">
        <v>107</v>
      </c>
      <c r="D606">
        <v>114</v>
      </c>
      <c r="E606">
        <v>117</v>
      </c>
      <c r="F606">
        <v>85</v>
      </c>
      <c r="G606">
        <v>86</v>
      </c>
      <c r="H606">
        <v>86</v>
      </c>
    </row>
    <row r="607" spans="1:8">
      <c r="A607">
        <v>231521</v>
      </c>
      <c r="B607" t="s">
        <v>614</v>
      </c>
      <c r="C607">
        <v>102</v>
      </c>
      <c r="D607">
        <v>114</v>
      </c>
      <c r="E607">
        <v>114.5</v>
      </c>
      <c r="F607">
        <v>89</v>
      </c>
      <c r="G607">
        <v>81</v>
      </c>
      <c r="H607">
        <v>86</v>
      </c>
    </row>
    <row r="608" spans="1:8">
      <c r="A608">
        <v>231522</v>
      </c>
      <c r="B608" t="s">
        <v>615</v>
      </c>
      <c r="C608">
        <v>101</v>
      </c>
      <c r="D608">
        <v>99</v>
      </c>
      <c r="E608">
        <v>107</v>
      </c>
      <c r="F608">
        <v>85</v>
      </c>
      <c r="G608">
        <v>86</v>
      </c>
      <c r="H608">
        <v>75</v>
      </c>
    </row>
    <row r="609" spans="1:8">
      <c r="A609">
        <v>231523</v>
      </c>
      <c r="B609" t="s">
        <v>616</v>
      </c>
      <c r="C609">
        <v>89.5</v>
      </c>
      <c r="D609">
        <v>109</v>
      </c>
      <c r="E609">
        <v>114</v>
      </c>
      <c r="F609">
        <v>81</v>
      </c>
      <c r="G609">
        <v>77</v>
      </c>
      <c r="H609">
        <v>66</v>
      </c>
    </row>
    <row r="610" spans="1:8">
      <c r="A610">
        <v>231524</v>
      </c>
      <c r="B610" t="s">
        <v>617</v>
      </c>
      <c r="C610">
        <v>96</v>
      </c>
      <c r="D610">
        <v>107</v>
      </c>
      <c r="E610">
        <v>105</v>
      </c>
      <c r="F610">
        <v>89</v>
      </c>
      <c r="G610">
        <v>80</v>
      </c>
      <c r="H610">
        <v>82</v>
      </c>
    </row>
    <row r="611" spans="1:8">
      <c r="A611">
        <v>231525</v>
      </c>
      <c r="B611" t="s">
        <v>618</v>
      </c>
      <c r="C611">
        <v>89.5</v>
      </c>
      <c r="D611">
        <v>103</v>
      </c>
      <c r="E611">
        <v>111</v>
      </c>
      <c r="F611">
        <v>88</v>
      </c>
      <c r="G611">
        <v>79</v>
      </c>
      <c r="H611">
        <v>87</v>
      </c>
    </row>
    <row r="612" spans="1:8">
      <c r="A612">
        <v>231526</v>
      </c>
      <c r="B612" t="s">
        <v>619</v>
      </c>
      <c r="C612">
        <v>106</v>
      </c>
      <c r="D612">
        <v>108</v>
      </c>
      <c r="E612">
        <v>105</v>
      </c>
      <c r="F612">
        <v>90</v>
      </c>
      <c r="G612">
        <v>80</v>
      </c>
      <c r="H612">
        <v>81</v>
      </c>
    </row>
    <row r="613" spans="1:8">
      <c r="A613">
        <v>231527</v>
      </c>
      <c r="B613" t="s">
        <v>620</v>
      </c>
      <c r="C613">
        <v>92</v>
      </c>
      <c r="D613">
        <v>118</v>
      </c>
      <c r="E613">
        <v>105.5</v>
      </c>
      <c r="F613">
        <v>89</v>
      </c>
      <c r="G613">
        <v>80</v>
      </c>
      <c r="H613">
        <v>81</v>
      </c>
    </row>
    <row r="614" spans="1:8">
      <c r="A614">
        <v>231528</v>
      </c>
      <c r="B614" t="s">
        <v>621</v>
      </c>
      <c r="C614">
        <v>98</v>
      </c>
      <c r="D614">
        <v>109</v>
      </c>
      <c r="E614">
        <v>108</v>
      </c>
      <c r="F614">
        <v>89</v>
      </c>
      <c r="G614">
        <v>80</v>
      </c>
      <c r="H614">
        <v>65</v>
      </c>
    </row>
    <row r="615" spans="1:8">
      <c r="A615">
        <v>231529</v>
      </c>
      <c r="B615" t="s">
        <v>622</v>
      </c>
      <c r="C615">
        <v>111</v>
      </c>
      <c r="D615">
        <v>107</v>
      </c>
      <c r="E615">
        <v>114</v>
      </c>
      <c r="F615">
        <v>85</v>
      </c>
      <c r="G615">
        <v>82</v>
      </c>
      <c r="H615">
        <v>88</v>
      </c>
    </row>
    <row r="616" spans="1:8">
      <c r="A616">
        <v>231530</v>
      </c>
      <c r="B616" t="s">
        <v>623</v>
      </c>
      <c r="C616">
        <v>103</v>
      </c>
      <c r="D616">
        <v>101</v>
      </c>
      <c r="E616">
        <v>100</v>
      </c>
      <c r="F616">
        <v>85</v>
      </c>
      <c r="G616">
        <v>74</v>
      </c>
      <c r="H616">
        <v>79</v>
      </c>
    </row>
    <row r="617" spans="1:8">
      <c r="A617">
        <v>231531</v>
      </c>
      <c r="B617" t="s">
        <v>624</v>
      </c>
      <c r="C617">
        <v>104</v>
      </c>
      <c r="D617">
        <v>113</v>
      </c>
      <c r="E617">
        <v>115</v>
      </c>
      <c r="F617">
        <v>89</v>
      </c>
      <c r="G617">
        <v>70</v>
      </c>
      <c r="H617">
        <v>80</v>
      </c>
    </row>
    <row r="618" spans="1:8">
      <c r="A618">
        <v>231532</v>
      </c>
      <c r="B618" t="s">
        <v>625</v>
      </c>
      <c r="C618">
        <v>93</v>
      </c>
      <c r="D618">
        <v>102</v>
      </c>
      <c r="E618">
        <v>110</v>
      </c>
      <c r="F618">
        <v>90</v>
      </c>
      <c r="G618">
        <v>81</v>
      </c>
      <c r="H618">
        <v>82</v>
      </c>
    </row>
    <row r="619" spans="1:8">
      <c r="A619">
        <v>231533</v>
      </c>
      <c r="B619" t="s">
        <v>626</v>
      </c>
      <c r="C619">
        <v>92</v>
      </c>
      <c r="D619">
        <v>104</v>
      </c>
      <c r="E619">
        <v>96</v>
      </c>
      <c r="F619">
        <v>83</v>
      </c>
      <c r="G619">
        <v>73</v>
      </c>
      <c r="H619">
        <v>80</v>
      </c>
    </row>
    <row r="620" spans="1:8">
      <c r="A620">
        <v>231534</v>
      </c>
      <c r="B620" t="s">
        <v>627</v>
      </c>
      <c r="C620">
        <v>95</v>
      </c>
      <c r="D620">
        <v>115</v>
      </c>
      <c r="E620">
        <v>111.5</v>
      </c>
      <c r="F620">
        <v>88</v>
      </c>
      <c r="G620">
        <v>79</v>
      </c>
      <c r="H620">
        <v>81</v>
      </c>
    </row>
    <row r="621" spans="1:8">
      <c r="A621">
        <v>231535</v>
      </c>
      <c r="B621" t="s">
        <v>628</v>
      </c>
      <c r="C621">
        <v>97</v>
      </c>
      <c r="D621">
        <v>113</v>
      </c>
      <c r="E621">
        <v>103</v>
      </c>
      <c r="F621">
        <v>82</v>
      </c>
      <c r="G621">
        <v>75</v>
      </c>
      <c r="H621">
        <v>85</v>
      </c>
    </row>
    <row r="622" spans="1:8">
      <c r="A622">
        <v>231536</v>
      </c>
      <c r="B622" t="s">
        <v>629</v>
      </c>
      <c r="C622">
        <v>104</v>
      </c>
      <c r="D622">
        <v>110</v>
      </c>
      <c r="E622">
        <v>114.5</v>
      </c>
      <c r="F622">
        <v>90</v>
      </c>
      <c r="G622">
        <v>87</v>
      </c>
      <c r="H622">
        <v>79</v>
      </c>
    </row>
    <row r="623" spans="1:8">
      <c r="A623">
        <v>231537</v>
      </c>
      <c r="B623" t="s">
        <v>630</v>
      </c>
      <c r="C623">
        <v>107</v>
      </c>
      <c r="D623">
        <v>96</v>
      </c>
      <c r="E623">
        <v>109</v>
      </c>
      <c r="F623">
        <v>87</v>
      </c>
      <c r="G623">
        <v>87</v>
      </c>
      <c r="H623">
        <v>84</v>
      </c>
    </row>
    <row r="624" spans="1:8">
      <c r="A624">
        <v>231538</v>
      </c>
      <c r="B624" t="s">
        <v>631</v>
      </c>
      <c r="C624">
        <v>111</v>
      </c>
      <c r="D624">
        <v>107</v>
      </c>
      <c r="E624">
        <v>110.5</v>
      </c>
      <c r="F624">
        <v>88</v>
      </c>
      <c r="G624">
        <v>83</v>
      </c>
      <c r="H624">
        <v>85</v>
      </c>
    </row>
    <row r="625" spans="1:8">
      <c r="A625">
        <v>231539</v>
      </c>
      <c r="B625" t="s">
        <v>632</v>
      </c>
      <c r="C625">
        <v>98</v>
      </c>
      <c r="D625">
        <v>100</v>
      </c>
      <c r="E625">
        <v>101</v>
      </c>
      <c r="F625">
        <v>78</v>
      </c>
      <c r="G625">
        <v>79</v>
      </c>
      <c r="H625">
        <v>79</v>
      </c>
    </row>
    <row r="626" spans="1:8">
      <c r="A626">
        <v>231540</v>
      </c>
      <c r="B626" t="s">
        <v>633</v>
      </c>
      <c r="C626">
        <v>97.5</v>
      </c>
      <c r="D626">
        <v>115</v>
      </c>
      <c r="E626">
        <v>109.5</v>
      </c>
      <c r="F626">
        <v>89</v>
      </c>
      <c r="G626">
        <v>72</v>
      </c>
      <c r="H626">
        <v>74</v>
      </c>
    </row>
    <row r="627" spans="1:8">
      <c r="A627">
        <v>231541</v>
      </c>
      <c r="B627" t="s">
        <v>634</v>
      </c>
      <c r="C627">
        <v>90</v>
      </c>
      <c r="D627">
        <v>106</v>
      </c>
      <c r="E627">
        <v>114.5</v>
      </c>
      <c r="F627">
        <v>86</v>
      </c>
      <c r="G627">
        <v>79</v>
      </c>
      <c r="H627">
        <v>78</v>
      </c>
    </row>
    <row r="628" spans="1:8">
      <c r="A628">
        <v>231542</v>
      </c>
      <c r="B628" t="s">
        <v>635</v>
      </c>
      <c r="C628">
        <v>102</v>
      </c>
      <c r="D628">
        <v>116</v>
      </c>
      <c r="E628">
        <v>119</v>
      </c>
      <c r="F628">
        <v>85</v>
      </c>
      <c r="G628">
        <v>88</v>
      </c>
      <c r="H628">
        <v>88</v>
      </c>
    </row>
    <row r="629" spans="1:8">
      <c r="A629">
        <v>231543</v>
      </c>
      <c r="B629" t="s">
        <v>636</v>
      </c>
      <c r="C629">
        <v>88</v>
      </c>
      <c r="D629">
        <v>100</v>
      </c>
      <c r="E629">
        <v>94.5</v>
      </c>
      <c r="F629">
        <v>84</v>
      </c>
      <c r="G629">
        <v>68</v>
      </c>
      <c r="H629">
        <v>78</v>
      </c>
    </row>
    <row r="630" spans="1:8">
      <c r="A630">
        <v>231544</v>
      </c>
      <c r="B630" t="s">
        <v>637</v>
      </c>
      <c r="C630">
        <v>95.5</v>
      </c>
      <c r="D630">
        <v>103</v>
      </c>
      <c r="E630">
        <v>110</v>
      </c>
      <c r="F630">
        <v>84</v>
      </c>
      <c r="G630">
        <v>81</v>
      </c>
      <c r="H630">
        <v>79</v>
      </c>
    </row>
    <row r="631" spans="1:8">
      <c r="A631">
        <v>231545</v>
      </c>
      <c r="B631" t="s">
        <v>638</v>
      </c>
      <c r="C631">
        <v>97</v>
      </c>
      <c r="D631">
        <v>116</v>
      </c>
      <c r="E631">
        <v>107</v>
      </c>
      <c r="F631">
        <v>90</v>
      </c>
      <c r="G631">
        <v>77</v>
      </c>
      <c r="H631">
        <v>85</v>
      </c>
    </row>
    <row r="632" spans="1:8">
      <c r="A632">
        <v>231601</v>
      </c>
      <c r="B632" t="s">
        <v>639</v>
      </c>
      <c r="C632">
        <v>87</v>
      </c>
      <c r="D632">
        <v>99</v>
      </c>
      <c r="E632">
        <v>109.5</v>
      </c>
      <c r="F632">
        <v>85</v>
      </c>
      <c r="G632">
        <v>78</v>
      </c>
      <c r="H632">
        <v>75</v>
      </c>
    </row>
    <row r="633" spans="1:8">
      <c r="A633">
        <v>231602</v>
      </c>
      <c r="B633" t="s">
        <v>640</v>
      </c>
      <c r="C633">
        <v>100</v>
      </c>
      <c r="D633">
        <v>96</v>
      </c>
      <c r="E633">
        <v>108</v>
      </c>
      <c r="F633">
        <v>89</v>
      </c>
      <c r="G633">
        <v>82</v>
      </c>
      <c r="H633">
        <v>78</v>
      </c>
    </row>
    <row r="634" spans="1:8">
      <c r="A634">
        <v>231603</v>
      </c>
      <c r="B634" t="s">
        <v>641</v>
      </c>
      <c r="C634">
        <v>97</v>
      </c>
      <c r="D634">
        <v>108</v>
      </c>
      <c r="E634">
        <v>107</v>
      </c>
      <c r="F634">
        <v>84</v>
      </c>
      <c r="G634">
        <v>74</v>
      </c>
      <c r="H634">
        <v>82</v>
      </c>
    </row>
    <row r="635" spans="1:8">
      <c r="A635">
        <v>231604</v>
      </c>
      <c r="B635" t="s">
        <v>642</v>
      </c>
      <c r="C635">
        <v>103</v>
      </c>
      <c r="D635">
        <v>109</v>
      </c>
      <c r="E635">
        <v>106</v>
      </c>
      <c r="F635">
        <v>86</v>
      </c>
      <c r="G635">
        <v>77</v>
      </c>
      <c r="H635">
        <v>82</v>
      </c>
    </row>
    <row r="636" spans="1:8">
      <c r="A636">
        <v>231605</v>
      </c>
      <c r="B636" t="s">
        <v>643</v>
      </c>
      <c r="C636">
        <v>86</v>
      </c>
      <c r="D636">
        <v>97</v>
      </c>
      <c r="E636">
        <v>106</v>
      </c>
      <c r="F636">
        <v>78</v>
      </c>
      <c r="G636">
        <v>70</v>
      </c>
      <c r="H636">
        <v>72</v>
      </c>
    </row>
    <row r="637" spans="1:8">
      <c r="A637">
        <v>231606</v>
      </c>
      <c r="B637" t="s">
        <v>644</v>
      </c>
      <c r="C637">
        <v>101</v>
      </c>
      <c r="D637">
        <v>106</v>
      </c>
      <c r="E637">
        <v>113.5</v>
      </c>
      <c r="F637">
        <v>89</v>
      </c>
      <c r="G637">
        <v>79</v>
      </c>
      <c r="H637">
        <v>80</v>
      </c>
    </row>
    <row r="638" spans="1:8">
      <c r="A638">
        <v>231607</v>
      </c>
      <c r="B638" t="s">
        <v>645</v>
      </c>
      <c r="C638">
        <v>87</v>
      </c>
      <c r="D638">
        <v>98</v>
      </c>
      <c r="E638">
        <v>112</v>
      </c>
      <c r="F638">
        <v>84</v>
      </c>
      <c r="G638">
        <v>77</v>
      </c>
      <c r="H638">
        <v>79</v>
      </c>
    </row>
    <row r="639" spans="1:8">
      <c r="A639">
        <v>231608</v>
      </c>
      <c r="B639" t="s">
        <v>646</v>
      </c>
      <c r="C639">
        <v>100</v>
      </c>
      <c r="D639">
        <v>104</v>
      </c>
      <c r="E639">
        <v>111</v>
      </c>
      <c r="F639">
        <v>89</v>
      </c>
      <c r="G639">
        <v>79</v>
      </c>
      <c r="H639">
        <v>74</v>
      </c>
    </row>
    <row r="640" spans="1:8">
      <c r="A640">
        <v>231609</v>
      </c>
      <c r="B640" t="s">
        <v>647</v>
      </c>
      <c r="C640">
        <v>97</v>
      </c>
      <c r="D640">
        <v>97</v>
      </c>
      <c r="E640">
        <v>108.5</v>
      </c>
      <c r="F640">
        <v>77</v>
      </c>
      <c r="G640">
        <v>83</v>
      </c>
      <c r="H640">
        <v>83</v>
      </c>
    </row>
    <row r="641" spans="1:8">
      <c r="A641">
        <v>231610</v>
      </c>
      <c r="B641" t="s">
        <v>648</v>
      </c>
      <c r="C641">
        <v>91</v>
      </c>
      <c r="D641">
        <v>91</v>
      </c>
      <c r="E641">
        <v>110.5</v>
      </c>
      <c r="F641">
        <v>84</v>
      </c>
      <c r="G641">
        <v>77</v>
      </c>
      <c r="H641">
        <v>76</v>
      </c>
    </row>
    <row r="642" spans="1:8">
      <c r="A642">
        <v>231611</v>
      </c>
      <c r="B642" t="s">
        <v>649</v>
      </c>
      <c r="C642">
        <v>91</v>
      </c>
      <c r="D642">
        <v>101</v>
      </c>
      <c r="E642">
        <v>100</v>
      </c>
      <c r="F642">
        <v>82</v>
      </c>
      <c r="G642">
        <v>75</v>
      </c>
      <c r="H642">
        <v>69</v>
      </c>
    </row>
    <row r="643" spans="1:8">
      <c r="A643">
        <v>231612</v>
      </c>
      <c r="B643" t="s">
        <v>650</v>
      </c>
      <c r="C643">
        <v>87</v>
      </c>
      <c r="D643">
        <v>88</v>
      </c>
      <c r="E643">
        <v>107.5</v>
      </c>
      <c r="F643">
        <v>84</v>
      </c>
      <c r="G643">
        <v>77</v>
      </c>
      <c r="H643">
        <v>71</v>
      </c>
    </row>
    <row r="644" spans="1:8">
      <c r="A644">
        <v>231613</v>
      </c>
      <c r="B644" t="s">
        <v>651</v>
      </c>
      <c r="C644">
        <v>102</v>
      </c>
      <c r="D644">
        <v>111</v>
      </c>
      <c r="E644">
        <v>113</v>
      </c>
      <c r="F644">
        <v>90</v>
      </c>
      <c r="G644">
        <v>82</v>
      </c>
      <c r="H644">
        <v>83</v>
      </c>
    </row>
    <row r="645" spans="1:8">
      <c r="A645">
        <v>231614</v>
      </c>
      <c r="B645" t="s">
        <v>652</v>
      </c>
      <c r="C645">
        <v>109</v>
      </c>
      <c r="D645">
        <v>120</v>
      </c>
      <c r="E645">
        <v>103</v>
      </c>
      <c r="F645">
        <v>88</v>
      </c>
      <c r="G645">
        <v>80</v>
      </c>
      <c r="H645">
        <v>80</v>
      </c>
    </row>
    <row r="646" spans="1:8">
      <c r="A646">
        <v>231615</v>
      </c>
      <c r="B646" t="s">
        <v>653</v>
      </c>
      <c r="C646">
        <v>92</v>
      </c>
      <c r="D646">
        <v>100</v>
      </c>
      <c r="E646">
        <v>111</v>
      </c>
      <c r="F646">
        <v>85</v>
      </c>
      <c r="G646">
        <v>86</v>
      </c>
      <c r="H646">
        <v>78</v>
      </c>
    </row>
    <row r="647" spans="1:8">
      <c r="A647">
        <v>231616</v>
      </c>
      <c r="B647" t="s">
        <v>654</v>
      </c>
      <c r="C647">
        <v>103</v>
      </c>
      <c r="D647">
        <v>106</v>
      </c>
      <c r="E647">
        <v>92</v>
      </c>
      <c r="F647">
        <v>86</v>
      </c>
      <c r="G647">
        <v>75</v>
      </c>
      <c r="H647">
        <v>78</v>
      </c>
    </row>
    <row r="648" spans="1:8">
      <c r="A648">
        <v>231617</v>
      </c>
      <c r="B648" t="s">
        <v>655</v>
      </c>
      <c r="C648">
        <v>97</v>
      </c>
      <c r="D648">
        <v>93</v>
      </c>
      <c r="E648">
        <v>109.5</v>
      </c>
      <c r="F648">
        <v>75</v>
      </c>
      <c r="G648">
        <v>81</v>
      </c>
      <c r="H648">
        <v>80</v>
      </c>
    </row>
    <row r="649" spans="1:8">
      <c r="A649">
        <v>231618</v>
      </c>
      <c r="B649" t="s">
        <v>656</v>
      </c>
      <c r="C649">
        <v>93</v>
      </c>
      <c r="D649">
        <v>92</v>
      </c>
      <c r="E649">
        <v>110.5</v>
      </c>
      <c r="F649">
        <v>82</v>
      </c>
      <c r="G649">
        <v>78</v>
      </c>
      <c r="H649">
        <v>73</v>
      </c>
    </row>
    <row r="650" spans="1:8">
      <c r="A650">
        <v>231619</v>
      </c>
      <c r="B650" t="s">
        <v>657</v>
      </c>
      <c r="C650">
        <v>99</v>
      </c>
      <c r="D650">
        <v>101</v>
      </c>
      <c r="E650">
        <v>113</v>
      </c>
      <c r="F650">
        <v>87</v>
      </c>
      <c r="G650">
        <v>84</v>
      </c>
      <c r="H650">
        <v>83</v>
      </c>
    </row>
    <row r="651" spans="1:8">
      <c r="A651">
        <v>231620</v>
      </c>
      <c r="B651" t="s">
        <v>658</v>
      </c>
      <c r="C651">
        <v>99</v>
      </c>
      <c r="D651">
        <v>104</v>
      </c>
      <c r="E651">
        <v>105</v>
      </c>
      <c r="F651">
        <v>90</v>
      </c>
      <c r="G651">
        <v>77</v>
      </c>
      <c r="H651">
        <v>78</v>
      </c>
    </row>
    <row r="652" spans="1:8">
      <c r="A652">
        <v>231621</v>
      </c>
      <c r="B652" t="s">
        <v>659</v>
      </c>
      <c r="C652">
        <v>92.5</v>
      </c>
      <c r="D652">
        <v>98</v>
      </c>
      <c r="E652">
        <v>106.5</v>
      </c>
      <c r="F652">
        <v>88</v>
      </c>
      <c r="G652">
        <v>79</v>
      </c>
      <c r="H652">
        <v>89</v>
      </c>
    </row>
    <row r="653" spans="1:8">
      <c r="A653">
        <v>231622</v>
      </c>
      <c r="B653" t="s">
        <v>660</v>
      </c>
      <c r="C653">
        <v>98</v>
      </c>
      <c r="D653">
        <v>94</v>
      </c>
      <c r="E653">
        <v>113</v>
      </c>
      <c r="F653">
        <v>80</v>
      </c>
      <c r="G653">
        <v>76</v>
      </c>
      <c r="H653">
        <v>81</v>
      </c>
    </row>
    <row r="654" spans="1:8">
      <c r="A654">
        <v>231623</v>
      </c>
      <c r="B654" t="s">
        <v>661</v>
      </c>
      <c r="C654">
        <v>102</v>
      </c>
      <c r="D654">
        <v>120</v>
      </c>
      <c r="E654">
        <v>106.5</v>
      </c>
      <c r="F654">
        <v>90</v>
      </c>
      <c r="G654">
        <v>79</v>
      </c>
      <c r="H654">
        <v>89</v>
      </c>
    </row>
    <row r="655" spans="1:8">
      <c r="A655">
        <v>231624</v>
      </c>
      <c r="B655" t="s">
        <v>662</v>
      </c>
      <c r="C655">
        <v>102</v>
      </c>
      <c r="D655">
        <v>101</v>
      </c>
      <c r="E655">
        <v>110.5</v>
      </c>
      <c r="F655">
        <v>88</v>
      </c>
      <c r="G655">
        <v>76</v>
      </c>
      <c r="H655">
        <v>81</v>
      </c>
    </row>
    <row r="656" spans="1:8">
      <c r="A656">
        <v>231625</v>
      </c>
      <c r="B656" t="s">
        <v>663</v>
      </c>
      <c r="C656">
        <v>102.5</v>
      </c>
      <c r="D656">
        <v>107</v>
      </c>
      <c r="E656">
        <v>110.5</v>
      </c>
      <c r="F656">
        <v>87</v>
      </c>
      <c r="G656">
        <v>80</v>
      </c>
      <c r="H656">
        <v>86</v>
      </c>
    </row>
    <row r="657" spans="1:8">
      <c r="A657">
        <v>231626</v>
      </c>
      <c r="B657" t="s">
        <v>664</v>
      </c>
      <c r="C657">
        <v>118.5</v>
      </c>
      <c r="D657">
        <v>104</v>
      </c>
      <c r="E657">
        <v>113</v>
      </c>
      <c r="F657">
        <v>87</v>
      </c>
      <c r="G657">
        <v>81</v>
      </c>
      <c r="H657">
        <v>87</v>
      </c>
    </row>
    <row r="658" spans="1:8">
      <c r="A658">
        <v>231627</v>
      </c>
      <c r="B658" t="s">
        <v>665</v>
      </c>
      <c r="C658">
        <v>94</v>
      </c>
      <c r="D658">
        <v>106</v>
      </c>
      <c r="E658">
        <v>108</v>
      </c>
      <c r="F658">
        <v>88</v>
      </c>
      <c r="G658">
        <v>81</v>
      </c>
      <c r="H658">
        <v>70</v>
      </c>
    </row>
    <row r="659" spans="1:8">
      <c r="A659">
        <v>231629</v>
      </c>
      <c r="B659" t="s">
        <v>666</v>
      </c>
      <c r="C659">
        <v>95</v>
      </c>
      <c r="D659">
        <v>94</v>
      </c>
      <c r="E659">
        <v>107</v>
      </c>
      <c r="F659">
        <v>88</v>
      </c>
      <c r="G659">
        <v>75</v>
      </c>
      <c r="H659">
        <v>75</v>
      </c>
    </row>
    <row r="660" spans="1:8">
      <c r="A660">
        <v>231630</v>
      </c>
      <c r="B660" t="s">
        <v>667</v>
      </c>
      <c r="C660">
        <v>106</v>
      </c>
      <c r="D660">
        <v>98</v>
      </c>
      <c r="E660">
        <v>112.5</v>
      </c>
      <c r="F660">
        <v>90</v>
      </c>
      <c r="G660">
        <v>74</v>
      </c>
      <c r="H660">
        <v>78</v>
      </c>
    </row>
    <row r="661" spans="1:8">
      <c r="A661">
        <v>231631</v>
      </c>
      <c r="B661" t="s">
        <v>668</v>
      </c>
      <c r="C661">
        <v>97</v>
      </c>
      <c r="D661">
        <v>98</v>
      </c>
      <c r="E661">
        <v>110</v>
      </c>
      <c r="F661">
        <v>79</v>
      </c>
      <c r="G661">
        <v>80</v>
      </c>
      <c r="H661">
        <v>77</v>
      </c>
    </row>
    <row r="662" spans="1:8">
      <c r="A662">
        <v>231632</v>
      </c>
      <c r="B662" t="s">
        <v>669</v>
      </c>
      <c r="C662">
        <v>81</v>
      </c>
      <c r="D662">
        <v>63</v>
      </c>
      <c r="E662">
        <v>65.5</v>
      </c>
      <c r="F662">
        <v>63</v>
      </c>
      <c r="G662">
        <v>63</v>
      </c>
      <c r="H662">
        <v>49</v>
      </c>
    </row>
    <row r="663" spans="1:8">
      <c r="A663">
        <v>231633</v>
      </c>
      <c r="B663" t="s">
        <v>670</v>
      </c>
      <c r="C663">
        <v>104</v>
      </c>
      <c r="D663">
        <v>95</v>
      </c>
      <c r="E663">
        <v>104.5</v>
      </c>
      <c r="F663">
        <v>88</v>
      </c>
      <c r="G663">
        <v>82</v>
      </c>
      <c r="H663">
        <v>85</v>
      </c>
    </row>
    <row r="664" spans="1:8">
      <c r="A664">
        <v>231634</v>
      </c>
      <c r="B664" t="s">
        <v>671</v>
      </c>
      <c r="C664">
        <v>103</v>
      </c>
      <c r="D664">
        <v>102</v>
      </c>
      <c r="E664">
        <v>102</v>
      </c>
      <c r="F664">
        <v>84</v>
      </c>
      <c r="G664">
        <v>80</v>
      </c>
      <c r="H664">
        <v>74</v>
      </c>
    </row>
    <row r="665" spans="1:8">
      <c r="A665">
        <v>231635</v>
      </c>
      <c r="B665" t="s">
        <v>672</v>
      </c>
      <c r="C665">
        <v>93</v>
      </c>
      <c r="D665">
        <v>103</v>
      </c>
      <c r="E665">
        <v>115</v>
      </c>
      <c r="F665">
        <v>86</v>
      </c>
      <c r="G665">
        <v>79</v>
      </c>
      <c r="H665">
        <v>77</v>
      </c>
    </row>
    <row r="666" spans="1:8">
      <c r="A666">
        <v>231636</v>
      </c>
      <c r="B666" t="s">
        <v>673</v>
      </c>
      <c r="C666">
        <v>103</v>
      </c>
      <c r="D666">
        <v>105</v>
      </c>
      <c r="E666">
        <v>108</v>
      </c>
      <c r="F666">
        <v>84</v>
      </c>
      <c r="G666">
        <v>81</v>
      </c>
      <c r="H666">
        <v>82</v>
      </c>
    </row>
    <row r="667" spans="1:8">
      <c r="A667">
        <v>231637</v>
      </c>
      <c r="B667" t="s">
        <v>674</v>
      </c>
      <c r="C667">
        <v>95</v>
      </c>
      <c r="D667">
        <v>103</v>
      </c>
      <c r="E667">
        <v>111</v>
      </c>
      <c r="F667">
        <v>89</v>
      </c>
      <c r="G667">
        <v>77</v>
      </c>
      <c r="H667">
        <v>82</v>
      </c>
    </row>
    <row r="668" spans="1:8">
      <c r="A668">
        <v>231638</v>
      </c>
      <c r="B668" t="s">
        <v>675</v>
      </c>
      <c r="C668">
        <v>104</v>
      </c>
      <c r="D668">
        <v>110</v>
      </c>
      <c r="E668">
        <v>117</v>
      </c>
      <c r="F668">
        <v>89</v>
      </c>
      <c r="G668">
        <v>79</v>
      </c>
      <c r="H668">
        <v>77</v>
      </c>
    </row>
    <row r="669" spans="1:8">
      <c r="A669">
        <v>231639</v>
      </c>
      <c r="B669" t="s">
        <v>676</v>
      </c>
      <c r="C669">
        <v>107</v>
      </c>
      <c r="D669">
        <v>119</v>
      </c>
      <c r="E669">
        <v>114</v>
      </c>
      <c r="F669">
        <v>90</v>
      </c>
      <c r="G669">
        <v>78</v>
      </c>
      <c r="H669">
        <v>84</v>
      </c>
    </row>
    <row r="670" spans="1:8">
      <c r="A670">
        <v>231640</v>
      </c>
      <c r="B670" t="s">
        <v>677</v>
      </c>
      <c r="C670">
        <v>102</v>
      </c>
      <c r="D670">
        <v>108</v>
      </c>
      <c r="E670">
        <v>94</v>
      </c>
      <c r="F670">
        <v>88</v>
      </c>
      <c r="G670">
        <v>82</v>
      </c>
      <c r="H670">
        <v>83</v>
      </c>
    </row>
    <row r="671" spans="1:8">
      <c r="A671">
        <v>231641</v>
      </c>
      <c r="B671" t="s">
        <v>678</v>
      </c>
      <c r="C671" t="e">
        <v>#N/A</v>
      </c>
      <c r="D671" t="e">
        <v>#N/A</v>
      </c>
      <c r="E671" t="e">
        <v>#N/A</v>
      </c>
      <c r="F671" t="e">
        <v>#N/A</v>
      </c>
      <c r="G671" t="e">
        <v>#N/A</v>
      </c>
      <c r="H671" t="e">
        <v>#N/A</v>
      </c>
    </row>
    <row r="672" spans="1:8">
      <c r="A672">
        <v>231701</v>
      </c>
      <c r="B672" t="s">
        <v>679</v>
      </c>
      <c r="C672">
        <v>99</v>
      </c>
      <c r="D672">
        <v>101</v>
      </c>
      <c r="E672">
        <v>110</v>
      </c>
      <c r="F672">
        <v>83</v>
      </c>
      <c r="G672">
        <v>72</v>
      </c>
      <c r="H672">
        <v>73</v>
      </c>
    </row>
    <row r="673" spans="1:8">
      <c r="A673">
        <v>231702</v>
      </c>
      <c r="B673" t="s">
        <v>680</v>
      </c>
      <c r="C673">
        <v>90</v>
      </c>
      <c r="D673">
        <v>89</v>
      </c>
      <c r="E673">
        <v>110.5</v>
      </c>
      <c r="F673">
        <v>83</v>
      </c>
      <c r="G673">
        <v>79</v>
      </c>
      <c r="H673">
        <v>85</v>
      </c>
    </row>
    <row r="674" spans="1:8">
      <c r="A674">
        <v>231703</v>
      </c>
      <c r="B674" t="s">
        <v>681</v>
      </c>
      <c r="C674">
        <v>97</v>
      </c>
      <c r="D674">
        <v>93</v>
      </c>
      <c r="E674">
        <v>109.5</v>
      </c>
      <c r="F674">
        <v>87</v>
      </c>
      <c r="G674">
        <v>86</v>
      </c>
      <c r="H674">
        <v>81</v>
      </c>
    </row>
    <row r="675" spans="1:8">
      <c r="A675">
        <v>231705</v>
      </c>
      <c r="B675" t="s">
        <v>682</v>
      </c>
      <c r="C675">
        <v>106</v>
      </c>
      <c r="D675">
        <v>101</v>
      </c>
      <c r="E675">
        <v>118</v>
      </c>
      <c r="F675">
        <v>86</v>
      </c>
      <c r="G675">
        <v>75</v>
      </c>
      <c r="H675">
        <v>81</v>
      </c>
    </row>
    <row r="676" spans="1:8">
      <c r="A676">
        <v>231706</v>
      </c>
      <c r="B676" t="s">
        <v>683</v>
      </c>
      <c r="C676">
        <v>99.5</v>
      </c>
      <c r="D676">
        <v>110</v>
      </c>
      <c r="E676">
        <v>115.5</v>
      </c>
      <c r="F676">
        <v>89</v>
      </c>
      <c r="G676">
        <v>82</v>
      </c>
      <c r="H676">
        <v>87</v>
      </c>
    </row>
    <row r="677" spans="1:8">
      <c r="A677">
        <v>231707</v>
      </c>
      <c r="B677" t="s">
        <v>684</v>
      </c>
      <c r="C677">
        <v>100</v>
      </c>
      <c r="D677">
        <v>102</v>
      </c>
      <c r="E677">
        <v>98</v>
      </c>
      <c r="F677">
        <v>86</v>
      </c>
      <c r="G677">
        <v>74</v>
      </c>
      <c r="H677">
        <v>81</v>
      </c>
    </row>
    <row r="678" spans="1:8">
      <c r="A678">
        <v>231708</v>
      </c>
      <c r="B678" t="s">
        <v>685</v>
      </c>
      <c r="C678">
        <v>94</v>
      </c>
      <c r="D678">
        <v>95</v>
      </c>
      <c r="E678">
        <v>112</v>
      </c>
      <c r="F678">
        <v>89</v>
      </c>
      <c r="G678">
        <v>79</v>
      </c>
      <c r="H678">
        <v>83</v>
      </c>
    </row>
    <row r="679" spans="1:8">
      <c r="A679">
        <v>231709</v>
      </c>
      <c r="B679" t="s">
        <v>686</v>
      </c>
      <c r="C679">
        <v>108</v>
      </c>
      <c r="D679">
        <v>90</v>
      </c>
      <c r="E679">
        <v>114</v>
      </c>
      <c r="F679">
        <v>77</v>
      </c>
      <c r="G679">
        <v>76</v>
      </c>
      <c r="H679">
        <v>80</v>
      </c>
    </row>
    <row r="680" spans="1:8">
      <c r="A680">
        <v>231710</v>
      </c>
      <c r="B680" t="s">
        <v>687</v>
      </c>
      <c r="C680">
        <v>101</v>
      </c>
      <c r="D680">
        <v>93</v>
      </c>
      <c r="E680">
        <v>112</v>
      </c>
      <c r="F680">
        <v>84</v>
      </c>
      <c r="G680">
        <v>74</v>
      </c>
      <c r="H680">
        <v>78</v>
      </c>
    </row>
    <row r="681" spans="1:8">
      <c r="A681">
        <v>231711</v>
      </c>
      <c r="B681" t="s">
        <v>688</v>
      </c>
      <c r="C681">
        <v>96</v>
      </c>
      <c r="D681">
        <v>95</v>
      </c>
      <c r="E681">
        <v>105.5</v>
      </c>
      <c r="F681">
        <v>80</v>
      </c>
      <c r="G681">
        <v>75</v>
      </c>
      <c r="H681">
        <v>85</v>
      </c>
    </row>
    <row r="682" spans="1:8">
      <c r="A682">
        <v>231712</v>
      </c>
      <c r="B682" t="s">
        <v>689</v>
      </c>
      <c r="C682">
        <v>103.5</v>
      </c>
      <c r="D682">
        <v>109</v>
      </c>
      <c r="E682">
        <v>115</v>
      </c>
      <c r="F682">
        <v>88</v>
      </c>
      <c r="G682">
        <v>78</v>
      </c>
      <c r="H682">
        <v>82</v>
      </c>
    </row>
    <row r="683" spans="1:8">
      <c r="A683">
        <v>231713</v>
      </c>
      <c r="B683" t="s">
        <v>690</v>
      </c>
      <c r="C683">
        <v>108</v>
      </c>
      <c r="D683">
        <v>101</v>
      </c>
      <c r="E683">
        <v>109.5</v>
      </c>
      <c r="F683">
        <v>85</v>
      </c>
      <c r="G683">
        <v>81</v>
      </c>
      <c r="H683">
        <v>84</v>
      </c>
    </row>
    <row r="684" spans="1:8">
      <c r="A684">
        <v>231714</v>
      </c>
      <c r="B684" t="s">
        <v>691</v>
      </c>
      <c r="C684">
        <v>93.5</v>
      </c>
      <c r="D684">
        <v>80</v>
      </c>
      <c r="E684">
        <v>112</v>
      </c>
      <c r="F684">
        <v>89</v>
      </c>
      <c r="G684">
        <v>67</v>
      </c>
      <c r="H684">
        <v>73</v>
      </c>
    </row>
    <row r="685" spans="1:8">
      <c r="A685">
        <v>231715</v>
      </c>
      <c r="B685" t="s">
        <v>692</v>
      </c>
      <c r="C685">
        <v>96</v>
      </c>
      <c r="D685">
        <v>89</v>
      </c>
      <c r="E685">
        <v>91.5</v>
      </c>
      <c r="F685">
        <v>83</v>
      </c>
      <c r="G685">
        <v>77</v>
      </c>
      <c r="H685">
        <v>76</v>
      </c>
    </row>
    <row r="686" spans="1:8">
      <c r="A686">
        <v>231716</v>
      </c>
      <c r="B686" t="s">
        <v>693</v>
      </c>
      <c r="C686">
        <v>97.5</v>
      </c>
      <c r="D686">
        <v>99</v>
      </c>
      <c r="E686">
        <v>103</v>
      </c>
      <c r="F686">
        <v>89</v>
      </c>
      <c r="G686">
        <v>73</v>
      </c>
      <c r="H686">
        <v>79</v>
      </c>
    </row>
    <row r="687" spans="1:8">
      <c r="A687">
        <v>231717</v>
      </c>
      <c r="B687" t="s">
        <v>694</v>
      </c>
      <c r="C687">
        <v>96</v>
      </c>
      <c r="D687">
        <v>108</v>
      </c>
      <c r="E687">
        <v>111</v>
      </c>
      <c r="F687">
        <v>84</v>
      </c>
      <c r="G687">
        <v>75</v>
      </c>
      <c r="H687">
        <v>78</v>
      </c>
    </row>
    <row r="688" spans="1:8">
      <c r="A688">
        <v>231718</v>
      </c>
      <c r="B688" t="s">
        <v>695</v>
      </c>
      <c r="C688">
        <v>99</v>
      </c>
      <c r="D688">
        <v>100</v>
      </c>
      <c r="E688">
        <v>105.5</v>
      </c>
      <c r="F688">
        <v>85</v>
      </c>
      <c r="G688">
        <v>77</v>
      </c>
      <c r="H688">
        <v>67</v>
      </c>
    </row>
    <row r="689" spans="1:8">
      <c r="A689">
        <v>231719</v>
      </c>
      <c r="B689" t="s">
        <v>696</v>
      </c>
      <c r="C689">
        <v>93</v>
      </c>
      <c r="D689">
        <v>84</v>
      </c>
      <c r="E689">
        <v>95.5</v>
      </c>
      <c r="F689">
        <v>70</v>
      </c>
      <c r="G689">
        <v>79</v>
      </c>
      <c r="H689">
        <v>80</v>
      </c>
    </row>
    <row r="690" spans="1:8">
      <c r="A690">
        <v>231720</v>
      </c>
      <c r="B690" t="s">
        <v>697</v>
      </c>
      <c r="C690">
        <v>95</v>
      </c>
      <c r="D690">
        <v>100</v>
      </c>
      <c r="E690">
        <v>115.5</v>
      </c>
      <c r="F690">
        <v>82</v>
      </c>
      <c r="G690">
        <v>76</v>
      </c>
      <c r="H690">
        <v>73</v>
      </c>
    </row>
    <row r="691" spans="1:8">
      <c r="A691">
        <v>231721</v>
      </c>
      <c r="B691" t="s">
        <v>698</v>
      </c>
      <c r="C691">
        <v>101</v>
      </c>
      <c r="D691">
        <v>109</v>
      </c>
      <c r="E691">
        <v>116</v>
      </c>
      <c r="F691">
        <v>89</v>
      </c>
      <c r="G691">
        <v>81</v>
      </c>
      <c r="H691">
        <v>85</v>
      </c>
    </row>
    <row r="692" spans="1:8">
      <c r="A692">
        <v>231722</v>
      </c>
      <c r="B692" t="s">
        <v>699</v>
      </c>
      <c r="C692">
        <v>107</v>
      </c>
      <c r="D692">
        <v>87</v>
      </c>
      <c r="E692">
        <v>115.5</v>
      </c>
      <c r="F692">
        <v>83</v>
      </c>
      <c r="G692">
        <v>77</v>
      </c>
      <c r="H692">
        <v>76</v>
      </c>
    </row>
    <row r="693" spans="1:8">
      <c r="A693">
        <v>231723</v>
      </c>
      <c r="B693" t="s">
        <v>700</v>
      </c>
      <c r="C693">
        <v>101</v>
      </c>
      <c r="D693">
        <v>103</v>
      </c>
      <c r="E693">
        <v>110.5</v>
      </c>
      <c r="F693">
        <v>85</v>
      </c>
      <c r="G693">
        <v>70</v>
      </c>
      <c r="H693">
        <v>79</v>
      </c>
    </row>
    <row r="694" spans="1:8">
      <c r="A694">
        <v>231724</v>
      </c>
      <c r="B694" t="s">
        <v>701</v>
      </c>
      <c r="C694" t="e">
        <v>#N/A</v>
      </c>
      <c r="D694" t="e">
        <v>#N/A</v>
      </c>
      <c r="E694" t="e">
        <v>#N/A</v>
      </c>
      <c r="F694" t="e">
        <v>#N/A</v>
      </c>
      <c r="G694" t="e">
        <v>#N/A</v>
      </c>
      <c r="H694" t="e">
        <v>#N/A</v>
      </c>
    </row>
    <row r="695" spans="1:8">
      <c r="A695">
        <v>231725</v>
      </c>
      <c r="B695" t="s">
        <v>702</v>
      </c>
      <c r="C695">
        <v>105</v>
      </c>
      <c r="D695">
        <v>95</v>
      </c>
      <c r="E695">
        <v>109</v>
      </c>
      <c r="F695">
        <v>87</v>
      </c>
      <c r="G695">
        <v>84</v>
      </c>
      <c r="H695">
        <v>85</v>
      </c>
    </row>
    <row r="696" spans="1:8">
      <c r="A696">
        <v>231726</v>
      </c>
      <c r="B696" t="s">
        <v>703</v>
      </c>
      <c r="C696">
        <v>100.5</v>
      </c>
      <c r="D696">
        <v>109</v>
      </c>
      <c r="E696">
        <v>108.5</v>
      </c>
      <c r="F696">
        <v>85</v>
      </c>
      <c r="G696">
        <v>79</v>
      </c>
      <c r="H696">
        <v>81</v>
      </c>
    </row>
    <row r="697" spans="1:8">
      <c r="A697">
        <v>231727</v>
      </c>
      <c r="B697" t="s">
        <v>704</v>
      </c>
      <c r="C697">
        <v>84</v>
      </c>
      <c r="D697">
        <v>93</v>
      </c>
      <c r="E697">
        <v>116</v>
      </c>
      <c r="F697">
        <v>84</v>
      </c>
      <c r="G697">
        <v>78</v>
      </c>
      <c r="H697">
        <v>68</v>
      </c>
    </row>
    <row r="698" spans="1:8">
      <c r="A698">
        <v>231728</v>
      </c>
      <c r="B698" t="s">
        <v>705</v>
      </c>
      <c r="C698">
        <v>98</v>
      </c>
      <c r="D698">
        <v>99</v>
      </c>
      <c r="E698">
        <v>106</v>
      </c>
      <c r="F698">
        <v>84</v>
      </c>
      <c r="G698">
        <v>74</v>
      </c>
      <c r="H698">
        <v>79</v>
      </c>
    </row>
    <row r="699" spans="1:8">
      <c r="A699">
        <v>231729</v>
      </c>
      <c r="B699" t="s">
        <v>706</v>
      </c>
      <c r="C699">
        <v>105</v>
      </c>
      <c r="D699">
        <v>109</v>
      </c>
      <c r="E699">
        <v>115</v>
      </c>
      <c r="F699">
        <v>89</v>
      </c>
      <c r="G699">
        <v>83</v>
      </c>
      <c r="H699">
        <v>86</v>
      </c>
    </row>
    <row r="700" spans="1:8">
      <c r="A700">
        <v>231730</v>
      </c>
      <c r="B700" t="s">
        <v>707</v>
      </c>
      <c r="C700">
        <v>92</v>
      </c>
      <c r="D700">
        <v>102</v>
      </c>
      <c r="E700">
        <v>113.5</v>
      </c>
      <c r="F700">
        <v>88</v>
      </c>
      <c r="G700">
        <v>71</v>
      </c>
      <c r="H700">
        <v>80</v>
      </c>
    </row>
    <row r="701" spans="1:8">
      <c r="A701">
        <v>231731</v>
      </c>
      <c r="B701" t="s">
        <v>708</v>
      </c>
      <c r="C701">
        <v>106</v>
      </c>
      <c r="D701">
        <v>98</v>
      </c>
      <c r="E701">
        <v>107.5</v>
      </c>
      <c r="F701">
        <v>88</v>
      </c>
      <c r="G701">
        <v>84</v>
      </c>
      <c r="H701">
        <v>81</v>
      </c>
    </row>
    <row r="702" spans="1:8">
      <c r="A702">
        <v>231732</v>
      </c>
      <c r="B702" t="s">
        <v>709</v>
      </c>
      <c r="C702">
        <v>94</v>
      </c>
      <c r="D702">
        <v>93</v>
      </c>
      <c r="E702">
        <v>112</v>
      </c>
      <c r="F702">
        <v>82</v>
      </c>
      <c r="G702">
        <v>82</v>
      </c>
      <c r="H702">
        <v>76</v>
      </c>
    </row>
    <row r="703" spans="1:8">
      <c r="A703">
        <v>231733</v>
      </c>
      <c r="B703" t="s">
        <v>710</v>
      </c>
      <c r="C703">
        <v>107</v>
      </c>
      <c r="D703">
        <v>73</v>
      </c>
      <c r="E703">
        <v>106</v>
      </c>
      <c r="F703">
        <v>73</v>
      </c>
      <c r="G703">
        <v>79</v>
      </c>
      <c r="H703">
        <v>76</v>
      </c>
    </row>
    <row r="704" spans="1:8">
      <c r="A704">
        <v>231734</v>
      </c>
      <c r="B704" t="s">
        <v>711</v>
      </c>
      <c r="C704">
        <v>106</v>
      </c>
      <c r="D704">
        <v>101</v>
      </c>
      <c r="E704">
        <v>111.5</v>
      </c>
      <c r="F704">
        <v>85</v>
      </c>
      <c r="G704">
        <v>72</v>
      </c>
      <c r="H704">
        <v>84</v>
      </c>
    </row>
    <row r="705" spans="1:8">
      <c r="A705">
        <v>231735</v>
      </c>
      <c r="B705" t="s">
        <v>712</v>
      </c>
      <c r="C705">
        <v>104</v>
      </c>
      <c r="D705">
        <v>111</v>
      </c>
      <c r="E705">
        <v>110.5</v>
      </c>
      <c r="F705">
        <v>88</v>
      </c>
      <c r="G705">
        <v>81</v>
      </c>
      <c r="H705">
        <v>83</v>
      </c>
    </row>
    <row r="706" spans="1:8">
      <c r="A706">
        <v>231736</v>
      </c>
      <c r="B706" t="s">
        <v>713</v>
      </c>
      <c r="C706">
        <v>90</v>
      </c>
      <c r="D706">
        <v>106</v>
      </c>
      <c r="E706">
        <v>109</v>
      </c>
      <c r="F706">
        <v>86</v>
      </c>
      <c r="G706">
        <v>74</v>
      </c>
      <c r="H706">
        <v>81</v>
      </c>
    </row>
    <row r="707" spans="1:8">
      <c r="A707">
        <v>231737</v>
      </c>
      <c r="B707" t="s">
        <v>714</v>
      </c>
      <c r="C707">
        <v>97.5</v>
      </c>
      <c r="D707">
        <v>98</v>
      </c>
      <c r="E707">
        <v>108.5</v>
      </c>
      <c r="F707">
        <v>85</v>
      </c>
      <c r="G707">
        <v>74</v>
      </c>
      <c r="H707">
        <v>73</v>
      </c>
    </row>
    <row r="708" spans="1:8">
      <c r="A708">
        <v>231738</v>
      </c>
      <c r="B708" t="s">
        <v>715</v>
      </c>
      <c r="C708">
        <v>99.5</v>
      </c>
      <c r="D708">
        <v>100</v>
      </c>
      <c r="E708">
        <v>111.5</v>
      </c>
      <c r="F708">
        <v>86</v>
      </c>
      <c r="G708">
        <v>77</v>
      </c>
      <c r="H708">
        <v>86</v>
      </c>
    </row>
    <row r="709" spans="1:8">
      <c r="A709">
        <v>231739</v>
      </c>
      <c r="B709" t="s">
        <v>716</v>
      </c>
      <c r="C709">
        <v>99</v>
      </c>
      <c r="D709">
        <v>115</v>
      </c>
      <c r="E709">
        <v>117</v>
      </c>
      <c r="F709">
        <v>88</v>
      </c>
      <c r="G709">
        <v>86</v>
      </c>
      <c r="H709">
        <v>84</v>
      </c>
    </row>
    <row r="710" spans="1:8">
      <c r="A710">
        <v>231740</v>
      </c>
      <c r="B710" t="s">
        <v>717</v>
      </c>
      <c r="C710">
        <v>109</v>
      </c>
      <c r="D710">
        <v>98</v>
      </c>
      <c r="E710">
        <v>111</v>
      </c>
      <c r="F710">
        <v>82</v>
      </c>
      <c r="G710">
        <v>80</v>
      </c>
      <c r="H710">
        <v>76</v>
      </c>
    </row>
    <row r="711" spans="1:8">
      <c r="A711">
        <v>231741</v>
      </c>
      <c r="B711" t="s">
        <v>718</v>
      </c>
      <c r="C711">
        <v>100</v>
      </c>
      <c r="D711">
        <v>93</v>
      </c>
      <c r="E711">
        <v>106.5</v>
      </c>
      <c r="F711">
        <v>82</v>
      </c>
      <c r="G711">
        <v>81</v>
      </c>
      <c r="H711">
        <v>75</v>
      </c>
    </row>
    <row r="712" spans="1:8">
      <c r="A712">
        <v>231742</v>
      </c>
      <c r="B712" t="s">
        <v>719</v>
      </c>
      <c r="C712">
        <v>92</v>
      </c>
      <c r="D712">
        <v>95</v>
      </c>
      <c r="E712">
        <v>110.5</v>
      </c>
      <c r="F712">
        <v>84</v>
      </c>
      <c r="G712">
        <v>75</v>
      </c>
      <c r="H712">
        <v>77</v>
      </c>
    </row>
    <row r="713" spans="1:8">
      <c r="A713">
        <v>231743</v>
      </c>
      <c r="B713" t="s">
        <v>720</v>
      </c>
      <c r="C713">
        <v>97</v>
      </c>
      <c r="D713">
        <v>117</v>
      </c>
      <c r="E713">
        <v>109.5</v>
      </c>
      <c r="F713">
        <v>82</v>
      </c>
      <c r="G713">
        <v>80</v>
      </c>
      <c r="H713">
        <v>84</v>
      </c>
    </row>
    <row r="714" spans="1:8">
      <c r="A714">
        <v>231744</v>
      </c>
      <c r="B714" t="s">
        <v>721</v>
      </c>
      <c r="C714">
        <v>94</v>
      </c>
      <c r="D714">
        <v>101</v>
      </c>
      <c r="E714">
        <v>96.5</v>
      </c>
      <c r="F714">
        <v>87</v>
      </c>
      <c r="G714">
        <v>65</v>
      </c>
      <c r="H714">
        <v>66</v>
      </c>
    </row>
    <row r="715" spans="1:8">
      <c r="A715">
        <v>231801</v>
      </c>
      <c r="B715" t="s">
        <v>722</v>
      </c>
      <c r="C715">
        <v>86</v>
      </c>
      <c r="D715">
        <v>75</v>
      </c>
      <c r="E715">
        <v>76.5</v>
      </c>
      <c r="F715">
        <v>79</v>
      </c>
      <c r="G715">
        <v>70</v>
      </c>
      <c r="H715">
        <v>58</v>
      </c>
    </row>
    <row r="716" spans="1:8">
      <c r="A716">
        <v>231802</v>
      </c>
      <c r="B716" t="s">
        <v>723</v>
      </c>
      <c r="C716">
        <v>105</v>
      </c>
      <c r="D716">
        <v>113</v>
      </c>
      <c r="E716">
        <v>109.5</v>
      </c>
      <c r="F716">
        <v>86</v>
      </c>
      <c r="G716">
        <v>82</v>
      </c>
      <c r="H716">
        <v>86</v>
      </c>
    </row>
    <row r="717" spans="1:8">
      <c r="A717">
        <v>231803</v>
      </c>
      <c r="B717" t="s">
        <v>724</v>
      </c>
      <c r="C717">
        <v>95</v>
      </c>
      <c r="D717">
        <v>92</v>
      </c>
      <c r="E717">
        <v>112</v>
      </c>
      <c r="F717">
        <v>86</v>
      </c>
      <c r="G717">
        <v>84</v>
      </c>
      <c r="H717">
        <v>79</v>
      </c>
    </row>
    <row r="718" spans="1:8">
      <c r="A718">
        <v>231804</v>
      </c>
      <c r="B718" t="s">
        <v>725</v>
      </c>
      <c r="C718">
        <v>105.5</v>
      </c>
      <c r="D718">
        <v>105</v>
      </c>
      <c r="E718">
        <v>108.5</v>
      </c>
      <c r="F718">
        <v>89</v>
      </c>
      <c r="G718">
        <v>82</v>
      </c>
      <c r="H718">
        <v>74</v>
      </c>
    </row>
    <row r="719" spans="1:8">
      <c r="A719">
        <v>231805</v>
      </c>
      <c r="B719" t="s">
        <v>726</v>
      </c>
      <c r="C719">
        <v>95</v>
      </c>
      <c r="D719">
        <v>117</v>
      </c>
      <c r="E719">
        <v>114</v>
      </c>
      <c r="F719">
        <v>88</v>
      </c>
      <c r="G719">
        <v>81</v>
      </c>
      <c r="H719">
        <v>77</v>
      </c>
    </row>
    <row r="720" spans="1:8">
      <c r="A720">
        <v>231806</v>
      </c>
      <c r="B720" t="s">
        <v>727</v>
      </c>
      <c r="C720">
        <v>110</v>
      </c>
      <c r="D720">
        <v>108</v>
      </c>
      <c r="E720">
        <v>116</v>
      </c>
      <c r="F720">
        <v>89</v>
      </c>
      <c r="G720">
        <v>80</v>
      </c>
      <c r="H720">
        <v>81</v>
      </c>
    </row>
    <row r="721" spans="1:8">
      <c r="A721">
        <v>231807</v>
      </c>
      <c r="B721" t="s">
        <v>728</v>
      </c>
      <c r="C721">
        <v>104.5</v>
      </c>
      <c r="D721">
        <v>109</v>
      </c>
      <c r="E721">
        <v>111</v>
      </c>
      <c r="F721">
        <v>89</v>
      </c>
      <c r="G721">
        <v>79</v>
      </c>
      <c r="H721">
        <v>80</v>
      </c>
    </row>
    <row r="722" spans="1:8">
      <c r="A722">
        <v>231808</v>
      </c>
      <c r="B722" t="s">
        <v>729</v>
      </c>
      <c r="C722">
        <v>118</v>
      </c>
      <c r="D722">
        <v>109</v>
      </c>
      <c r="E722">
        <v>117</v>
      </c>
      <c r="F722">
        <v>88</v>
      </c>
      <c r="G722">
        <v>87</v>
      </c>
      <c r="H722">
        <v>88</v>
      </c>
    </row>
    <row r="723" spans="1:8">
      <c r="A723">
        <v>231809</v>
      </c>
      <c r="B723" t="s">
        <v>730</v>
      </c>
      <c r="C723">
        <v>104</v>
      </c>
      <c r="D723">
        <v>98</v>
      </c>
      <c r="E723">
        <v>110</v>
      </c>
      <c r="F723">
        <v>90</v>
      </c>
      <c r="G723">
        <v>79</v>
      </c>
      <c r="H723">
        <v>83</v>
      </c>
    </row>
    <row r="724" spans="1:8">
      <c r="A724">
        <v>231810</v>
      </c>
      <c r="B724" t="s">
        <v>731</v>
      </c>
      <c r="C724">
        <v>104.5</v>
      </c>
      <c r="D724">
        <v>101</v>
      </c>
      <c r="E724">
        <v>110.5</v>
      </c>
      <c r="F724">
        <v>87</v>
      </c>
      <c r="G724">
        <v>84</v>
      </c>
      <c r="H724">
        <v>83</v>
      </c>
    </row>
    <row r="725" spans="1:8">
      <c r="A725">
        <v>231811</v>
      </c>
      <c r="B725" t="s">
        <v>732</v>
      </c>
      <c r="C725">
        <v>103.5</v>
      </c>
      <c r="D725">
        <v>108</v>
      </c>
      <c r="E725">
        <v>103</v>
      </c>
      <c r="F725">
        <v>88</v>
      </c>
      <c r="G725">
        <v>82</v>
      </c>
      <c r="H725">
        <v>85</v>
      </c>
    </row>
    <row r="726" spans="1:8">
      <c r="A726">
        <v>231812</v>
      </c>
      <c r="B726" t="s">
        <v>733</v>
      </c>
      <c r="C726">
        <v>93.5</v>
      </c>
      <c r="D726">
        <v>92</v>
      </c>
      <c r="E726">
        <v>113.5</v>
      </c>
      <c r="F726">
        <v>90</v>
      </c>
      <c r="G726">
        <v>85</v>
      </c>
      <c r="H726">
        <v>87</v>
      </c>
    </row>
    <row r="727" spans="1:8">
      <c r="A727">
        <v>231813</v>
      </c>
      <c r="B727" t="s">
        <v>734</v>
      </c>
      <c r="C727">
        <v>113</v>
      </c>
      <c r="D727">
        <v>114</v>
      </c>
      <c r="E727">
        <v>118.5</v>
      </c>
      <c r="F727">
        <v>89</v>
      </c>
      <c r="G727">
        <v>90</v>
      </c>
      <c r="H727">
        <v>84</v>
      </c>
    </row>
    <row r="728" spans="1:8">
      <c r="A728">
        <v>231814</v>
      </c>
      <c r="B728" t="s">
        <v>735</v>
      </c>
      <c r="C728">
        <v>90</v>
      </c>
      <c r="D728">
        <v>88</v>
      </c>
      <c r="E728">
        <v>106</v>
      </c>
      <c r="F728">
        <v>80</v>
      </c>
      <c r="G728">
        <v>66</v>
      </c>
      <c r="H728">
        <v>64</v>
      </c>
    </row>
    <row r="729" spans="1:8">
      <c r="A729">
        <v>231815</v>
      </c>
      <c r="B729" t="s">
        <v>736</v>
      </c>
      <c r="C729">
        <v>109</v>
      </c>
      <c r="D729">
        <v>118</v>
      </c>
      <c r="E729">
        <v>111</v>
      </c>
      <c r="F729">
        <v>90</v>
      </c>
      <c r="G729">
        <v>83</v>
      </c>
      <c r="H729">
        <v>85</v>
      </c>
    </row>
    <row r="730" spans="1:8">
      <c r="A730">
        <v>231816</v>
      </c>
      <c r="B730" t="s">
        <v>737</v>
      </c>
      <c r="C730">
        <v>98.5</v>
      </c>
      <c r="D730">
        <v>107</v>
      </c>
      <c r="E730">
        <v>104</v>
      </c>
      <c r="F730">
        <v>88</v>
      </c>
      <c r="G730">
        <v>86</v>
      </c>
      <c r="H730">
        <v>82</v>
      </c>
    </row>
    <row r="731" spans="1:8">
      <c r="A731">
        <v>231817</v>
      </c>
      <c r="B731" t="s">
        <v>738</v>
      </c>
      <c r="C731">
        <v>108</v>
      </c>
      <c r="D731">
        <v>115</v>
      </c>
      <c r="E731">
        <v>114</v>
      </c>
      <c r="F731">
        <v>89</v>
      </c>
      <c r="G731">
        <v>84</v>
      </c>
      <c r="H731">
        <v>86</v>
      </c>
    </row>
    <row r="732" spans="1:8">
      <c r="A732">
        <v>231818</v>
      </c>
      <c r="B732" t="s">
        <v>739</v>
      </c>
      <c r="C732">
        <v>102</v>
      </c>
      <c r="D732">
        <v>112</v>
      </c>
      <c r="E732">
        <v>115.5</v>
      </c>
      <c r="F732">
        <v>85</v>
      </c>
      <c r="G732">
        <v>84</v>
      </c>
      <c r="H732">
        <v>84</v>
      </c>
    </row>
    <row r="733" spans="1:8">
      <c r="A733">
        <v>231819</v>
      </c>
      <c r="B733" t="s">
        <v>740</v>
      </c>
      <c r="C733">
        <v>100</v>
      </c>
      <c r="D733">
        <v>119</v>
      </c>
      <c r="E733">
        <v>115</v>
      </c>
      <c r="F733">
        <v>89</v>
      </c>
      <c r="G733">
        <v>83</v>
      </c>
      <c r="H733">
        <v>84</v>
      </c>
    </row>
    <row r="734" spans="1:8">
      <c r="A734">
        <v>231820</v>
      </c>
      <c r="B734" t="s">
        <v>741</v>
      </c>
      <c r="C734">
        <v>106</v>
      </c>
      <c r="D734">
        <v>100</v>
      </c>
      <c r="E734">
        <v>110</v>
      </c>
      <c r="F734">
        <v>88</v>
      </c>
      <c r="G734">
        <v>80</v>
      </c>
      <c r="H734">
        <v>87</v>
      </c>
    </row>
    <row r="735" spans="1:8">
      <c r="A735">
        <v>231821</v>
      </c>
      <c r="B735" t="s">
        <v>742</v>
      </c>
      <c r="C735">
        <v>105.5</v>
      </c>
      <c r="D735">
        <v>111</v>
      </c>
      <c r="E735">
        <v>118.5</v>
      </c>
      <c r="F735">
        <v>87</v>
      </c>
      <c r="G735">
        <v>79</v>
      </c>
      <c r="H735">
        <v>85</v>
      </c>
    </row>
    <row r="736" spans="1:8">
      <c r="A736">
        <v>231822</v>
      </c>
      <c r="B736" t="s">
        <v>743</v>
      </c>
      <c r="C736">
        <v>103.5</v>
      </c>
      <c r="D736">
        <v>109</v>
      </c>
      <c r="E736">
        <v>118</v>
      </c>
      <c r="F736">
        <v>90</v>
      </c>
      <c r="G736">
        <v>85</v>
      </c>
      <c r="H736">
        <v>82</v>
      </c>
    </row>
    <row r="737" spans="1:8">
      <c r="A737">
        <v>231823</v>
      </c>
      <c r="B737" t="s">
        <v>744</v>
      </c>
      <c r="C737">
        <v>99</v>
      </c>
      <c r="D737">
        <v>91</v>
      </c>
      <c r="E737">
        <v>108.5</v>
      </c>
      <c r="F737">
        <v>88</v>
      </c>
      <c r="G737">
        <v>81</v>
      </c>
      <c r="H737">
        <v>85</v>
      </c>
    </row>
    <row r="738" spans="1:8">
      <c r="A738">
        <v>231824</v>
      </c>
      <c r="B738" t="s">
        <v>745</v>
      </c>
      <c r="C738">
        <v>93</v>
      </c>
      <c r="D738">
        <v>108</v>
      </c>
      <c r="E738">
        <v>109</v>
      </c>
      <c r="F738">
        <v>85</v>
      </c>
      <c r="G738">
        <v>84</v>
      </c>
      <c r="H738">
        <v>87</v>
      </c>
    </row>
    <row r="739" spans="1:8">
      <c r="A739">
        <v>231825</v>
      </c>
      <c r="B739" t="s">
        <v>746</v>
      </c>
      <c r="C739">
        <v>105</v>
      </c>
      <c r="D739">
        <v>102</v>
      </c>
      <c r="E739">
        <v>111</v>
      </c>
      <c r="F739">
        <v>89</v>
      </c>
      <c r="G739">
        <v>81</v>
      </c>
      <c r="H739">
        <v>84</v>
      </c>
    </row>
    <row r="740" spans="1:8">
      <c r="A740">
        <v>231826</v>
      </c>
      <c r="B740" t="s">
        <v>747</v>
      </c>
      <c r="C740">
        <v>106</v>
      </c>
      <c r="D740">
        <v>89</v>
      </c>
      <c r="E740">
        <v>107</v>
      </c>
      <c r="F740">
        <v>87</v>
      </c>
      <c r="G740">
        <v>84</v>
      </c>
      <c r="H740">
        <v>79</v>
      </c>
    </row>
    <row r="741" spans="1:8">
      <c r="A741">
        <v>231827</v>
      </c>
      <c r="B741" t="s">
        <v>748</v>
      </c>
      <c r="C741">
        <v>102.5</v>
      </c>
      <c r="D741">
        <v>114</v>
      </c>
      <c r="E741">
        <v>114</v>
      </c>
      <c r="F741">
        <v>86</v>
      </c>
      <c r="G741">
        <v>82</v>
      </c>
      <c r="H741">
        <v>83</v>
      </c>
    </row>
    <row r="742" spans="1:8">
      <c r="A742">
        <v>231828</v>
      </c>
      <c r="B742" t="s">
        <v>749</v>
      </c>
      <c r="C742">
        <v>95</v>
      </c>
      <c r="D742">
        <v>100</v>
      </c>
      <c r="E742">
        <v>112.5</v>
      </c>
      <c r="F742">
        <v>86</v>
      </c>
      <c r="G742">
        <v>77</v>
      </c>
      <c r="H742">
        <v>77</v>
      </c>
    </row>
    <row r="743" spans="1:8">
      <c r="A743">
        <v>231829</v>
      </c>
      <c r="B743" t="s">
        <v>750</v>
      </c>
      <c r="C743">
        <v>110</v>
      </c>
      <c r="D743">
        <v>109</v>
      </c>
      <c r="E743">
        <v>115</v>
      </c>
      <c r="F743">
        <v>88</v>
      </c>
      <c r="G743">
        <v>86</v>
      </c>
      <c r="H743">
        <v>77</v>
      </c>
    </row>
    <row r="744" spans="1:8">
      <c r="A744">
        <v>231830</v>
      </c>
      <c r="B744" t="s">
        <v>751</v>
      </c>
      <c r="C744">
        <v>92</v>
      </c>
      <c r="D744">
        <v>98</v>
      </c>
      <c r="E744">
        <v>107.5</v>
      </c>
      <c r="F744">
        <v>81</v>
      </c>
      <c r="G744">
        <v>72</v>
      </c>
      <c r="H744">
        <v>83</v>
      </c>
    </row>
    <row r="745" spans="1:8">
      <c r="A745">
        <v>231831</v>
      </c>
      <c r="B745" t="s">
        <v>752</v>
      </c>
      <c r="C745">
        <v>99</v>
      </c>
      <c r="D745">
        <v>114</v>
      </c>
      <c r="E745">
        <v>110</v>
      </c>
      <c r="F745">
        <v>90</v>
      </c>
      <c r="G745">
        <v>78</v>
      </c>
      <c r="H745">
        <v>78</v>
      </c>
    </row>
    <row r="746" spans="1:8">
      <c r="A746">
        <v>231832</v>
      </c>
      <c r="B746" t="s">
        <v>753</v>
      </c>
      <c r="C746">
        <v>115.5</v>
      </c>
      <c r="D746">
        <v>104</v>
      </c>
      <c r="E746">
        <v>118</v>
      </c>
      <c r="F746">
        <v>88</v>
      </c>
      <c r="G746">
        <v>77</v>
      </c>
      <c r="H746">
        <v>85</v>
      </c>
    </row>
    <row r="747" spans="1:8">
      <c r="A747">
        <v>231833</v>
      </c>
      <c r="B747" t="s">
        <v>754</v>
      </c>
      <c r="C747">
        <v>100</v>
      </c>
      <c r="D747">
        <v>101</v>
      </c>
      <c r="E747">
        <v>105.5</v>
      </c>
      <c r="F747">
        <v>82</v>
      </c>
      <c r="G747">
        <v>79</v>
      </c>
      <c r="H747">
        <v>78</v>
      </c>
    </row>
    <row r="748" spans="1:8">
      <c r="A748">
        <v>231834</v>
      </c>
      <c r="B748" t="s">
        <v>755</v>
      </c>
      <c r="C748">
        <v>106</v>
      </c>
      <c r="D748">
        <v>107</v>
      </c>
      <c r="E748">
        <v>113</v>
      </c>
      <c r="F748">
        <v>88</v>
      </c>
      <c r="G748">
        <v>79</v>
      </c>
      <c r="H748">
        <v>80</v>
      </c>
    </row>
    <row r="749" spans="1:8">
      <c r="A749">
        <v>231835</v>
      </c>
      <c r="B749" t="s">
        <v>756</v>
      </c>
      <c r="C749">
        <v>98</v>
      </c>
      <c r="D749">
        <v>117</v>
      </c>
      <c r="E749">
        <v>115.5</v>
      </c>
      <c r="F749">
        <v>90</v>
      </c>
      <c r="G749">
        <v>84</v>
      </c>
      <c r="H749">
        <v>85</v>
      </c>
    </row>
    <row r="750" spans="1:8">
      <c r="A750">
        <v>231836</v>
      </c>
      <c r="B750" t="s">
        <v>757</v>
      </c>
      <c r="C750">
        <v>96</v>
      </c>
      <c r="D750">
        <v>107</v>
      </c>
      <c r="E750">
        <v>110.5</v>
      </c>
      <c r="F750">
        <v>85</v>
      </c>
      <c r="G750">
        <v>86</v>
      </c>
      <c r="H750">
        <v>81</v>
      </c>
    </row>
    <row r="751" spans="1:8">
      <c r="A751">
        <v>231837</v>
      </c>
      <c r="B751" t="s">
        <v>758</v>
      </c>
      <c r="C751">
        <v>81</v>
      </c>
      <c r="D751">
        <v>86</v>
      </c>
      <c r="E751">
        <v>89.5</v>
      </c>
      <c r="F751">
        <v>79</v>
      </c>
      <c r="G751">
        <v>76</v>
      </c>
      <c r="H751">
        <v>69</v>
      </c>
    </row>
    <row r="752" spans="1:8">
      <c r="A752">
        <v>231838</v>
      </c>
      <c r="B752" t="s">
        <v>759</v>
      </c>
      <c r="C752">
        <v>93</v>
      </c>
      <c r="D752">
        <v>118</v>
      </c>
      <c r="E752">
        <v>118</v>
      </c>
      <c r="F752">
        <v>87</v>
      </c>
      <c r="G752">
        <v>78</v>
      </c>
      <c r="H752">
        <v>81</v>
      </c>
    </row>
    <row r="753" spans="1:8">
      <c r="A753">
        <v>231839</v>
      </c>
      <c r="B753" t="s">
        <v>760</v>
      </c>
      <c r="C753">
        <v>98</v>
      </c>
      <c r="D753">
        <v>84</v>
      </c>
      <c r="E753">
        <v>103.5</v>
      </c>
      <c r="F753">
        <v>86</v>
      </c>
      <c r="G753">
        <v>76</v>
      </c>
      <c r="H753">
        <v>81</v>
      </c>
    </row>
    <row r="754" spans="1:8">
      <c r="A754">
        <v>231840</v>
      </c>
      <c r="B754" t="s">
        <v>761</v>
      </c>
      <c r="C754">
        <v>102</v>
      </c>
      <c r="D754">
        <v>105</v>
      </c>
      <c r="E754">
        <v>114</v>
      </c>
      <c r="F754">
        <v>87</v>
      </c>
      <c r="G754">
        <v>80</v>
      </c>
      <c r="H754">
        <v>76</v>
      </c>
    </row>
    <row r="755" spans="1:8">
      <c r="A755">
        <v>231841</v>
      </c>
      <c r="B755" t="s">
        <v>762</v>
      </c>
      <c r="C755">
        <v>94</v>
      </c>
      <c r="D755">
        <v>99</v>
      </c>
      <c r="E755">
        <v>111</v>
      </c>
      <c r="F755">
        <v>83</v>
      </c>
      <c r="G755">
        <v>80</v>
      </c>
      <c r="H755">
        <v>74</v>
      </c>
    </row>
    <row r="756" spans="1:8">
      <c r="A756">
        <v>231842</v>
      </c>
      <c r="B756" t="s">
        <v>763</v>
      </c>
      <c r="C756">
        <v>97</v>
      </c>
      <c r="D756">
        <v>100</v>
      </c>
      <c r="E756">
        <v>114</v>
      </c>
      <c r="F756">
        <v>89</v>
      </c>
      <c r="G756">
        <v>76</v>
      </c>
      <c r="H756">
        <v>79</v>
      </c>
    </row>
    <row r="757" spans="1:8">
      <c r="A757">
        <v>231843</v>
      </c>
      <c r="B757" t="s">
        <v>764</v>
      </c>
      <c r="C757">
        <v>99</v>
      </c>
      <c r="D757">
        <v>118</v>
      </c>
      <c r="E757">
        <v>114.5</v>
      </c>
      <c r="F757">
        <v>90</v>
      </c>
      <c r="G757">
        <v>71</v>
      </c>
      <c r="H757">
        <v>84</v>
      </c>
    </row>
    <row r="758" spans="1:8">
      <c r="A758">
        <v>231901</v>
      </c>
      <c r="B758" t="s">
        <v>765</v>
      </c>
      <c r="C758">
        <v>110</v>
      </c>
      <c r="D758">
        <v>110</v>
      </c>
      <c r="E758">
        <v>106.5</v>
      </c>
      <c r="F758">
        <v>85</v>
      </c>
      <c r="G758">
        <v>76</v>
      </c>
      <c r="H758">
        <v>76</v>
      </c>
    </row>
    <row r="759" spans="1:8">
      <c r="A759">
        <v>231902</v>
      </c>
      <c r="B759" t="s">
        <v>766</v>
      </c>
      <c r="C759">
        <v>106</v>
      </c>
      <c r="D759">
        <v>116</v>
      </c>
      <c r="E759">
        <v>112.5</v>
      </c>
      <c r="F759">
        <v>87</v>
      </c>
      <c r="G759">
        <v>89</v>
      </c>
      <c r="H759">
        <v>79</v>
      </c>
    </row>
    <row r="760" spans="1:8">
      <c r="A760">
        <v>231903</v>
      </c>
      <c r="B760" t="s">
        <v>767</v>
      </c>
      <c r="C760">
        <v>105</v>
      </c>
      <c r="D760">
        <v>120</v>
      </c>
      <c r="E760">
        <v>118</v>
      </c>
      <c r="F760">
        <v>90</v>
      </c>
      <c r="G760">
        <v>83</v>
      </c>
      <c r="H760">
        <v>78</v>
      </c>
    </row>
    <row r="761" spans="1:8">
      <c r="A761">
        <v>231904</v>
      </c>
      <c r="B761" t="s">
        <v>768</v>
      </c>
      <c r="C761">
        <v>96</v>
      </c>
      <c r="D761">
        <v>97</v>
      </c>
      <c r="E761">
        <v>102.5</v>
      </c>
      <c r="F761">
        <v>88</v>
      </c>
      <c r="G761">
        <v>69</v>
      </c>
      <c r="H761">
        <v>85</v>
      </c>
    </row>
    <row r="762" spans="1:8">
      <c r="A762">
        <v>231905</v>
      </c>
      <c r="B762" t="s">
        <v>769</v>
      </c>
      <c r="C762">
        <v>97.5</v>
      </c>
      <c r="D762">
        <v>109</v>
      </c>
      <c r="E762">
        <v>99</v>
      </c>
      <c r="F762">
        <v>85</v>
      </c>
      <c r="G762">
        <v>75</v>
      </c>
      <c r="H762">
        <v>87</v>
      </c>
    </row>
    <row r="763" spans="1:8">
      <c r="A763">
        <v>231906</v>
      </c>
      <c r="B763" t="s">
        <v>770</v>
      </c>
      <c r="C763">
        <v>109</v>
      </c>
      <c r="D763">
        <v>105</v>
      </c>
      <c r="E763">
        <v>109</v>
      </c>
      <c r="F763">
        <v>88</v>
      </c>
      <c r="G763">
        <v>82</v>
      </c>
      <c r="H763">
        <v>82</v>
      </c>
    </row>
    <row r="764" spans="1:8">
      <c r="A764">
        <v>231907</v>
      </c>
      <c r="B764" t="s">
        <v>771</v>
      </c>
      <c r="C764">
        <v>104</v>
      </c>
      <c r="D764">
        <v>119</v>
      </c>
      <c r="E764">
        <v>114</v>
      </c>
      <c r="F764">
        <v>87</v>
      </c>
      <c r="G764">
        <v>85</v>
      </c>
      <c r="H764">
        <v>87</v>
      </c>
    </row>
    <row r="765" spans="1:8">
      <c r="A765">
        <v>231908</v>
      </c>
      <c r="B765" t="s">
        <v>772</v>
      </c>
      <c r="C765">
        <v>101.5</v>
      </c>
      <c r="D765">
        <v>95</v>
      </c>
      <c r="E765">
        <v>111</v>
      </c>
      <c r="F765">
        <v>89</v>
      </c>
      <c r="G765">
        <v>69</v>
      </c>
      <c r="H765">
        <v>84</v>
      </c>
    </row>
    <row r="766" spans="1:8">
      <c r="A766">
        <v>231909</v>
      </c>
      <c r="B766" t="s">
        <v>773</v>
      </c>
      <c r="C766">
        <v>114</v>
      </c>
      <c r="D766">
        <v>119</v>
      </c>
      <c r="E766">
        <v>113.5</v>
      </c>
      <c r="F766">
        <v>88</v>
      </c>
      <c r="G766">
        <v>84</v>
      </c>
      <c r="H766">
        <v>90</v>
      </c>
    </row>
    <row r="767" spans="1:8">
      <c r="A767">
        <v>231910</v>
      </c>
      <c r="B767" t="s">
        <v>774</v>
      </c>
      <c r="C767">
        <v>96.5</v>
      </c>
      <c r="D767">
        <v>116</v>
      </c>
      <c r="E767">
        <v>113.5</v>
      </c>
      <c r="F767">
        <v>90</v>
      </c>
      <c r="G767">
        <v>75</v>
      </c>
      <c r="H767">
        <v>79</v>
      </c>
    </row>
    <row r="768" spans="1:8">
      <c r="A768">
        <v>231911</v>
      </c>
      <c r="B768" t="s">
        <v>775</v>
      </c>
      <c r="C768">
        <v>94</v>
      </c>
      <c r="D768">
        <v>101</v>
      </c>
      <c r="E768">
        <v>109.5</v>
      </c>
      <c r="F768">
        <v>88</v>
      </c>
      <c r="G768">
        <v>84</v>
      </c>
      <c r="H768">
        <v>80</v>
      </c>
    </row>
    <row r="769" spans="1:8">
      <c r="A769">
        <v>231912</v>
      </c>
      <c r="B769" t="s">
        <v>776</v>
      </c>
      <c r="C769">
        <v>106.5</v>
      </c>
      <c r="D769">
        <v>105</v>
      </c>
      <c r="E769">
        <v>113</v>
      </c>
      <c r="F769">
        <v>88</v>
      </c>
      <c r="G769">
        <v>81</v>
      </c>
      <c r="H769">
        <v>81</v>
      </c>
    </row>
    <row r="770" spans="1:8">
      <c r="A770">
        <v>231914</v>
      </c>
      <c r="B770" t="s">
        <v>777</v>
      </c>
      <c r="C770">
        <v>96</v>
      </c>
      <c r="D770">
        <v>106</v>
      </c>
      <c r="E770">
        <v>115</v>
      </c>
      <c r="F770">
        <v>86</v>
      </c>
      <c r="G770">
        <v>79</v>
      </c>
      <c r="H770">
        <v>82</v>
      </c>
    </row>
    <row r="771" spans="1:8">
      <c r="A771">
        <v>231915</v>
      </c>
      <c r="B771" t="s">
        <v>778</v>
      </c>
      <c r="C771">
        <v>101</v>
      </c>
      <c r="D771">
        <v>112</v>
      </c>
      <c r="E771">
        <v>109.5</v>
      </c>
      <c r="F771">
        <v>90</v>
      </c>
      <c r="G771">
        <v>79</v>
      </c>
      <c r="H771">
        <v>89</v>
      </c>
    </row>
    <row r="772" spans="1:8">
      <c r="A772">
        <v>231916</v>
      </c>
      <c r="B772" t="s">
        <v>779</v>
      </c>
      <c r="C772">
        <v>101</v>
      </c>
      <c r="D772">
        <v>105</v>
      </c>
      <c r="E772">
        <v>112</v>
      </c>
      <c r="F772">
        <v>89</v>
      </c>
      <c r="G772">
        <v>87</v>
      </c>
      <c r="H772">
        <v>80</v>
      </c>
    </row>
    <row r="773" spans="1:8">
      <c r="A773">
        <v>231917</v>
      </c>
      <c r="B773" t="s">
        <v>780</v>
      </c>
      <c r="C773">
        <v>95</v>
      </c>
      <c r="D773">
        <v>102</v>
      </c>
      <c r="E773">
        <v>112</v>
      </c>
      <c r="F773">
        <v>84</v>
      </c>
      <c r="G773">
        <v>77</v>
      </c>
      <c r="H773">
        <v>84</v>
      </c>
    </row>
    <row r="774" spans="1:8">
      <c r="A774">
        <v>231918</v>
      </c>
      <c r="B774" t="s">
        <v>781</v>
      </c>
      <c r="C774">
        <v>98</v>
      </c>
      <c r="D774">
        <v>100</v>
      </c>
      <c r="E774">
        <v>99.5</v>
      </c>
      <c r="F774">
        <v>87</v>
      </c>
      <c r="G774">
        <v>82</v>
      </c>
      <c r="H774">
        <v>77</v>
      </c>
    </row>
    <row r="775" spans="1:8">
      <c r="A775">
        <v>231919</v>
      </c>
      <c r="B775" t="s">
        <v>782</v>
      </c>
      <c r="C775">
        <v>102</v>
      </c>
      <c r="D775">
        <v>116</v>
      </c>
      <c r="E775">
        <v>110.5</v>
      </c>
      <c r="F775">
        <v>88</v>
      </c>
      <c r="G775">
        <v>79</v>
      </c>
      <c r="H775">
        <v>88</v>
      </c>
    </row>
    <row r="776" spans="1:8">
      <c r="A776">
        <v>231920</v>
      </c>
      <c r="B776" t="s">
        <v>783</v>
      </c>
      <c r="C776">
        <v>100</v>
      </c>
      <c r="D776">
        <v>108</v>
      </c>
      <c r="E776">
        <v>112</v>
      </c>
      <c r="F776">
        <v>88</v>
      </c>
      <c r="G776">
        <v>87</v>
      </c>
      <c r="H776">
        <v>84</v>
      </c>
    </row>
    <row r="777" spans="1:8">
      <c r="A777">
        <v>231921</v>
      </c>
      <c r="B777" t="s">
        <v>784</v>
      </c>
      <c r="C777">
        <v>109</v>
      </c>
      <c r="D777">
        <v>106</v>
      </c>
      <c r="E777">
        <v>116.5</v>
      </c>
      <c r="F777">
        <v>90</v>
      </c>
      <c r="G777">
        <v>84</v>
      </c>
      <c r="H777">
        <v>81</v>
      </c>
    </row>
    <row r="778" spans="1:8">
      <c r="A778">
        <v>231922</v>
      </c>
      <c r="B778" t="s">
        <v>785</v>
      </c>
      <c r="C778">
        <v>101.5</v>
      </c>
      <c r="D778">
        <v>116</v>
      </c>
      <c r="E778">
        <v>118</v>
      </c>
      <c r="F778">
        <v>87</v>
      </c>
      <c r="G778">
        <v>79</v>
      </c>
      <c r="H778">
        <v>87</v>
      </c>
    </row>
    <row r="779" spans="1:8">
      <c r="A779">
        <v>231923</v>
      </c>
      <c r="B779" t="s">
        <v>786</v>
      </c>
      <c r="C779">
        <v>117</v>
      </c>
      <c r="D779">
        <v>116</v>
      </c>
      <c r="E779">
        <v>113</v>
      </c>
      <c r="F779">
        <v>89</v>
      </c>
      <c r="G779">
        <v>84</v>
      </c>
      <c r="H779">
        <v>86</v>
      </c>
    </row>
    <row r="780" spans="1:8">
      <c r="A780">
        <v>231924</v>
      </c>
      <c r="B780" t="s">
        <v>787</v>
      </c>
      <c r="C780">
        <v>115</v>
      </c>
      <c r="D780">
        <v>118</v>
      </c>
      <c r="E780">
        <v>115.5</v>
      </c>
      <c r="F780">
        <v>88</v>
      </c>
      <c r="G780">
        <v>82</v>
      </c>
      <c r="H780">
        <v>87</v>
      </c>
    </row>
    <row r="781" spans="1:8">
      <c r="A781">
        <v>231925</v>
      </c>
      <c r="B781" t="s">
        <v>788</v>
      </c>
      <c r="C781">
        <v>103</v>
      </c>
      <c r="D781">
        <v>112</v>
      </c>
      <c r="E781">
        <v>111.5</v>
      </c>
      <c r="F781">
        <v>90</v>
      </c>
      <c r="G781">
        <v>81</v>
      </c>
      <c r="H781">
        <v>83</v>
      </c>
    </row>
    <row r="782" spans="1:8">
      <c r="A782">
        <v>231926</v>
      </c>
      <c r="B782" t="s">
        <v>789</v>
      </c>
      <c r="C782">
        <v>113</v>
      </c>
      <c r="D782">
        <v>117</v>
      </c>
      <c r="E782">
        <v>114</v>
      </c>
      <c r="F782">
        <v>89</v>
      </c>
      <c r="G782">
        <v>75</v>
      </c>
      <c r="H782">
        <v>88</v>
      </c>
    </row>
    <row r="783" spans="1:8">
      <c r="A783">
        <v>231927</v>
      </c>
      <c r="B783" t="s">
        <v>790</v>
      </c>
      <c r="C783">
        <v>104</v>
      </c>
      <c r="D783">
        <v>111</v>
      </c>
      <c r="E783">
        <v>112</v>
      </c>
      <c r="F783">
        <v>85</v>
      </c>
      <c r="G783">
        <v>74</v>
      </c>
      <c r="H783">
        <v>81</v>
      </c>
    </row>
    <row r="784" spans="1:8">
      <c r="A784">
        <v>231928</v>
      </c>
      <c r="B784" t="s">
        <v>791</v>
      </c>
      <c r="C784">
        <v>113</v>
      </c>
      <c r="D784">
        <v>107</v>
      </c>
      <c r="E784">
        <v>115</v>
      </c>
      <c r="F784">
        <v>85</v>
      </c>
      <c r="G784">
        <v>76</v>
      </c>
      <c r="H784">
        <v>86</v>
      </c>
    </row>
    <row r="785" spans="1:8">
      <c r="A785">
        <v>231929</v>
      </c>
      <c r="B785" t="s">
        <v>792</v>
      </c>
      <c r="C785">
        <v>117.5</v>
      </c>
      <c r="D785">
        <v>114</v>
      </c>
      <c r="E785">
        <v>115</v>
      </c>
      <c r="F785">
        <v>87</v>
      </c>
      <c r="G785">
        <v>80</v>
      </c>
      <c r="H785">
        <v>85</v>
      </c>
    </row>
    <row r="786" spans="1:8">
      <c r="A786">
        <v>231930</v>
      </c>
      <c r="B786" t="s">
        <v>793</v>
      </c>
      <c r="C786">
        <v>96</v>
      </c>
      <c r="D786">
        <v>119</v>
      </c>
      <c r="E786">
        <v>110</v>
      </c>
      <c r="F786">
        <v>86</v>
      </c>
      <c r="G786">
        <v>84</v>
      </c>
      <c r="H786">
        <v>85</v>
      </c>
    </row>
    <row r="787" spans="1:8">
      <c r="A787">
        <v>231931</v>
      </c>
      <c r="B787" t="s">
        <v>794</v>
      </c>
      <c r="C787">
        <v>106</v>
      </c>
      <c r="D787">
        <v>109</v>
      </c>
      <c r="E787">
        <v>116.5</v>
      </c>
      <c r="F787">
        <v>90</v>
      </c>
      <c r="G787">
        <v>85</v>
      </c>
      <c r="H787">
        <v>79</v>
      </c>
    </row>
    <row r="788" spans="1:8">
      <c r="A788">
        <v>231932</v>
      </c>
      <c r="B788" t="s">
        <v>795</v>
      </c>
      <c r="C788">
        <v>101</v>
      </c>
      <c r="D788">
        <v>113</v>
      </c>
      <c r="E788">
        <v>115</v>
      </c>
      <c r="F788">
        <v>90</v>
      </c>
      <c r="G788">
        <v>85</v>
      </c>
      <c r="H788">
        <v>87</v>
      </c>
    </row>
    <row r="789" spans="1:8">
      <c r="A789">
        <v>231933</v>
      </c>
      <c r="B789" t="s">
        <v>796</v>
      </c>
      <c r="C789">
        <v>100</v>
      </c>
      <c r="D789">
        <v>109</v>
      </c>
      <c r="E789">
        <v>115.5</v>
      </c>
      <c r="F789">
        <v>88</v>
      </c>
      <c r="G789">
        <v>82</v>
      </c>
      <c r="H789">
        <v>82</v>
      </c>
    </row>
    <row r="790" spans="1:8">
      <c r="A790">
        <v>231934</v>
      </c>
      <c r="B790" t="s">
        <v>797</v>
      </c>
      <c r="C790">
        <v>100</v>
      </c>
      <c r="D790">
        <v>112</v>
      </c>
      <c r="E790">
        <v>111</v>
      </c>
      <c r="F790">
        <v>86</v>
      </c>
      <c r="G790">
        <v>79</v>
      </c>
      <c r="H790">
        <v>82</v>
      </c>
    </row>
    <row r="791" spans="1:8">
      <c r="A791">
        <v>231935</v>
      </c>
      <c r="B791" t="s">
        <v>798</v>
      </c>
      <c r="C791">
        <v>113</v>
      </c>
      <c r="D791">
        <v>112</v>
      </c>
      <c r="E791">
        <v>106</v>
      </c>
      <c r="F791">
        <v>89</v>
      </c>
      <c r="G791">
        <v>81</v>
      </c>
      <c r="H791">
        <v>89</v>
      </c>
    </row>
    <row r="792" spans="1:8">
      <c r="A792">
        <v>231936</v>
      </c>
      <c r="B792" t="s">
        <v>799</v>
      </c>
      <c r="C792">
        <v>97.5</v>
      </c>
      <c r="D792">
        <v>103</v>
      </c>
      <c r="E792">
        <v>108.5</v>
      </c>
      <c r="F792">
        <v>87</v>
      </c>
      <c r="G792">
        <v>71</v>
      </c>
      <c r="H792">
        <v>81</v>
      </c>
    </row>
    <row r="793" spans="1:8">
      <c r="A793">
        <v>231937</v>
      </c>
      <c r="B793" t="s">
        <v>800</v>
      </c>
      <c r="C793">
        <v>104</v>
      </c>
      <c r="D793">
        <v>95</v>
      </c>
      <c r="E793">
        <v>111</v>
      </c>
      <c r="F793">
        <v>86</v>
      </c>
      <c r="G793">
        <v>78</v>
      </c>
      <c r="H793">
        <v>79</v>
      </c>
    </row>
    <row r="794" spans="1:8">
      <c r="A794">
        <v>231938</v>
      </c>
      <c r="B794" t="s">
        <v>801</v>
      </c>
      <c r="C794">
        <v>102</v>
      </c>
      <c r="D794">
        <v>96</v>
      </c>
      <c r="E794">
        <v>109</v>
      </c>
      <c r="F794">
        <v>85</v>
      </c>
      <c r="G794">
        <v>75</v>
      </c>
      <c r="H794">
        <v>80</v>
      </c>
    </row>
    <row r="795" spans="1:8">
      <c r="A795">
        <v>231939</v>
      </c>
      <c r="B795" t="s">
        <v>802</v>
      </c>
      <c r="C795">
        <v>99</v>
      </c>
      <c r="D795">
        <v>110</v>
      </c>
      <c r="E795">
        <v>110</v>
      </c>
      <c r="F795">
        <v>87</v>
      </c>
      <c r="G795">
        <v>69</v>
      </c>
      <c r="H795">
        <v>85</v>
      </c>
    </row>
    <row r="796" spans="1:8">
      <c r="A796">
        <v>231940</v>
      </c>
      <c r="B796" t="s">
        <v>803</v>
      </c>
      <c r="C796">
        <v>105</v>
      </c>
      <c r="D796">
        <v>104</v>
      </c>
      <c r="E796">
        <v>113.5</v>
      </c>
      <c r="F796">
        <v>87</v>
      </c>
      <c r="G796">
        <v>84</v>
      </c>
      <c r="H796">
        <v>77</v>
      </c>
    </row>
    <row r="797" spans="1:8">
      <c r="A797">
        <v>231941</v>
      </c>
      <c r="B797" t="s">
        <v>804</v>
      </c>
      <c r="C797">
        <v>106</v>
      </c>
      <c r="D797">
        <v>94</v>
      </c>
      <c r="E797">
        <v>115</v>
      </c>
      <c r="F797">
        <v>86</v>
      </c>
      <c r="G797">
        <v>77</v>
      </c>
      <c r="H797">
        <v>85</v>
      </c>
    </row>
    <row r="798" spans="1:8">
      <c r="A798">
        <v>231942</v>
      </c>
      <c r="B798" t="s">
        <v>805</v>
      </c>
      <c r="C798">
        <v>99</v>
      </c>
      <c r="D798">
        <v>101</v>
      </c>
      <c r="E798">
        <v>113</v>
      </c>
      <c r="F798">
        <v>85</v>
      </c>
      <c r="G798">
        <v>75</v>
      </c>
      <c r="H798">
        <v>81</v>
      </c>
    </row>
    <row r="799" spans="1:8">
      <c r="A799">
        <v>231943</v>
      </c>
      <c r="B799" t="s">
        <v>806</v>
      </c>
      <c r="C799">
        <v>100</v>
      </c>
      <c r="D799">
        <v>100</v>
      </c>
      <c r="E799">
        <v>111</v>
      </c>
      <c r="F799">
        <v>90</v>
      </c>
      <c r="G799">
        <v>76</v>
      </c>
      <c r="H799">
        <v>80</v>
      </c>
    </row>
    <row r="800" spans="1:8">
      <c r="A800">
        <v>231944</v>
      </c>
      <c r="B800" t="s">
        <v>807</v>
      </c>
      <c r="C800">
        <v>110</v>
      </c>
      <c r="D800">
        <v>102</v>
      </c>
      <c r="E800">
        <v>118.5</v>
      </c>
      <c r="F800">
        <v>89</v>
      </c>
      <c r="G800">
        <v>84</v>
      </c>
      <c r="H800">
        <v>85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00"/>
  <sheetViews>
    <sheetView topLeftCell="A778" workbookViewId="0">
      <selection activeCell="G2" sqref="A1:H800"/>
    </sheetView>
  </sheetViews>
  <sheetFormatPr defaultColWidth="9.23076923076923" defaultRowHeight="16.8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230101</v>
      </c>
      <c r="B2" t="s">
        <v>8</v>
      </c>
      <c r="C2">
        <f>VLOOKUP($B2,Sheet2!$A:$E,2,0)</f>
        <v>91</v>
      </c>
      <c r="D2">
        <f>VLOOKUP($B2,Sheet2!$A:$E,3,0)</f>
        <v>95</v>
      </c>
      <c r="E2">
        <f>VLOOKUP($B2,Sheet2!$A:$E,4,0)</f>
        <v>91</v>
      </c>
      <c r="F2">
        <f>VLOOKUP($B2,Sheet2!$A:$E,5,0)</f>
        <v>84</v>
      </c>
      <c r="G2">
        <f>VLOOKUP($B2,Sheet2!$A:$G,7,0)</f>
        <v>66</v>
      </c>
      <c r="H2">
        <f>VLOOKUP($B2,Sheet2!$A:$G,6,0)</f>
        <v>75</v>
      </c>
    </row>
    <row r="3" spans="1:8">
      <c r="A3">
        <v>230102</v>
      </c>
      <c r="B3" t="s">
        <v>9</v>
      </c>
      <c r="C3">
        <f>VLOOKUP($B3,Sheet2!$A:$E,2,0)</f>
        <v>90</v>
      </c>
      <c r="D3">
        <f>VLOOKUP($B3,Sheet2!$A:$E,3,0)</f>
        <v>77</v>
      </c>
      <c r="E3">
        <f>VLOOKUP($B3,Sheet2!$A:$E,4,0)</f>
        <v>83.5</v>
      </c>
      <c r="F3">
        <f>VLOOKUP($B3,Sheet2!$A:$E,5,0)</f>
        <v>85</v>
      </c>
      <c r="G3">
        <f>VLOOKUP($B3,Sheet2!$A:$G,7,0)</f>
        <v>73</v>
      </c>
      <c r="H3">
        <f>VLOOKUP($B3,Sheet2!$A:$G,6,0)</f>
        <v>75</v>
      </c>
    </row>
    <row r="4" spans="1:8">
      <c r="A4">
        <v>230103</v>
      </c>
      <c r="B4" t="s">
        <v>10</v>
      </c>
      <c r="C4">
        <f>VLOOKUP($B4,Sheet2!$A:$E,2,0)</f>
        <v>85</v>
      </c>
      <c r="D4">
        <f>VLOOKUP($B4,Sheet2!$A:$E,3,0)</f>
        <v>85</v>
      </c>
      <c r="E4">
        <f>VLOOKUP($B4,Sheet2!$A:$E,4,0)</f>
        <v>66</v>
      </c>
      <c r="F4">
        <f>VLOOKUP($B4,Sheet2!$A:$E,5,0)</f>
        <v>81</v>
      </c>
      <c r="G4">
        <f>VLOOKUP($B4,Sheet2!$A:$G,7,0)</f>
        <v>71</v>
      </c>
      <c r="H4">
        <f>VLOOKUP($B4,Sheet2!$A:$G,6,0)</f>
        <v>53</v>
      </c>
    </row>
    <row r="5" spans="1:8">
      <c r="A5">
        <v>230105</v>
      </c>
      <c r="B5" t="s">
        <v>11</v>
      </c>
      <c r="C5">
        <f>VLOOKUP($B5,Sheet2!$A:$E,2,0)</f>
        <v>69</v>
      </c>
      <c r="D5">
        <f>VLOOKUP($B5,Sheet2!$A:$E,3,0)</f>
        <v>63</v>
      </c>
      <c r="E5">
        <f>VLOOKUP($B5,Sheet2!$A:$E,4,0)</f>
        <v>50.5</v>
      </c>
      <c r="F5">
        <f>VLOOKUP($B5,Sheet2!$A:$E,5,0)</f>
        <v>67</v>
      </c>
      <c r="G5">
        <f>VLOOKUP($B5,Sheet2!$A:$G,7,0)</f>
        <v>64</v>
      </c>
      <c r="H5">
        <f>VLOOKUP($B5,Sheet2!$A:$G,6,0)</f>
        <v>55</v>
      </c>
    </row>
    <row r="6" spans="1:8">
      <c r="A6">
        <v>230106</v>
      </c>
      <c r="B6" t="s">
        <v>12</v>
      </c>
      <c r="C6">
        <f>VLOOKUP($B6,Sheet2!$A:$E,2,0)</f>
        <v>57</v>
      </c>
      <c r="D6">
        <f>VLOOKUP($B6,Sheet2!$A:$E,3,0)</f>
        <v>68</v>
      </c>
      <c r="E6">
        <f>VLOOKUP($B6,Sheet2!$A:$E,4,0)</f>
        <v>73</v>
      </c>
      <c r="F6">
        <f>VLOOKUP($B6,Sheet2!$A:$E,5,0)</f>
        <v>46</v>
      </c>
      <c r="G6">
        <f>VLOOKUP($B6,Sheet2!$A:$G,7,0)</f>
        <v>51</v>
      </c>
      <c r="H6">
        <f>VLOOKUP($B6,Sheet2!$A:$G,6,0)</f>
        <v>34</v>
      </c>
    </row>
    <row r="7" spans="1:8">
      <c r="A7">
        <v>230108</v>
      </c>
      <c r="B7" t="s">
        <v>13</v>
      </c>
      <c r="C7">
        <f>VLOOKUP($B7,Sheet2!$A:$E,2,0)</f>
        <v>97</v>
      </c>
      <c r="D7">
        <f>VLOOKUP($B7,Sheet2!$A:$E,3,0)</f>
        <v>91</v>
      </c>
      <c r="E7">
        <f>VLOOKUP($B7,Sheet2!$A:$E,4,0)</f>
        <v>97</v>
      </c>
      <c r="F7">
        <f>VLOOKUP($B7,Sheet2!$A:$E,5,0)</f>
        <v>80</v>
      </c>
      <c r="G7">
        <f>VLOOKUP($B7,Sheet2!$A:$G,7,0)</f>
        <v>76</v>
      </c>
      <c r="H7">
        <f>VLOOKUP($B7,Sheet2!$A:$G,6,0)</f>
        <v>74</v>
      </c>
    </row>
    <row r="8" spans="1:8">
      <c r="A8">
        <v>230109</v>
      </c>
      <c r="B8" t="s">
        <v>14</v>
      </c>
      <c r="C8">
        <f>VLOOKUP($B8,Sheet2!$A:$E,2,0)</f>
        <v>91</v>
      </c>
      <c r="D8">
        <f>VLOOKUP($B8,Sheet2!$A:$E,3,0)</f>
        <v>71</v>
      </c>
      <c r="E8">
        <f>VLOOKUP($B8,Sheet2!$A:$E,4,0)</f>
        <v>65.5</v>
      </c>
      <c r="F8">
        <f>VLOOKUP($B8,Sheet2!$A:$E,5,0)</f>
        <v>48</v>
      </c>
      <c r="G8">
        <f>VLOOKUP($B8,Sheet2!$A:$G,7,0)</f>
        <v>59</v>
      </c>
      <c r="H8">
        <f>VLOOKUP($B8,Sheet2!$A:$G,6,0)</f>
        <v>49</v>
      </c>
    </row>
    <row r="9" spans="1:8">
      <c r="A9">
        <v>230110</v>
      </c>
      <c r="B9" t="s">
        <v>15</v>
      </c>
      <c r="C9">
        <f>VLOOKUP($B9,Sheet2!$A:$E,2,0)</f>
        <v>73.5</v>
      </c>
      <c r="D9">
        <f>VLOOKUP($B9,Sheet2!$A:$E,3,0)</f>
        <v>86</v>
      </c>
      <c r="E9">
        <f>VLOOKUP($B9,Sheet2!$A:$E,4,0)</f>
        <v>36</v>
      </c>
      <c r="F9">
        <f>VLOOKUP($B9,Sheet2!$A:$E,5,0)</f>
        <v>76</v>
      </c>
      <c r="G9">
        <f>VLOOKUP($B9,Sheet2!$A:$G,7,0)</f>
        <v>56</v>
      </c>
      <c r="H9">
        <f>VLOOKUP($B9,Sheet2!$A:$G,6,0)</f>
        <v>60</v>
      </c>
    </row>
    <row r="10" spans="1:8">
      <c r="A10">
        <v>230111</v>
      </c>
      <c r="B10" t="s">
        <v>16</v>
      </c>
      <c r="C10">
        <f>VLOOKUP($B10,Sheet2!$A:$E,2,0)</f>
        <v>90</v>
      </c>
      <c r="D10">
        <f>VLOOKUP($B10,Sheet2!$A:$E,3,0)</f>
        <v>96</v>
      </c>
      <c r="E10">
        <f>VLOOKUP($B10,Sheet2!$A:$E,4,0)</f>
        <v>105</v>
      </c>
      <c r="F10">
        <f>VLOOKUP($B10,Sheet2!$A:$E,5,0)</f>
        <v>87</v>
      </c>
      <c r="G10">
        <f>VLOOKUP($B10,Sheet2!$A:$G,7,0)</f>
        <v>77</v>
      </c>
      <c r="H10">
        <f>VLOOKUP($B10,Sheet2!$A:$G,6,0)</f>
        <v>66</v>
      </c>
    </row>
    <row r="11" spans="1:8">
      <c r="A11">
        <v>230112</v>
      </c>
      <c r="B11" t="s">
        <v>17</v>
      </c>
      <c r="C11">
        <f>VLOOKUP($B11,Sheet2!$A:$E,2,0)</f>
        <v>61</v>
      </c>
      <c r="D11">
        <f>VLOOKUP($B11,Sheet2!$A:$E,3,0)</f>
        <v>44</v>
      </c>
      <c r="E11">
        <f>VLOOKUP($B11,Sheet2!$A:$E,4,0)</f>
        <v>53</v>
      </c>
      <c r="F11">
        <f>VLOOKUP($B11,Sheet2!$A:$E,5,0)</f>
        <v>53</v>
      </c>
      <c r="G11">
        <f>VLOOKUP($B11,Sheet2!$A:$G,7,0)</f>
        <v>40</v>
      </c>
      <c r="H11">
        <f>VLOOKUP($B11,Sheet2!$A:$G,6,0)</f>
        <v>32</v>
      </c>
    </row>
    <row r="12" spans="1:8">
      <c r="A12">
        <v>230114</v>
      </c>
      <c r="B12" t="s">
        <v>18</v>
      </c>
      <c r="C12">
        <f>VLOOKUP($B12,Sheet2!$A:$E,2,0)</f>
        <v>54</v>
      </c>
      <c r="D12">
        <f>VLOOKUP($B12,Sheet2!$A:$E,3,0)</f>
        <v>19</v>
      </c>
      <c r="E12">
        <f>VLOOKUP($B12,Sheet2!$A:$E,4,0)</f>
        <v>42.5</v>
      </c>
      <c r="F12">
        <f>VLOOKUP($B12,Sheet2!$A:$E,5,0)</f>
        <v>20</v>
      </c>
      <c r="G12">
        <f>VLOOKUP($B12,Sheet2!$A:$G,7,0)</f>
        <v>45</v>
      </c>
      <c r="H12">
        <f>VLOOKUP($B12,Sheet2!$A:$G,6,0)</f>
        <v>33</v>
      </c>
    </row>
    <row r="13" spans="1:8">
      <c r="A13">
        <v>230115</v>
      </c>
      <c r="B13" t="s">
        <v>19</v>
      </c>
      <c r="C13">
        <f>VLOOKUP($B13,Sheet2!$A:$E,2,0)</f>
        <v>94</v>
      </c>
      <c r="D13">
        <f>VLOOKUP($B13,Sheet2!$A:$E,3,0)</f>
        <v>76</v>
      </c>
      <c r="E13">
        <f>VLOOKUP($B13,Sheet2!$A:$E,4,0)</f>
        <v>78.5</v>
      </c>
      <c r="F13">
        <f>VLOOKUP($B13,Sheet2!$A:$E,5,0)</f>
        <v>65</v>
      </c>
      <c r="G13">
        <f>VLOOKUP($B13,Sheet2!$A:$G,7,0)</f>
        <v>67</v>
      </c>
      <c r="H13">
        <f>VLOOKUP($B13,Sheet2!$A:$G,6,0)</f>
        <v>68</v>
      </c>
    </row>
    <row r="14" spans="1:8">
      <c r="A14">
        <v>230117</v>
      </c>
      <c r="B14" t="s">
        <v>20</v>
      </c>
      <c r="C14">
        <f>VLOOKUP($B14,Sheet2!$A:$E,2,0)</f>
        <v>79</v>
      </c>
      <c r="D14">
        <f>VLOOKUP($B14,Sheet2!$A:$E,3,0)</f>
        <v>75</v>
      </c>
      <c r="E14">
        <f>VLOOKUP($B14,Sheet2!$A:$E,4,0)</f>
        <v>59.5</v>
      </c>
      <c r="F14">
        <f>VLOOKUP($B14,Sheet2!$A:$E,5,0)</f>
        <v>72</v>
      </c>
      <c r="G14">
        <f>VLOOKUP($B14,Sheet2!$A:$G,7,0)</f>
        <v>66</v>
      </c>
      <c r="H14">
        <f>VLOOKUP($B14,Sheet2!$A:$G,6,0)</f>
        <v>66</v>
      </c>
    </row>
    <row r="15" spans="1:8">
      <c r="A15">
        <v>230118</v>
      </c>
      <c r="B15" t="s">
        <v>21</v>
      </c>
      <c r="C15">
        <f>VLOOKUP($B15,Sheet2!$A:$E,2,0)</f>
        <v>87</v>
      </c>
      <c r="D15">
        <f>VLOOKUP($B15,Sheet2!$A:$E,3,0)</f>
        <v>77</v>
      </c>
      <c r="E15">
        <f>VLOOKUP($B15,Sheet2!$A:$E,4,0)</f>
        <v>58</v>
      </c>
      <c r="F15">
        <f>VLOOKUP($B15,Sheet2!$A:$E,5,0)</f>
        <v>68</v>
      </c>
      <c r="G15">
        <f>VLOOKUP($B15,Sheet2!$A:$G,7,0)</f>
        <v>68</v>
      </c>
      <c r="H15">
        <f>VLOOKUP($B15,Sheet2!$A:$G,6,0)</f>
        <v>62</v>
      </c>
    </row>
    <row r="16" spans="1:8">
      <c r="A16">
        <v>230119</v>
      </c>
      <c r="B16" t="s">
        <v>22</v>
      </c>
      <c r="C16">
        <f>VLOOKUP($B16,Sheet2!$A:$E,2,0)</f>
        <v>89</v>
      </c>
      <c r="D16">
        <f>VLOOKUP($B16,Sheet2!$A:$E,3,0)</f>
        <v>75</v>
      </c>
      <c r="E16">
        <f>VLOOKUP($B16,Sheet2!$A:$E,4,0)</f>
        <v>81</v>
      </c>
      <c r="F16">
        <f>VLOOKUP($B16,Sheet2!$A:$E,5,0)</f>
        <v>77</v>
      </c>
      <c r="G16">
        <f>VLOOKUP($B16,Sheet2!$A:$G,7,0)</f>
        <v>74</v>
      </c>
      <c r="H16">
        <f>VLOOKUP($B16,Sheet2!$A:$G,6,0)</f>
        <v>86</v>
      </c>
    </row>
    <row r="17" spans="1:8">
      <c r="A17">
        <v>230120</v>
      </c>
      <c r="B17" t="s">
        <v>23</v>
      </c>
      <c r="C17">
        <f>VLOOKUP($B17,Sheet2!$A:$E,2,0)</f>
        <v>84</v>
      </c>
      <c r="D17">
        <f>VLOOKUP($B17,Sheet2!$A:$E,3,0)</f>
        <v>82</v>
      </c>
      <c r="E17">
        <f>VLOOKUP($B17,Sheet2!$A:$E,4,0)</f>
        <v>71.5</v>
      </c>
      <c r="F17">
        <f>VLOOKUP($B17,Sheet2!$A:$E,5,0)</f>
        <v>54</v>
      </c>
      <c r="G17">
        <f>VLOOKUP($B17,Sheet2!$A:$G,7,0)</f>
        <v>73</v>
      </c>
      <c r="H17">
        <f>VLOOKUP($B17,Sheet2!$A:$G,6,0)</f>
        <v>72</v>
      </c>
    </row>
    <row r="18" spans="1:8">
      <c r="A18">
        <v>230121</v>
      </c>
      <c r="B18" t="s">
        <v>24</v>
      </c>
      <c r="C18">
        <f>VLOOKUP($B18,Sheet2!$A:$E,2,0)</f>
        <v>95</v>
      </c>
      <c r="D18">
        <f>VLOOKUP($B18,Sheet2!$A:$E,3,0)</f>
        <v>79</v>
      </c>
      <c r="E18">
        <f>VLOOKUP($B18,Sheet2!$A:$E,4,0)</f>
        <v>101</v>
      </c>
      <c r="F18">
        <f>VLOOKUP($B18,Sheet2!$A:$E,5,0)</f>
        <v>82</v>
      </c>
      <c r="G18">
        <f>VLOOKUP($B18,Sheet2!$A:$G,7,0)</f>
        <v>83</v>
      </c>
      <c r="H18">
        <f>VLOOKUP($B18,Sheet2!$A:$G,6,0)</f>
        <v>81</v>
      </c>
    </row>
    <row r="19" spans="1:8">
      <c r="A19">
        <v>230122</v>
      </c>
      <c r="B19" t="s">
        <v>25</v>
      </c>
      <c r="C19">
        <f>VLOOKUP($B19,Sheet2!$A:$E,2,0)</f>
        <v>93</v>
      </c>
      <c r="D19">
        <f>VLOOKUP($B19,Sheet2!$A:$E,3,0)</f>
        <v>86</v>
      </c>
      <c r="E19">
        <f>VLOOKUP($B19,Sheet2!$A:$E,4,0)</f>
        <v>72</v>
      </c>
      <c r="F19">
        <f>VLOOKUP($B19,Sheet2!$A:$E,5,0)</f>
        <v>84</v>
      </c>
      <c r="G19">
        <f>VLOOKUP($B19,Sheet2!$A:$G,7,0)</f>
        <v>76</v>
      </c>
      <c r="H19">
        <f>VLOOKUP($B19,Sheet2!$A:$G,6,0)</f>
        <v>76</v>
      </c>
    </row>
    <row r="20" spans="1:8">
      <c r="A20">
        <v>230123</v>
      </c>
      <c r="B20" t="s">
        <v>26</v>
      </c>
      <c r="C20">
        <f>VLOOKUP($B20,Sheet2!$A:$E,2,0)</f>
        <v>86</v>
      </c>
      <c r="D20">
        <f>VLOOKUP($B20,Sheet2!$A:$E,3,0)</f>
        <v>91</v>
      </c>
      <c r="E20">
        <f>VLOOKUP($B20,Sheet2!$A:$E,4,0)</f>
        <v>104.5</v>
      </c>
      <c r="F20">
        <f>VLOOKUP($B20,Sheet2!$A:$E,5,0)</f>
        <v>71</v>
      </c>
      <c r="G20">
        <f>VLOOKUP($B20,Sheet2!$A:$G,7,0)</f>
        <v>72</v>
      </c>
      <c r="H20">
        <f>VLOOKUP($B20,Sheet2!$A:$G,6,0)</f>
        <v>83</v>
      </c>
    </row>
    <row r="21" spans="1:8">
      <c r="A21">
        <v>230124</v>
      </c>
      <c r="B21" t="s">
        <v>27</v>
      </c>
      <c r="C21">
        <f>VLOOKUP($B21,Sheet2!$A:$E,2,0)</f>
        <v>80</v>
      </c>
      <c r="D21">
        <f>VLOOKUP($B21,Sheet2!$A:$E,3,0)</f>
        <v>77</v>
      </c>
      <c r="E21">
        <f>VLOOKUP($B21,Sheet2!$A:$E,4,0)</f>
        <v>87.5</v>
      </c>
      <c r="F21">
        <f>VLOOKUP($B21,Sheet2!$A:$E,5,0)</f>
        <v>78</v>
      </c>
      <c r="G21">
        <f>VLOOKUP($B21,Sheet2!$A:$G,7,0)</f>
        <v>66</v>
      </c>
      <c r="H21">
        <f>VLOOKUP($B21,Sheet2!$A:$G,6,0)</f>
        <v>55</v>
      </c>
    </row>
    <row r="22" spans="1:8">
      <c r="A22">
        <v>230125</v>
      </c>
      <c r="B22" t="s">
        <v>28</v>
      </c>
      <c r="C22">
        <f>VLOOKUP($B22,Sheet2!$A:$E,2,0)</f>
        <v>63</v>
      </c>
      <c r="D22">
        <f>VLOOKUP($B22,Sheet2!$A:$E,3,0)</f>
        <v>55</v>
      </c>
      <c r="E22">
        <f>VLOOKUP($B22,Sheet2!$A:$E,4,0)</f>
        <v>69.5</v>
      </c>
      <c r="F22">
        <f>VLOOKUP($B22,Sheet2!$A:$E,5,0)</f>
        <v>53</v>
      </c>
      <c r="G22">
        <f>VLOOKUP($B22,Sheet2!$A:$G,7,0)</f>
        <v>67</v>
      </c>
      <c r="H22">
        <f>VLOOKUP($B22,Sheet2!$A:$G,6,0)</f>
        <v>56</v>
      </c>
    </row>
    <row r="23" spans="1:8">
      <c r="A23">
        <v>230126</v>
      </c>
      <c r="B23" t="s">
        <v>29</v>
      </c>
      <c r="C23">
        <f>VLOOKUP($B23,Sheet2!$A:$E,2,0)</f>
        <v>80.5</v>
      </c>
      <c r="D23">
        <f>VLOOKUP($B23,Sheet2!$A:$E,3,0)</f>
        <v>76</v>
      </c>
      <c r="E23">
        <f>VLOOKUP($B23,Sheet2!$A:$E,4,0)</f>
        <v>35</v>
      </c>
      <c r="F23">
        <f>VLOOKUP($B23,Sheet2!$A:$E,5,0)</f>
        <v>48</v>
      </c>
      <c r="G23">
        <f>VLOOKUP($B23,Sheet2!$A:$G,7,0)</f>
        <v>56</v>
      </c>
      <c r="H23">
        <f>VLOOKUP($B23,Sheet2!$A:$G,6,0)</f>
        <v>55</v>
      </c>
    </row>
    <row r="24" spans="1:8">
      <c r="A24">
        <v>230127</v>
      </c>
      <c r="B24" t="s">
        <v>30</v>
      </c>
      <c r="C24">
        <f>VLOOKUP($B24,Sheet2!$A:$E,2,0)</f>
        <v>88.5</v>
      </c>
      <c r="D24">
        <f>VLOOKUP($B24,Sheet2!$A:$E,3,0)</f>
        <v>99</v>
      </c>
      <c r="E24">
        <f>VLOOKUP($B24,Sheet2!$A:$E,4,0)</f>
        <v>103</v>
      </c>
      <c r="F24">
        <f>VLOOKUP($B24,Sheet2!$A:$E,5,0)</f>
        <v>86</v>
      </c>
      <c r="G24">
        <f>VLOOKUP($B24,Sheet2!$A:$G,7,0)</f>
        <v>83</v>
      </c>
      <c r="H24">
        <f>VLOOKUP($B24,Sheet2!$A:$G,6,0)</f>
        <v>79</v>
      </c>
    </row>
    <row r="25" spans="1:8">
      <c r="A25">
        <v>230128</v>
      </c>
      <c r="B25" t="s">
        <v>31</v>
      </c>
      <c r="C25">
        <f>VLOOKUP($B25,Sheet2!$A:$E,2,0)</f>
        <v>67</v>
      </c>
      <c r="D25">
        <f>VLOOKUP($B25,Sheet2!$A:$E,3,0)</f>
        <v>28</v>
      </c>
      <c r="E25">
        <f>VLOOKUP($B25,Sheet2!$A:$E,4,0)</f>
        <v>62.5</v>
      </c>
      <c r="F25">
        <f>VLOOKUP($B25,Sheet2!$A:$E,5,0)</f>
        <v>42</v>
      </c>
      <c r="G25">
        <f>VLOOKUP($B25,Sheet2!$A:$G,7,0)</f>
        <v>60</v>
      </c>
      <c r="H25">
        <f>VLOOKUP($B25,Sheet2!$A:$G,6,0)</f>
        <v>43</v>
      </c>
    </row>
    <row r="26" spans="1:8">
      <c r="A26">
        <v>230129</v>
      </c>
      <c r="B26" t="s">
        <v>32</v>
      </c>
      <c r="C26">
        <f>VLOOKUP($B26,Sheet2!$A:$E,2,0)</f>
        <v>74</v>
      </c>
      <c r="D26">
        <f>VLOOKUP($B26,Sheet2!$A:$E,3,0)</f>
        <v>84</v>
      </c>
      <c r="E26">
        <f>VLOOKUP($B26,Sheet2!$A:$E,4,0)</f>
        <v>86.5</v>
      </c>
      <c r="F26">
        <f>VLOOKUP($B26,Sheet2!$A:$E,5,0)</f>
        <v>68</v>
      </c>
      <c r="G26">
        <f>VLOOKUP($B26,Sheet2!$A:$G,7,0)</f>
        <v>63</v>
      </c>
      <c r="H26">
        <f>VLOOKUP($B26,Sheet2!$A:$G,6,0)</f>
        <v>56</v>
      </c>
    </row>
    <row r="27" spans="1:8">
      <c r="A27">
        <v>230131</v>
      </c>
      <c r="B27" t="s">
        <v>33</v>
      </c>
      <c r="C27">
        <f>VLOOKUP($B27,Sheet2!$A:$E,2,0)</f>
        <v>72</v>
      </c>
      <c r="D27">
        <f>VLOOKUP($B27,Sheet2!$A:$E,3,0)</f>
        <v>55</v>
      </c>
      <c r="E27">
        <f>VLOOKUP($B27,Sheet2!$A:$E,4,0)</f>
        <v>97.5</v>
      </c>
      <c r="F27">
        <f>VLOOKUP($B27,Sheet2!$A:$E,5,0)</f>
        <v>35</v>
      </c>
      <c r="G27">
        <f>VLOOKUP($B27,Sheet2!$A:$G,7,0)</f>
        <v>45</v>
      </c>
      <c r="H27">
        <f>VLOOKUP($B27,Sheet2!$A:$G,6,0)</f>
        <v>44</v>
      </c>
    </row>
    <row r="28" spans="1:8">
      <c r="A28">
        <v>230132</v>
      </c>
      <c r="B28" t="s">
        <v>34</v>
      </c>
      <c r="C28">
        <f>VLOOKUP($B28,Sheet2!$A:$E,2,0)</f>
        <v>95</v>
      </c>
      <c r="D28">
        <f>VLOOKUP($B28,Sheet2!$A:$E,3,0)</f>
        <v>82</v>
      </c>
      <c r="E28">
        <f>VLOOKUP($B28,Sheet2!$A:$E,4,0)</f>
        <v>86.5</v>
      </c>
      <c r="F28">
        <f>VLOOKUP($B28,Sheet2!$A:$E,5,0)</f>
        <v>84</v>
      </c>
      <c r="G28">
        <f>VLOOKUP($B28,Sheet2!$A:$G,7,0)</f>
        <v>63</v>
      </c>
      <c r="H28">
        <f>VLOOKUP($B28,Sheet2!$A:$G,6,0)</f>
        <v>77</v>
      </c>
    </row>
    <row r="29" spans="1:8">
      <c r="A29">
        <v>230133</v>
      </c>
      <c r="B29" t="s">
        <v>35</v>
      </c>
      <c r="C29" t="str">
        <f>VLOOKUP($B29,Sheet2!$A:$E,2,0)</f>
        <v>未扫，不计排名</v>
      </c>
      <c r="D29" t="str">
        <f>VLOOKUP($B29,Sheet2!$A:$E,3,0)</f>
        <v>未扫，不计排名</v>
      </c>
      <c r="E29" t="str">
        <f>VLOOKUP($B29,Sheet2!$A:$E,4,0)</f>
        <v>未扫，不计排名</v>
      </c>
      <c r="F29" t="str">
        <f>VLOOKUP($B29,Sheet2!$A:$E,5,0)</f>
        <v>未扫，不计排名</v>
      </c>
      <c r="G29" t="str">
        <f>VLOOKUP($B29,Sheet2!$A:$G,7,0)</f>
        <v>未扫，不计排名</v>
      </c>
      <c r="H29" t="str">
        <f>VLOOKUP($B29,Sheet2!$A:$G,6,0)</f>
        <v>未扫，不计排名</v>
      </c>
    </row>
    <row r="30" spans="1:8">
      <c r="A30">
        <v>230134</v>
      </c>
      <c r="B30" t="s">
        <v>37</v>
      </c>
      <c r="C30">
        <f>VLOOKUP($B30,Sheet2!$A:$E,2,0)</f>
        <v>75</v>
      </c>
      <c r="D30">
        <f>VLOOKUP($B30,Sheet2!$A:$E,3,0)</f>
        <v>59</v>
      </c>
      <c r="E30">
        <f>VLOOKUP($B30,Sheet2!$A:$E,4,0)</f>
        <v>83.5</v>
      </c>
      <c r="F30">
        <f>VLOOKUP($B30,Sheet2!$A:$E,5,0)</f>
        <v>64</v>
      </c>
      <c r="G30">
        <f>VLOOKUP($B30,Sheet2!$A:$G,7,0)</f>
        <v>57</v>
      </c>
      <c r="H30">
        <f>VLOOKUP($B30,Sheet2!$A:$G,6,0)</f>
        <v>58</v>
      </c>
    </row>
    <row r="31" spans="1:8">
      <c r="A31">
        <v>230135</v>
      </c>
      <c r="B31" t="s">
        <v>38</v>
      </c>
      <c r="C31">
        <f>VLOOKUP($B31,Sheet2!$A:$E,2,0)</f>
        <v>78.5</v>
      </c>
      <c r="D31">
        <f>VLOOKUP($B31,Sheet2!$A:$E,3,0)</f>
        <v>68</v>
      </c>
      <c r="E31">
        <f>VLOOKUP($B31,Sheet2!$A:$E,4,0)</f>
        <v>56</v>
      </c>
      <c r="F31">
        <f>VLOOKUP($B31,Sheet2!$A:$E,5,0)</f>
        <v>52</v>
      </c>
      <c r="G31">
        <f>VLOOKUP($B31,Sheet2!$A:$G,7,0)</f>
        <v>56</v>
      </c>
      <c r="H31">
        <f>VLOOKUP($B31,Sheet2!$A:$G,6,0)</f>
        <v>50</v>
      </c>
    </row>
    <row r="32" spans="1:8">
      <c r="A32">
        <v>230136</v>
      </c>
      <c r="B32" t="s">
        <v>39</v>
      </c>
      <c r="C32">
        <f>VLOOKUP($B32,Sheet2!$A:$E,2,0)</f>
        <v>89</v>
      </c>
      <c r="D32">
        <f>VLOOKUP($B32,Sheet2!$A:$E,3,0)</f>
        <v>93</v>
      </c>
      <c r="E32">
        <f>VLOOKUP($B32,Sheet2!$A:$E,4,0)</f>
        <v>81.5</v>
      </c>
      <c r="F32">
        <f>VLOOKUP($B32,Sheet2!$A:$E,5,0)</f>
        <v>84</v>
      </c>
      <c r="G32">
        <f>VLOOKUP($B32,Sheet2!$A:$G,7,0)</f>
        <v>72</v>
      </c>
      <c r="H32">
        <f>VLOOKUP($B32,Sheet2!$A:$G,6,0)</f>
        <v>65</v>
      </c>
    </row>
    <row r="33" spans="1:8">
      <c r="A33">
        <v>230137</v>
      </c>
      <c r="B33" t="s">
        <v>40</v>
      </c>
      <c r="C33">
        <f>VLOOKUP($B33,Sheet2!$A:$E,2,0)</f>
        <v>70.5</v>
      </c>
      <c r="D33">
        <f>VLOOKUP($B33,Sheet2!$A:$E,3,0)</f>
        <v>72</v>
      </c>
      <c r="E33">
        <f>VLOOKUP($B33,Sheet2!$A:$E,4,0)</f>
        <v>65</v>
      </c>
      <c r="F33">
        <f>VLOOKUP($B33,Sheet2!$A:$E,5,0)</f>
        <v>55</v>
      </c>
      <c r="G33">
        <f>VLOOKUP($B33,Sheet2!$A:$G,7,0)</f>
        <v>60</v>
      </c>
      <c r="H33">
        <f>VLOOKUP($B33,Sheet2!$A:$G,6,0)</f>
        <v>71</v>
      </c>
    </row>
    <row r="34" spans="1:8">
      <c r="A34">
        <v>230138</v>
      </c>
      <c r="B34" t="s">
        <v>41</v>
      </c>
      <c r="C34">
        <f>VLOOKUP($B34,Sheet2!$A:$E,2,0)</f>
        <v>95</v>
      </c>
      <c r="D34">
        <f>VLOOKUP($B34,Sheet2!$A:$E,3,0)</f>
        <v>68</v>
      </c>
      <c r="E34">
        <f>VLOOKUP($B34,Sheet2!$A:$E,4,0)</f>
        <v>92.5</v>
      </c>
      <c r="F34">
        <f>VLOOKUP($B34,Sheet2!$A:$E,5,0)</f>
        <v>76</v>
      </c>
      <c r="G34">
        <f>VLOOKUP($B34,Sheet2!$A:$G,7,0)</f>
        <v>74</v>
      </c>
      <c r="H34">
        <f>VLOOKUP($B34,Sheet2!$A:$G,6,0)</f>
        <v>77</v>
      </c>
    </row>
    <row r="35" spans="1:8">
      <c r="A35">
        <v>230139</v>
      </c>
      <c r="B35" t="s">
        <v>42</v>
      </c>
      <c r="C35">
        <f>VLOOKUP($B35,Sheet2!$A:$E,2,0)</f>
        <v>75</v>
      </c>
      <c r="D35">
        <f>VLOOKUP($B35,Sheet2!$A:$E,3,0)</f>
        <v>70</v>
      </c>
      <c r="E35">
        <f>VLOOKUP($B35,Sheet2!$A:$E,4,0)</f>
        <v>88.5</v>
      </c>
      <c r="F35">
        <f>VLOOKUP($B35,Sheet2!$A:$E,5,0)</f>
        <v>57</v>
      </c>
      <c r="G35">
        <f>VLOOKUP($B35,Sheet2!$A:$G,7,0)</f>
        <v>59</v>
      </c>
      <c r="H35">
        <f>VLOOKUP($B35,Sheet2!$A:$G,6,0)</f>
        <v>60</v>
      </c>
    </row>
    <row r="36" spans="1:8">
      <c r="A36">
        <v>230141</v>
      </c>
      <c r="B36" t="s">
        <v>43</v>
      </c>
      <c r="C36">
        <f>VLOOKUP($B36,Sheet2!$A:$E,2,0)</f>
        <v>95</v>
      </c>
      <c r="D36">
        <f>VLOOKUP($B36,Sheet2!$A:$E,3,0)</f>
        <v>85</v>
      </c>
      <c r="E36">
        <f>VLOOKUP($B36,Sheet2!$A:$E,4,0)</f>
        <v>80</v>
      </c>
      <c r="F36">
        <f>VLOOKUP($B36,Sheet2!$A:$E,5,0)</f>
        <v>82</v>
      </c>
      <c r="G36">
        <f>VLOOKUP($B36,Sheet2!$A:$G,7,0)</f>
        <v>77</v>
      </c>
      <c r="H36">
        <f>VLOOKUP($B36,Sheet2!$A:$G,6,0)</f>
        <v>80</v>
      </c>
    </row>
    <row r="37" spans="1:8">
      <c r="A37">
        <v>230142</v>
      </c>
      <c r="B37" t="s">
        <v>44</v>
      </c>
      <c r="C37">
        <f>VLOOKUP($B37,Sheet2!$A:$E,2,0)</f>
        <v>63</v>
      </c>
      <c r="D37">
        <f>VLOOKUP($B37,Sheet2!$A:$E,3,0)</f>
        <v>27</v>
      </c>
      <c r="E37">
        <f>VLOOKUP($B37,Sheet2!$A:$E,4,0)</f>
        <v>35</v>
      </c>
      <c r="F37">
        <f>VLOOKUP($B37,Sheet2!$A:$E,5,0)</f>
        <v>54</v>
      </c>
      <c r="G37">
        <f>VLOOKUP($B37,Sheet2!$A:$G,7,0)</f>
        <v>52</v>
      </c>
      <c r="H37">
        <f>VLOOKUP($B37,Sheet2!$A:$G,6,0)</f>
        <v>54</v>
      </c>
    </row>
    <row r="38" spans="1:8">
      <c r="A38">
        <v>230143</v>
      </c>
      <c r="B38" t="s">
        <v>45</v>
      </c>
      <c r="C38">
        <f>VLOOKUP($B38,Sheet2!$A:$E,2,0)</f>
        <v>83</v>
      </c>
      <c r="D38">
        <f>VLOOKUP($B38,Sheet2!$A:$E,3,0)</f>
        <v>77</v>
      </c>
      <c r="E38">
        <f>VLOOKUP($B38,Sheet2!$A:$E,4,0)</f>
        <v>73.5</v>
      </c>
      <c r="F38">
        <f>VLOOKUP($B38,Sheet2!$A:$E,5,0)</f>
        <v>73</v>
      </c>
      <c r="G38">
        <f>VLOOKUP($B38,Sheet2!$A:$G,7,0)</f>
        <v>54</v>
      </c>
      <c r="H38">
        <f>VLOOKUP($B38,Sheet2!$A:$G,6,0)</f>
        <v>59</v>
      </c>
    </row>
    <row r="39" spans="1:8">
      <c r="A39">
        <v>230144</v>
      </c>
      <c r="B39" t="s">
        <v>46</v>
      </c>
      <c r="C39">
        <f>VLOOKUP($B39,Sheet2!$A:$E,2,0)</f>
        <v>88</v>
      </c>
      <c r="D39">
        <f>VLOOKUP($B39,Sheet2!$A:$E,3,0)</f>
        <v>74</v>
      </c>
      <c r="E39">
        <f>VLOOKUP($B39,Sheet2!$A:$E,4,0)</f>
        <v>59</v>
      </c>
      <c r="F39">
        <f>VLOOKUP($B39,Sheet2!$A:$E,5,0)</f>
        <v>75</v>
      </c>
      <c r="G39">
        <f>VLOOKUP($B39,Sheet2!$A:$G,7,0)</f>
        <v>67</v>
      </c>
      <c r="H39">
        <f>VLOOKUP($B39,Sheet2!$A:$G,6,0)</f>
        <v>61</v>
      </c>
    </row>
    <row r="40" spans="1:8">
      <c r="A40">
        <v>230146</v>
      </c>
      <c r="B40" t="s">
        <v>47</v>
      </c>
      <c r="C40">
        <f>VLOOKUP($B40,Sheet2!$A:$E,2,0)</f>
        <v>87</v>
      </c>
      <c r="D40">
        <f>VLOOKUP($B40,Sheet2!$A:$E,3,0)</f>
        <v>75</v>
      </c>
      <c r="E40">
        <f>VLOOKUP($B40,Sheet2!$A:$E,4,0)</f>
        <v>63</v>
      </c>
      <c r="F40">
        <f>VLOOKUP($B40,Sheet2!$A:$E,5,0)</f>
        <v>65</v>
      </c>
      <c r="G40">
        <f>VLOOKUP($B40,Sheet2!$A:$G,7,0)</f>
        <v>76</v>
      </c>
      <c r="H40">
        <f>VLOOKUP($B40,Sheet2!$A:$G,6,0)</f>
        <v>77</v>
      </c>
    </row>
    <row r="41" spans="1:8">
      <c r="A41">
        <v>230147</v>
      </c>
      <c r="B41" t="s">
        <v>48</v>
      </c>
      <c r="C41" t="e">
        <f>VLOOKUP($B41,Sheet2!$A:$E,2,0)</f>
        <v>#N/A</v>
      </c>
      <c r="D41" t="e">
        <f>VLOOKUP($B41,Sheet2!$A:$E,3,0)</f>
        <v>#N/A</v>
      </c>
      <c r="E41" t="e">
        <f>VLOOKUP($B41,Sheet2!$A:$E,4,0)</f>
        <v>#N/A</v>
      </c>
      <c r="F41" t="e">
        <f>VLOOKUP($B41,Sheet2!$A:$E,5,0)</f>
        <v>#N/A</v>
      </c>
      <c r="G41" t="e">
        <f>VLOOKUP($B41,Sheet2!$A:$G,7,0)</f>
        <v>#N/A</v>
      </c>
      <c r="H41" t="e">
        <f>VLOOKUP($B41,Sheet2!$A:$G,6,0)</f>
        <v>#N/A</v>
      </c>
    </row>
    <row r="42" spans="1:8">
      <c r="A42">
        <v>230202</v>
      </c>
      <c r="B42" t="s">
        <v>49</v>
      </c>
      <c r="C42">
        <f>VLOOKUP($B42,Sheet2!$A:$E,2,0)</f>
        <v>86.5</v>
      </c>
      <c r="D42">
        <f>VLOOKUP($B42,Sheet2!$A:$E,3,0)</f>
        <v>75</v>
      </c>
      <c r="E42">
        <f>VLOOKUP($B42,Sheet2!$A:$E,4,0)</f>
        <v>101.5</v>
      </c>
      <c r="F42">
        <f>VLOOKUP($B42,Sheet2!$A:$E,5,0)</f>
        <v>56</v>
      </c>
      <c r="G42">
        <f>VLOOKUP($B42,Sheet2!$A:$G,7,0)</f>
        <v>55</v>
      </c>
      <c r="H42">
        <f>VLOOKUP($B42,Sheet2!$A:$G,6,0)</f>
        <v>67</v>
      </c>
    </row>
    <row r="43" spans="1:8">
      <c r="A43">
        <v>230203</v>
      </c>
      <c r="B43" t="s">
        <v>50</v>
      </c>
      <c r="C43">
        <f>VLOOKUP($B43,Sheet2!$A:$E,2,0)</f>
        <v>87</v>
      </c>
      <c r="D43">
        <f>VLOOKUP($B43,Sheet2!$A:$E,3,0)</f>
        <v>78</v>
      </c>
      <c r="E43">
        <f>VLOOKUP($B43,Sheet2!$A:$E,4,0)</f>
        <v>64.5</v>
      </c>
      <c r="F43">
        <f>VLOOKUP($B43,Sheet2!$A:$E,5,0)</f>
        <v>84</v>
      </c>
      <c r="G43">
        <f>VLOOKUP($B43,Sheet2!$A:$G,7,0)</f>
        <v>69</v>
      </c>
      <c r="H43">
        <f>VLOOKUP($B43,Sheet2!$A:$G,6,0)</f>
        <v>60</v>
      </c>
    </row>
    <row r="44" spans="1:8">
      <c r="A44">
        <v>230204</v>
      </c>
      <c r="B44" t="s">
        <v>51</v>
      </c>
      <c r="C44">
        <f>VLOOKUP($B44,Sheet2!$A:$E,2,0)</f>
        <v>80</v>
      </c>
      <c r="D44">
        <f>VLOOKUP($B44,Sheet2!$A:$E,3,0)</f>
        <v>61</v>
      </c>
      <c r="E44">
        <f>VLOOKUP($B44,Sheet2!$A:$E,4,0)</f>
        <v>33</v>
      </c>
      <c r="F44">
        <f>VLOOKUP($B44,Sheet2!$A:$E,5,0)</f>
        <v>76</v>
      </c>
      <c r="G44">
        <f>VLOOKUP($B44,Sheet2!$A:$G,7,0)</f>
        <v>62</v>
      </c>
      <c r="H44">
        <f>VLOOKUP($B44,Sheet2!$A:$G,6,0)</f>
        <v>72</v>
      </c>
    </row>
    <row r="45" spans="1:8">
      <c r="A45">
        <v>230205</v>
      </c>
      <c r="B45" t="s">
        <v>52</v>
      </c>
      <c r="C45">
        <f>VLOOKUP($B45,Sheet2!$A:$E,2,0)</f>
        <v>56</v>
      </c>
      <c r="D45">
        <f>VLOOKUP($B45,Sheet2!$A:$E,3,0)</f>
        <v>23</v>
      </c>
      <c r="E45">
        <f>VLOOKUP($B45,Sheet2!$A:$E,4,0)</f>
        <v>24</v>
      </c>
      <c r="F45">
        <f>VLOOKUP($B45,Sheet2!$A:$E,5,0)</f>
        <v>45</v>
      </c>
      <c r="G45">
        <f>VLOOKUP($B45,Sheet2!$A:$G,7,0)</f>
        <v>42</v>
      </c>
      <c r="H45">
        <f>VLOOKUP($B45,Sheet2!$A:$G,6,0)</f>
        <v>26</v>
      </c>
    </row>
    <row r="46" spans="1:8">
      <c r="A46">
        <v>230206</v>
      </c>
      <c r="B46" t="s">
        <v>53</v>
      </c>
      <c r="C46">
        <f>VLOOKUP($B46,Sheet2!$A:$E,2,0)</f>
        <v>93</v>
      </c>
      <c r="D46">
        <f>VLOOKUP($B46,Sheet2!$A:$E,3,0)</f>
        <v>59</v>
      </c>
      <c r="E46">
        <f>VLOOKUP($B46,Sheet2!$A:$E,4,0)</f>
        <v>86.5</v>
      </c>
      <c r="F46">
        <f>VLOOKUP($B46,Sheet2!$A:$E,5,0)</f>
        <v>59</v>
      </c>
      <c r="G46">
        <f>VLOOKUP($B46,Sheet2!$A:$G,7,0)</f>
        <v>67</v>
      </c>
      <c r="H46">
        <f>VLOOKUP($B46,Sheet2!$A:$G,6,0)</f>
        <v>86</v>
      </c>
    </row>
    <row r="47" spans="1:8">
      <c r="A47">
        <v>230208</v>
      </c>
      <c r="B47" t="s">
        <v>54</v>
      </c>
      <c r="C47">
        <f>VLOOKUP($B47,Sheet2!$A:$E,2,0)</f>
        <v>93</v>
      </c>
      <c r="D47">
        <f>VLOOKUP($B47,Sheet2!$A:$E,3,0)</f>
        <v>69</v>
      </c>
      <c r="E47">
        <f>VLOOKUP($B47,Sheet2!$A:$E,4,0)</f>
        <v>78</v>
      </c>
      <c r="F47">
        <f>VLOOKUP($B47,Sheet2!$A:$E,5,0)</f>
        <v>62</v>
      </c>
      <c r="G47">
        <f>VLOOKUP($B47,Sheet2!$A:$G,7,0)</f>
        <v>68</v>
      </c>
      <c r="H47">
        <f>VLOOKUP($B47,Sheet2!$A:$G,6,0)</f>
        <v>73</v>
      </c>
    </row>
    <row r="48" spans="1:8">
      <c r="A48">
        <v>230209</v>
      </c>
      <c r="B48" t="s">
        <v>55</v>
      </c>
      <c r="C48">
        <f>VLOOKUP($B48,Sheet2!$A:$E,2,0)</f>
        <v>77</v>
      </c>
      <c r="D48">
        <f>VLOOKUP($B48,Sheet2!$A:$E,3,0)</f>
        <v>59</v>
      </c>
      <c r="E48">
        <f>VLOOKUP($B48,Sheet2!$A:$E,4,0)</f>
        <v>49.5</v>
      </c>
      <c r="F48">
        <f>VLOOKUP($B48,Sheet2!$A:$E,5,0)</f>
        <v>73</v>
      </c>
      <c r="G48">
        <f>VLOOKUP($B48,Sheet2!$A:$G,7,0)</f>
        <v>57</v>
      </c>
      <c r="H48">
        <f>VLOOKUP($B48,Sheet2!$A:$G,6,0)</f>
        <v>73</v>
      </c>
    </row>
    <row r="49" spans="1:8">
      <c r="A49">
        <v>230210</v>
      </c>
      <c r="B49" t="s">
        <v>56</v>
      </c>
      <c r="C49">
        <f>VLOOKUP($B49,Sheet2!$A:$E,2,0)</f>
        <v>89</v>
      </c>
      <c r="D49">
        <f>VLOOKUP($B49,Sheet2!$A:$E,3,0)</f>
        <v>86</v>
      </c>
      <c r="E49">
        <f>VLOOKUP($B49,Sheet2!$A:$E,4,0)</f>
        <v>97</v>
      </c>
      <c r="F49">
        <f>VLOOKUP($B49,Sheet2!$A:$E,5,0)</f>
        <v>84</v>
      </c>
      <c r="G49">
        <f>VLOOKUP($B49,Sheet2!$A:$G,7,0)</f>
        <v>79</v>
      </c>
      <c r="H49">
        <f>VLOOKUP($B49,Sheet2!$A:$G,6,0)</f>
        <v>66</v>
      </c>
    </row>
    <row r="50" spans="1:8">
      <c r="A50">
        <v>230211</v>
      </c>
      <c r="B50" t="s">
        <v>57</v>
      </c>
      <c r="C50">
        <f>VLOOKUP($B50,Sheet2!$A:$E,2,0)</f>
        <v>72</v>
      </c>
      <c r="D50">
        <f>VLOOKUP($B50,Sheet2!$A:$E,3,0)</f>
        <v>55</v>
      </c>
      <c r="E50">
        <f>VLOOKUP($B50,Sheet2!$A:$E,4,0)</f>
        <v>70</v>
      </c>
      <c r="F50">
        <f>VLOOKUP($B50,Sheet2!$A:$E,5,0)</f>
        <v>67</v>
      </c>
      <c r="G50">
        <f>VLOOKUP($B50,Sheet2!$A:$G,7,0)</f>
        <v>44</v>
      </c>
      <c r="H50">
        <f>VLOOKUP($B50,Sheet2!$A:$G,6,0)</f>
        <v>41</v>
      </c>
    </row>
    <row r="51" spans="1:8">
      <c r="A51">
        <v>230212</v>
      </c>
      <c r="B51" t="s">
        <v>58</v>
      </c>
      <c r="C51">
        <f>VLOOKUP($B51,Sheet2!$A:$E,2,0)</f>
        <v>77</v>
      </c>
      <c r="D51">
        <f>VLOOKUP($B51,Sheet2!$A:$E,3,0)</f>
        <v>17</v>
      </c>
      <c r="E51">
        <f>VLOOKUP($B51,Sheet2!$A:$E,4,0)</f>
        <v>25.5</v>
      </c>
      <c r="F51">
        <f>VLOOKUP($B51,Sheet2!$A:$E,5,0)</f>
        <v>37</v>
      </c>
      <c r="G51">
        <f>VLOOKUP($B51,Sheet2!$A:$G,7,0)</f>
        <v>57</v>
      </c>
      <c r="H51">
        <f>VLOOKUP($B51,Sheet2!$A:$G,6,0)</f>
        <v>48</v>
      </c>
    </row>
    <row r="52" spans="1:8">
      <c r="A52">
        <v>230213</v>
      </c>
      <c r="B52" t="s">
        <v>59</v>
      </c>
      <c r="C52">
        <f>VLOOKUP($B52,Sheet2!$A:$E,2,0)</f>
        <v>91</v>
      </c>
      <c r="D52">
        <f>VLOOKUP($B52,Sheet2!$A:$E,3,0)</f>
        <v>99</v>
      </c>
      <c r="E52">
        <f>VLOOKUP($B52,Sheet2!$A:$E,4,0)</f>
        <v>109.5</v>
      </c>
      <c r="F52">
        <f>VLOOKUP($B52,Sheet2!$A:$E,5,0)</f>
        <v>85</v>
      </c>
      <c r="G52">
        <f>VLOOKUP($B52,Sheet2!$A:$G,7,0)</f>
        <v>75</v>
      </c>
      <c r="H52">
        <f>VLOOKUP($B52,Sheet2!$A:$G,6,0)</f>
        <v>77</v>
      </c>
    </row>
    <row r="53" spans="1:8">
      <c r="A53">
        <v>230214</v>
      </c>
      <c r="B53" t="s">
        <v>60</v>
      </c>
      <c r="C53">
        <f>VLOOKUP($B53,Sheet2!$A:$E,2,0)</f>
        <v>74.5</v>
      </c>
      <c r="D53">
        <f>VLOOKUP($B53,Sheet2!$A:$E,3,0)</f>
        <v>68</v>
      </c>
      <c r="E53">
        <f>VLOOKUP($B53,Sheet2!$A:$E,4,0)</f>
        <v>59</v>
      </c>
      <c r="F53">
        <f>VLOOKUP($B53,Sheet2!$A:$E,5,0)</f>
        <v>56</v>
      </c>
      <c r="G53">
        <f>VLOOKUP($B53,Sheet2!$A:$G,7,0)</f>
        <v>62</v>
      </c>
      <c r="H53">
        <f>VLOOKUP($B53,Sheet2!$A:$G,6,0)</f>
        <v>71</v>
      </c>
    </row>
    <row r="54" spans="1:8">
      <c r="A54">
        <v>230215</v>
      </c>
      <c r="B54" t="s">
        <v>61</v>
      </c>
      <c r="C54">
        <f>VLOOKUP($B54,Sheet2!$A:$E,2,0)</f>
        <v>97</v>
      </c>
      <c r="D54">
        <f>VLOOKUP($B54,Sheet2!$A:$E,3,0)</f>
        <v>72</v>
      </c>
      <c r="E54">
        <f>VLOOKUP($B54,Sheet2!$A:$E,4,0)</f>
        <v>79</v>
      </c>
      <c r="F54">
        <f>VLOOKUP($B54,Sheet2!$A:$E,5,0)</f>
        <v>72</v>
      </c>
      <c r="G54">
        <f>VLOOKUP($B54,Sheet2!$A:$G,7,0)</f>
        <v>75</v>
      </c>
      <c r="H54">
        <f>VLOOKUP($B54,Sheet2!$A:$G,6,0)</f>
        <v>65</v>
      </c>
    </row>
    <row r="55" spans="1:8">
      <c r="A55">
        <v>230216</v>
      </c>
      <c r="B55" t="s">
        <v>62</v>
      </c>
      <c r="C55">
        <f>VLOOKUP($B55,Sheet2!$A:$E,2,0)</f>
        <v>102</v>
      </c>
      <c r="D55">
        <f>VLOOKUP($B55,Sheet2!$A:$E,3,0)</f>
        <v>91</v>
      </c>
      <c r="E55">
        <f>VLOOKUP($B55,Sheet2!$A:$E,4,0)</f>
        <v>95.5</v>
      </c>
      <c r="F55">
        <f>VLOOKUP($B55,Sheet2!$A:$E,5,0)</f>
        <v>85</v>
      </c>
      <c r="G55">
        <f>VLOOKUP($B55,Sheet2!$A:$G,7,0)</f>
        <v>76</v>
      </c>
      <c r="H55">
        <f>VLOOKUP($B55,Sheet2!$A:$G,6,0)</f>
        <v>82</v>
      </c>
    </row>
    <row r="56" spans="1:8">
      <c r="A56">
        <v>230217</v>
      </c>
      <c r="B56" t="s">
        <v>63</v>
      </c>
      <c r="C56">
        <f>VLOOKUP($B56,Sheet2!$A:$E,2,0)</f>
        <v>77</v>
      </c>
      <c r="D56">
        <f>VLOOKUP($B56,Sheet2!$A:$E,3,0)</f>
        <v>55</v>
      </c>
      <c r="E56">
        <f>VLOOKUP($B56,Sheet2!$A:$E,4,0)</f>
        <v>65</v>
      </c>
      <c r="F56">
        <f>VLOOKUP($B56,Sheet2!$A:$E,5,0)</f>
        <v>72</v>
      </c>
      <c r="G56">
        <f>VLOOKUP($B56,Sheet2!$A:$G,7,0)</f>
        <v>54</v>
      </c>
      <c r="H56">
        <f>VLOOKUP($B56,Sheet2!$A:$G,6,0)</f>
        <v>55</v>
      </c>
    </row>
    <row r="57" spans="1:8">
      <c r="A57">
        <v>230218</v>
      </c>
      <c r="B57" t="s">
        <v>64</v>
      </c>
      <c r="C57">
        <f>VLOOKUP($B57,Sheet2!$A:$E,2,0)</f>
        <v>91</v>
      </c>
      <c r="D57">
        <f>VLOOKUP($B57,Sheet2!$A:$E,3,0)</f>
        <v>86</v>
      </c>
      <c r="E57">
        <f>VLOOKUP($B57,Sheet2!$A:$E,4,0)</f>
        <v>94</v>
      </c>
      <c r="F57">
        <f>VLOOKUP($B57,Sheet2!$A:$E,5,0)</f>
        <v>81</v>
      </c>
      <c r="G57">
        <f>VLOOKUP($B57,Sheet2!$A:$G,7,0)</f>
        <v>60</v>
      </c>
      <c r="H57">
        <f>VLOOKUP($B57,Sheet2!$A:$G,6,0)</f>
        <v>72</v>
      </c>
    </row>
    <row r="58" spans="1:8">
      <c r="A58">
        <v>230219</v>
      </c>
      <c r="B58" t="s">
        <v>65</v>
      </c>
      <c r="C58">
        <f>VLOOKUP($B58,Sheet2!$A:$E,2,0)</f>
        <v>83.5</v>
      </c>
      <c r="D58">
        <f>VLOOKUP($B58,Sheet2!$A:$E,3,0)</f>
        <v>69</v>
      </c>
      <c r="E58">
        <f>VLOOKUP($B58,Sheet2!$A:$E,4,0)</f>
        <v>98.5</v>
      </c>
      <c r="F58">
        <f>VLOOKUP($B58,Sheet2!$A:$E,5,0)</f>
        <v>81</v>
      </c>
      <c r="G58">
        <f>VLOOKUP($B58,Sheet2!$A:$G,7,0)</f>
        <v>72</v>
      </c>
      <c r="H58">
        <f>VLOOKUP($B58,Sheet2!$A:$G,6,0)</f>
        <v>59</v>
      </c>
    </row>
    <row r="59" spans="1:8">
      <c r="A59">
        <v>230220</v>
      </c>
      <c r="B59" t="s">
        <v>66</v>
      </c>
      <c r="C59">
        <f>VLOOKUP($B59,Sheet2!$A:$E,2,0)</f>
        <v>88</v>
      </c>
      <c r="D59">
        <f>VLOOKUP($B59,Sheet2!$A:$E,3,0)</f>
        <v>80</v>
      </c>
      <c r="E59">
        <f>VLOOKUP($B59,Sheet2!$A:$E,4,0)</f>
        <v>61</v>
      </c>
      <c r="F59">
        <f>VLOOKUP($B59,Sheet2!$A:$E,5,0)</f>
        <v>80</v>
      </c>
      <c r="G59">
        <f>VLOOKUP($B59,Sheet2!$A:$G,7,0)</f>
        <v>67</v>
      </c>
      <c r="H59">
        <f>VLOOKUP($B59,Sheet2!$A:$G,6,0)</f>
        <v>58</v>
      </c>
    </row>
    <row r="60" spans="1:8">
      <c r="A60">
        <v>230221</v>
      </c>
      <c r="B60" t="s">
        <v>67</v>
      </c>
      <c r="C60">
        <f>VLOOKUP($B60,Sheet2!$A:$E,2,0)</f>
        <v>83</v>
      </c>
      <c r="D60">
        <f>VLOOKUP($B60,Sheet2!$A:$E,3,0)</f>
        <v>97</v>
      </c>
      <c r="E60">
        <f>VLOOKUP($B60,Sheet2!$A:$E,4,0)</f>
        <v>83.5</v>
      </c>
      <c r="F60">
        <f>VLOOKUP($B60,Sheet2!$A:$E,5,0)</f>
        <v>87</v>
      </c>
      <c r="G60">
        <f>VLOOKUP($B60,Sheet2!$A:$G,7,0)</f>
        <v>75</v>
      </c>
      <c r="H60">
        <f>VLOOKUP($B60,Sheet2!$A:$G,6,0)</f>
        <v>73</v>
      </c>
    </row>
    <row r="61" spans="1:8">
      <c r="A61">
        <v>230222</v>
      </c>
      <c r="B61" t="s">
        <v>68</v>
      </c>
      <c r="C61">
        <f>VLOOKUP($B61,Sheet2!$A:$E,2,0)</f>
        <v>85</v>
      </c>
      <c r="D61">
        <f>VLOOKUP($B61,Sheet2!$A:$E,3,0)</f>
        <v>90</v>
      </c>
      <c r="E61">
        <f>VLOOKUP($B61,Sheet2!$A:$E,4,0)</f>
        <v>91</v>
      </c>
      <c r="F61">
        <f>VLOOKUP($B61,Sheet2!$A:$E,5,0)</f>
        <v>83</v>
      </c>
      <c r="G61">
        <f>VLOOKUP($B61,Sheet2!$A:$G,7,0)</f>
        <v>74</v>
      </c>
      <c r="H61">
        <f>VLOOKUP($B61,Sheet2!$A:$G,6,0)</f>
        <v>75</v>
      </c>
    </row>
    <row r="62" spans="1:8">
      <c r="A62">
        <v>230223</v>
      </c>
      <c r="B62" t="s">
        <v>69</v>
      </c>
      <c r="C62">
        <f>VLOOKUP($B62,Sheet2!$A:$E,2,0)</f>
        <v>85</v>
      </c>
      <c r="D62">
        <f>VLOOKUP($B62,Sheet2!$A:$E,3,0)</f>
        <v>90</v>
      </c>
      <c r="E62">
        <f>VLOOKUP($B62,Sheet2!$A:$E,4,0)</f>
        <v>101</v>
      </c>
      <c r="F62">
        <f>VLOOKUP($B62,Sheet2!$A:$E,5,0)</f>
        <v>85</v>
      </c>
      <c r="G62">
        <f>VLOOKUP($B62,Sheet2!$A:$G,7,0)</f>
        <v>79</v>
      </c>
      <c r="H62">
        <f>VLOOKUP($B62,Sheet2!$A:$G,6,0)</f>
        <v>64</v>
      </c>
    </row>
    <row r="63" spans="1:8">
      <c r="A63">
        <v>230224</v>
      </c>
      <c r="B63" t="s">
        <v>70</v>
      </c>
      <c r="C63">
        <f>VLOOKUP($B63,Sheet2!$A:$E,2,0)</f>
        <v>71</v>
      </c>
      <c r="D63">
        <f>VLOOKUP($B63,Sheet2!$A:$E,3,0)</f>
        <v>76</v>
      </c>
      <c r="E63">
        <f>VLOOKUP($B63,Sheet2!$A:$E,4,0)</f>
        <v>87.5</v>
      </c>
      <c r="F63">
        <f>VLOOKUP($B63,Sheet2!$A:$E,5,0)</f>
        <v>68</v>
      </c>
      <c r="G63">
        <f>VLOOKUP($B63,Sheet2!$A:$G,7,0)</f>
        <v>65</v>
      </c>
      <c r="H63">
        <f>VLOOKUP($B63,Sheet2!$A:$G,6,0)</f>
        <v>69</v>
      </c>
    </row>
    <row r="64" spans="1:8">
      <c r="A64">
        <v>230225</v>
      </c>
      <c r="B64" t="s">
        <v>71</v>
      </c>
      <c r="C64">
        <f>VLOOKUP($B64,Sheet2!$A:$E,2,0)</f>
        <v>65</v>
      </c>
      <c r="D64">
        <f>VLOOKUP($B64,Sheet2!$A:$E,3,0)</f>
        <v>29</v>
      </c>
      <c r="E64">
        <f>VLOOKUP($B64,Sheet2!$A:$E,4,0)</f>
        <v>31.5</v>
      </c>
      <c r="F64">
        <f>VLOOKUP($B64,Sheet2!$A:$E,5,0)</f>
        <v>47</v>
      </c>
      <c r="G64">
        <f>VLOOKUP($B64,Sheet2!$A:$G,7,0)</f>
        <v>56</v>
      </c>
      <c r="H64">
        <f>VLOOKUP($B64,Sheet2!$A:$G,6,0)</f>
        <v>50</v>
      </c>
    </row>
    <row r="65" spans="1:8">
      <c r="A65">
        <v>230226</v>
      </c>
      <c r="B65" t="s">
        <v>72</v>
      </c>
      <c r="C65">
        <f>VLOOKUP($B65,Sheet2!$A:$E,2,0)</f>
        <v>90</v>
      </c>
      <c r="D65">
        <f>VLOOKUP($B65,Sheet2!$A:$E,3,0)</f>
        <v>85</v>
      </c>
      <c r="E65">
        <f>VLOOKUP($B65,Sheet2!$A:$E,4,0)</f>
        <v>102.5</v>
      </c>
      <c r="F65">
        <f>VLOOKUP($B65,Sheet2!$A:$E,5,0)</f>
        <v>75</v>
      </c>
      <c r="G65">
        <f>VLOOKUP($B65,Sheet2!$A:$G,7,0)</f>
        <v>80</v>
      </c>
      <c r="H65">
        <f>VLOOKUP($B65,Sheet2!$A:$G,6,0)</f>
        <v>75</v>
      </c>
    </row>
    <row r="66" spans="1:8">
      <c r="A66">
        <v>230227</v>
      </c>
      <c r="B66" t="s">
        <v>73</v>
      </c>
      <c r="C66">
        <f>VLOOKUP($B66,Sheet2!$A:$E,2,0)</f>
        <v>90</v>
      </c>
      <c r="D66">
        <f>VLOOKUP($B66,Sheet2!$A:$E,3,0)</f>
        <v>80</v>
      </c>
      <c r="E66">
        <f>VLOOKUP($B66,Sheet2!$A:$E,4,0)</f>
        <v>84.5</v>
      </c>
      <c r="F66">
        <f>VLOOKUP($B66,Sheet2!$A:$E,5,0)</f>
        <v>75</v>
      </c>
      <c r="G66">
        <f>VLOOKUP($B66,Sheet2!$A:$G,7,0)</f>
        <v>66</v>
      </c>
      <c r="H66">
        <f>VLOOKUP($B66,Sheet2!$A:$G,6,0)</f>
        <v>59</v>
      </c>
    </row>
    <row r="67" spans="1:8">
      <c r="A67">
        <v>230229</v>
      </c>
      <c r="B67" t="s">
        <v>74</v>
      </c>
      <c r="C67">
        <f>VLOOKUP($B67,Sheet2!$A:$E,2,0)</f>
        <v>80</v>
      </c>
      <c r="D67">
        <f>VLOOKUP($B67,Sheet2!$A:$E,3,0)</f>
        <v>89</v>
      </c>
      <c r="E67">
        <f>VLOOKUP($B67,Sheet2!$A:$E,4,0)</f>
        <v>83</v>
      </c>
      <c r="F67">
        <f>VLOOKUP($B67,Sheet2!$A:$E,5,0)</f>
        <v>85</v>
      </c>
      <c r="G67">
        <f>VLOOKUP($B67,Sheet2!$A:$G,7,0)</f>
        <v>68</v>
      </c>
      <c r="H67">
        <f>VLOOKUP($B67,Sheet2!$A:$G,6,0)</f>
        <v>71</v>
      </c>
    </row>
    <row r="68" spans="1:8">
      <c r="A68">
        <v>230230</v>
      </c>
      <c r="B68" t="s">
        <v>75</v>
      </c>
      <c r="C68">
        <f>VLOOKUP($B68,Sheet2!$A:$E,2,0)</f>
        <v>87</v>
      </c>
      <c r="D68">
        <f>VLOOKUP($B68,Sheet2!$A:$E,3,0)</f>
        <v>74</v>
      </c>
      <c r="E68">
        <f>VLOOKUP($B68,Sheet2!$A:$E,4,0)</f>
        <v>101.5</v>
      </c>
      <c r="F68">
        <f>VLOOKUP($B68,Sheet2!$A:$E,5,0)</f>
        <v>71</v>
      </c>
      <c r="G68">
        <f>VLOOKUP($B68,Sheet2!$A:$G,7,0)</f>
        <v>72</v>
      </c>
      <c r="H68">
        <f>VLOOKUP($B68,Sheet2!$A:$G,6,0)</f>
        <v>62</v>
      </c>
    </row>
    <row r="69" spans="1:8">
      <c r="A69">
        <v>230232</v>
      </c>
      <c r="B69" t="s">
        <v>76</v>
      </c>
      <c r="C69">
        <f>VLOOKUP($B69,Sheet2!$A:$E,2,0)</f>
        <v>89.5</v>
      </c>
      <c r="D69">
        <f>VLOOKUP($B69,Sheet2!$A:$E,3,0)</f>
        <v>75</v>
      </c>
      <c r="E69">
        <f>VLOOKUP($B69,Sheet2!$A:$E,4,0)</f>
        <v>82</v>
      </c>
      <c r="F69">
        <f>VLOOKUP($B69,Sheet2!$A:$E,5,0)</f>
        <v>79</v>
      </c>
      <c r="G69">
        <f>VLOOKUP($B69,Sheet2!$A:$G,7,0)</f>
        <v>66</v>
      </c>
      <c r="H69">
        <f>VLOOKUP($B69,Sheet2!$A:$G,6,0)</f>
        <v>80</v>
      </c>
    </row>
    <row r="70" spans="1:8">
      <c r="A70">
        <v>230233</v>
      </c>
      <c r="B70" t="s">
        <v>77</v>
      </c>
      <c r="C70">
        <f>VLOOKUP($B70,Sheet2!$A:$E,2,0)</f>
        <v>88</v>
      </c>
      <c r="D70">
        <f>VLOOKUP($B70,Sheet2!$A:$E,3,0)</f>
        <v>69</v>
      </c>
      <c r="E70">
        <f>VLOOKUP($B70,Sheet2!$A:$E,4,0)</f>
        <v>90.5</v>
      </c>
      <c r="F70">
        <f>VLOOKUP($B70,Sheet2!$A:$E,5,0)</f>
        <v>74</v>
      </c>
      <c r="G70">
        <f>VLOOKUP($B70,Sheet2!$A:$G,7,0)</f>
        <v>69</v>
      </c>
      <c r="H70">
        <f>VLOOKUP($B70,Sheet2!$A:$G,6,0)</f>
        <v>75</v>
      </c>
    </row>
    <row r="71" spans="1:8">
      <c r="A71">
        <v>230234</v>
      </c>
      <c r="B71" t="s">
        <v>78</v>
      </c>
      <c r="C71">
        <f>VLOOKUP($B71,Sheet2!$A:$E,2,0)</f>
        <v>98</v>
      </c>
      <c r="D71">
        <f>VLOOKUP($B71,Sheet2!$A:$E,3,0)</f>
        <v>82</v>
      </c>
      <c r="E71">
        <f>VLOOKUP($B71,Sheet2!$A:$E,4,0)</f>
        <v>73</v>
      </c>
      <c r="F71">
        <f>VLOOKUP($B71,Sheet2!$A:$E,5,0)</f>
        <v>90</v>
      </c>
      <c r="G71">
        <f>VLOOKUP($B71,Sheet2!$A:$G,7,0)</f>
        <v>71</v>
      </c>
      <c r="H71">
        <f>VLOOKUP($B71,Sheet2!$A:$G,6,0)</f>
        <v>72</v>
      </c>
    </row>
    <row r="72" spans="1:8">
      <c r="A72">
        <v>230235</v>
      </c>
      <c r="B72" t="s">
        <v>79</v>
      </c>
      <c r="C72">
        <f>VLOOKUP($B72,Sheet2!$A:$E,2,0)</f>
        <v>83</v>
      </c>
      <c r="D72">
        <f>VLOOKUP($B72,Sheet2!$A:$E,3,0)</f>
        <v>78</v>
      </c>
      <c r="E72">
        <f>VLOOKUP($B72,Sheet2!$A:$E,4,0)</f>
        <v>70.5</v>
      </c>
      <c r="F72">
        <f>VLOOKUP($B72,Sheet2!$A:$E,5,0)</f>
        <v>62</v>
      </c>
      <c r="G72">
        <f>VLOOKUP($B72,Sheet2!$A:$G,7,0)</f>
        <v>63</v>
      </c>
      <c r="H72">
        <f>VLOOKUP($B72,Sheet2!$A:$G,6,0)</f>
        <v>81</v>
      </c>
    </row>
    <row r="73" spans="1:8">
      <c r="A73">
        <v>230236</v>
      </c>
      <c r="B73" t="s">
        <v>80</v>
      </c>
      <c r="C73">
        <f>VLOOKUP($B73,Sheet2!$A:$E,2,0)</f>
        <v>91</v>
      </c>
      <c r="D73">
        <f>VLOOKUP($B73,Sheet2!$A:$E,3,0)</f>
        <v>62</v>
      </c>
      <c r="E73">
        <f>VLOOKUP($B73,Sheet2!$A:$E,4,0)</f>
        <v>107</v>
      </c>
      <c r="F73">
        <f>VLOOKUP($B73,Sheet2!$A:$E,5,0)</f>
        <v>58</v>
      </c>
      <c r="G73">
        <f>VLOOKUP($B73,Sheet2!$A:$G,7,0)</f>
        <v>65</v>
      </c>
      <c r="H73">
        <f>VLOOKUP($B73,Sheet2!$A:$G,6,0)</f>
        <v>47</v>
      </c>
    </row>
    <row r="74" spans="1:8">
      <c r="A74">
        <v>230237</v>
      </c>
      <c r="B74" t="s">
        <v>81</v>
      </c>
      <c r="C74">
        <f>VLOOKUP($B74,Sheet2!$A:$E,2,0)</f>
        <v>93</v>
      </c>
      <c r="D74">
        <f>VLOOKUP($B74,Sheet2!$A:$E,3,0)</f>
        <v>93</v>
      </c>
      <c r="E74">
        <f>VLOOKUP($B74,Sheet2!$A:$E,4,0)</f>
        <v>108.5</v>
      </c>
      <c r="F74">
        <f>VLOOKUP($B74,Sheet2!$A:$E,5,0)</f>
        <v>86</v>
      </c>
      <c r="G74">
        <f>VLOOKUP($B74,Sheet2!$A:$G,7,0)</f>
        <v>77</v>
      </c>
      <c r="H74">
        <f>VLOOKUP($B74,Sheet2!$A:$G,6,0)</f>
        <v>80</v>
      </c>
    </row>
    <row r="75" spans="1:8">
      <c r="A75">
        <v>230238</v>
      </c>
      <c r="B75" t="s">
        <v>82</v>
      </c>
      <c r="C75">
        <f>VLOOKUP($B75,Sheet2!$A:$E,2,0)</f>
        <v>100</v>
      </c>
      <c r="D75">
        <f>VLOOKUP($B75,Sheet2!$A:$E,3,0)</f>
        <v>92</v>
      </c>
      <c r="E75">
        <f>VLOOKUP($B75,Sheet2!$A:$E,4,0)</f>
        <v>106</v>
      </c>
      <c r="F75">
        <f>VLOOKUP($B75,Sheet2!$A:$E,5,0)</f>
        <v>88</v>
      </c>
      <c r="G75">
        <f>VLOOKUP($B75,Sheet2!$A:$G,7,0)</f>
        <v>76</v>
      </c>
      <c r="H75">
        <f>VLOOKUP($B75,Sheet2!$A:$G,6,0)</f>
        <v>78</v>
      </c>
    </row>
    <row r="76" spans="1:8">
      <c r="A76">
        <v>230239</v>
      </c>
      <c r="B76" t="s">
        <v>83</v>
      </c>
      <c r="C76">
        <f>VLOOKUP($B76,Sheet2!$A:$E,2,0)</f>
        <v>84</v>
      </c>
      <c r="D76">
        <f>VLOOKUP($B76,Sheet2!$A:$E,3,0)</f>
        <v>97</v>
      </c>
      <c r="E76">
        <f>VLOOKUP($B76,Sheet2!$A:$E,4,0)</f>
        <v>78</v>
      </c>
      <c r="F76">
        <f>VLOOKUP($B76,Sheet2!$A:$E,5,0)</f>
        <v>82</v>
      </c>
      <c r="G76">
        <f>VLOOKUP($B76,Sheet2!$A:$G,7,0)</f>
        <v>77</v>
      </c>
      <c r="H76">
        <f>VLOOKUP($B76,Sheet2!$A:$G,6,0)</f>
        <v>75</v>
      </c>
    </row>
    <row r="77" spans="1:8">
      <c r="A77">
        <v>230240</v>
      </c>
      <c r="B77" t="s">
        <v>84</v>
      </c>
      <c r="C77">
        <f>VLOOKUP($B77,Sheet2!$A:$E,2,0)</f>
        <v>95</v>
      </c>
      <c r="D77">
        <f>VLOOKUP($B77,Sheet2!$A:$E,3,0)</f>
        <v>81</v>
      </c>
      <c r="E77">
        <f>VLOOKUP($B77,Sheet2!$A:$E,4,0)</f>
        <v>107.5</v>
      </c>
      <c r="F77">
        <f>VLOOKUP($B77,Sheet2!$A:$E,5,0)</f>
        <v>72</v>
      </c>
      <c r="G77">
        <f>VLOOKUP($B77,Sheet2!$A:$G,7,0)</f>
        <v>78</v>
      </c>
      <c r="H77">
        <f>VLOOKUP($B77,Sheet2!$A:$G,6,0)</f>
        <v>74</v>
      </c>
    </row>
    <row r="78" spans="1:8">
      <c r="A78">
        <v>230241</v>
      </c>
      <c r="B78" t="s">
        <v>85</v>
      </c>
      <c r="C78">
        <f>VLOOKUP($B78,Sheet2!$A:$E,2,0)</f>
        <v>91</v>
      </c>
      <c r="D78">
        <f>VLOOKUP($B78,Sheet2!$A:$E,3,0)</f>
        <v>75</v>
      </c>
      <c r="E78">
        <f>VLOOKUP($B78,Sheet2!$A:$E,4,0)</f>
        <v>101</v>
      </c>
      <c r="F78">
        <f>VLOOKUP($B78,Sheet2!$A:$E,5,0)</f>
        <v>72</v>
      </c>
      <c r="G78">
        <f>VLOOKUP($B78,Sheet2!$A:$G,7,0)</f>
        <v>62</v>
      </c>
      <c r="H78">
        <f>VLOOKUP($B78,Sheet2!$A:$G,6,0)</f>
        <v>60</v>
      </c>
    </row>
    <row r="79" spans="1:8">
      <c r="A79">
        <v>230242</v>
      </c>
      <c r="B79" t="s">
        <v>86</v>
      </c>
      <c r="C79">
        <f>VLOOKUP($B79,Sheet2!$A:$E,2,0)</f>
        <v>82</v>
      </c>
      <c r="D79">
        <f>VLOOKUP($B79,Sheet2!$A:$E,3,0)</f>
        <v>83</v>
      </c>
      <c r="E79">
        <f>VLOOKUP($B79,Sheet2!$A:$E,4,0)</f>
        <v>94.5</v>
      </c>
      <c r="F79">
        <f>VLOOKUP($B79,Sheet2!$A:$E,5,0)</f>
        <v>76</v>
      </c>
      <c r="G79">
        <f>VLOOKUP($B79,Sheet2!$A:$G,7,0)</f>
        <v>72</v>
      </c>
      <c r="H79">
        <f>VLOOKUP($B79,Sheet2!$A:$G,6,0)</f>
        <v>80</v>
      </c>
    </row>
    <row r="80" spans="1:8">
      <c r="A80">
        <v>230243</v>
      </c>
      <c r="B80" t="s">
        <v>87</v>
      </c>
      <c r="C80">
        <f>VLOOKUP($B80,Sheet2!$A:$E,2,0)</f>
        <v>85</v>
      </c>
      <c r="D80">
        <f>VLOOKUP($B80,Sheet2!$A:$E,3,0)</f>
        <v>86</v>
      </c>
      <c r="E80">
        <f>VLOOKUP($B80,Sheet2!$A:$E,4,0)</f>
        <v>84</v>
      </c>
      <c r="F80">
        <f>VLOOKUP($B80,Sheet2!$A:$E,5,0)</f>
        <v>78</v>
      </c>
      <c r="G80">
        <f>VLOOKUP($B80,Sheet2!$A:$G,7,0)</f>
        <v>78</v>
      </c>
      <c r="H80">
        <f>VLOOKUP($B80,Sheet2!$A:$G,6,0)</f>
        <v>72</v>
      </c>
    </row>
    <row r="81" spans="1:8">
      <c r="A81">
        <v>230244</v>
      </c>
      <c r="B81" t="s">
        <v>88</v>
      </c>
      <c r="C81">
        <f>VLOOKUP($B81,Sheet2!$A:$E,2,0)</f>
        <v>85</v>
      </c>
      <c r="D81">
        <f>VLOOKUP($B81,Sheet2!$A:$E,3,0)</f>
        <v>69</v>
      </c>
      <c r="E81">
        <f>VLOOKUP($B81,Sheet2!$A:$E,4,0)</f>
        <v>72</v>
      </c>
      <c r="F81">
        <f>VLOOKUP($B81,Sheet2!$A:$E,5,0)</f>
        <v>76</v>
      </c>
      <c r="G81">
        <f>VLOOKUP($B81,Sheet2!$A:$G,7,0)</f>
        <v>55</v>
      </c>
      <c r="H81">
        <f>VLOOKUP($B81,Sheet2!$A:$G,6,0)</f>
        <v>68</v>
      </c>
    </row>
    <row r="82" spans="1:8">
      <c r="A82">
        <v>230245</v>
      </c>
      <c r="B82" t="s">
        <v>89</v>
      </c>
      <c r="C82">
        <f>VLOOKUP($B82,Sheet2!$A:$E,2,0)</f>
        <v>98.5</v>
      </c>
      <c r="D82">
        <f>VLOOKUP($B82,Sheet2!$A:$E,3,0)</f>
        <v>94</v>
      </c>
      <c r="E82">
        <f>VLOOKUP($B82,Sheet2!$A:$E,4,0)</f>
        <v>97.5</v>
      </c>
      <c r="F82">
        <f>VLOOKUP($B82,Sheet2!$A:$E,5,0)</f>
        <v>72</v>
      </c>
      <c r="G82">
        <f>VLOOKUP($B82,Sheet2!$A:$G,7,0)</f>
        <v>69</v>
      </c>
      <c r="H82">
        <f>VLOOKUP($B82,Sheet2!$A:$G,6,0)</f>
        <v>64</v>
      </c>
    </row>
    <row r="83" spans="1:8">
      <c r="A83">
        <v>221014</v>
      </c>
      <c r="B83" t="s">
        <v>90</v>
      </c>
      <c r="C83">
        <f>VLOOKUP($B83,Sheet2!$A:$E,2,0)</f>
        <v>50</v>
      </c>
      <c r="D83">
        <f>VLOOKUP($B83,Sheet2!$A:$E,3,0)</f>
        <v>55</v>
      </c>
      <c r="E83">
        <f>VLOOKUP($B83,Sheet2!$A:$E,4,0)</f>
        <v>33.5</v>
      </c>
      <c r="F83">
        <f>VLOOKUP($B83,Sheet2!$A:$E,5,0)</f>
        <v>72</v>
      </c>
      <c r="G83">
        <f>VLOOKUP($B83,Sheet2!$A:$G,7,0)</f>
        <v>60</v>
      </c>
      <c r="H83">
        <f>VLOOKUP($B83,Sheet2!$A:$G,6,0)</f>
        <v>57</v>
      </c>
    </row>
    <row r="84" spans="1:8">
      <c r="A84">
        <v>230301</v>
      </c>
      <c r="B84" t="s">
        <v>91</v>
      </c>
      <c r="C84">
        <f>VLOOKUP($B84,Sheet2!$A:$E,2,0)</f>
        <v>80</v>
      </c>
      <c r="D84">
        <f>VLOOKUP($B84,Sheet2!$A:$E,3,0)</f>
        <v>80</v>
      </c>
      <c r="E84">
        <f>VLOOKUP($B84,Sheet2!$A:$E,4,0)</f>
        <v>82.5</v>
      </c>
      <c r="F84">
        <f>VLOOKUP($B84,Sheet2!$A:$E,5,0)</f>
        <v>76</v>
      </c>
      <c r="G84">
        <f>VLOOKUP($B84,Sheet2!$A:$G,7,0)</f>
        <v>71</v>
      </c>
      <c r="H84">
        <f>VLOOKUP($B84,Sheet2!$A:$G,6,0)</f>
        <v>59</v>
      </c>
    </row>
    <row r="85" spans="1:8">
      <c r="A85">
        <v>230302</v>
      </c>
      <c r="B85" t="s">
        <v>92</v>
      </c>
      <c r="C85">
        <f>VLOOKUP($B85,Sheet2!$A:$E,2,0)</f>
        <v>91</v>
      </c>
      <c r="D85">
        <f>VLOOKUP($B85,Sheet2!$A:$E,3,0)</f>
        <v>95</v>
      </c>
      <c r="E85">
        <f>VLOOKUP($B85,Sheet2!$A:$E,4,0)</f>
        <v>99.5</v>
      </c>
      <c r="F85">
        <f>VLOOKUP($B85,Sheet2!$A:$E,5,0)</f>
        <v>89</v>
      </c>
      <c r="G85">
        <f>VLOOKUP($B85,Sheet2!$A:$G,7,0)</f>
        <v>77</v>
      </c>
      <c r="H85">
        <f>VLOOKUP($B85,Sheet2!$A:$G,6,0)</f>
        <v>65</v>
      </c>
    </row>
    <row r="86" spans="1:8">
      <c r="A86">
        <v>230303</v>
      </c>
      <c r="B86" t="s">
        <v>93</v>
      </c>
      <c r="C86">
        <f>VLOOKUP($B86,Sheet2!$A:$E,2,0)</f>
        <v>87</v>
      </c>
      <c r="D86">
        <f>VLOOKUP($B86,Sheet2!$A:$E,3,0)</f>
        <v>105</v>
      </c>
      <c r="E86">
        <f>VLOOKUP($B86,Sheet2!$A:$E,4,0)</f>
        <v>90</v>
      </c>
      <c r="F86">
        <f>VLOOKUP($B86,Sheet2!$A:$E,5,0)</f>
        <v>83</v>
      </c>
      <c r="G86">
        <f>VLOOKUP($B86,Sheet2!$A:$G,7,0)</f>
        <v>81</v>
      </c>
      <c r="H86">
        <f>VLOOKUP($B86,Sheet2!$A:$G,6,0)</f>
        <v>83</v>
      </c>
    </row>
    <row r="87" spans="1:8">
      <c r="A87">
        <v>230305</v>
      </c>
      <c r="B87" t="s">
        <v>94</v>
      </c>
      <c r="C87">
        <f>VLOOKUP($B87,Sheet2!$A:$E,2,0)</f>
        <v>87</v>
      </c>
      <c r="D87">
        <f>VLOOKUP($B87,Sheet2!$A:$E,3,0)</f>
        <v>73</v>
      </c>
      <c r="E87">
        <f>VLOOKUP($B87,Sheet2!$A:$E,4,0)</f>
        <v>87.5</v>
      </c>
      <c r="F87">
        <f>VLOOKUP($B87,Sheet2!$A:$E,5,0)</f>
        <v>68</v>
      </c>
      <c r="G87">
        <f>VLOOKUP($B87,Sheet2!$A:$G,7,0)</f>
        <v>79</v>
      </c>
      <c r="H87">
        <f>VLOOKUP($B87,Sheet2!$A:$G,6,0)</f>
        <v>73</v>
      </c>
    </row>
    <row r="88" spans="1:8">
      <c r="A88">
        <v>230307</v>
      </c>
      <c r="B88" t="s">
        <v>95</v>
      </c>
      <c r="C88">
        <f>VLOOKUP($B88,Sheet2!$A:$E,2,0)</f>
        <v>95</v>
      </c>
      <c r="D88">
        <f>VLOOKUP($B88,Sheet2!$A:$E,3,0)</f>
        <v>85</v>
      </c>
      <c r="E88">
        <f>VLOOKUP($B88,Sheet2!$A:$E,4,0)</f>
        <v>82.5</v>
      </c>
      <c r="F88">
        <f>VLOOKUP($B88,Sheet2!$A:$E,5,0)</f>
        <v>74</v>
      </c>
      <c r="G88">
        <f>VLOOKUP($B88,Sheet2!$A:$G,7,0)</f>
        <v>75</v>
      </c>
      <c r="H88">
        <f>VLOOKUP($B88,Sheet2!$A:$G,6,0)</f>
        <v>65</v>
      </c>
    </row>
    <row r="89" spans="1:8">
      <c r="A89">
        <v>230308</v>
      </c>
      <c r="B89" t="s">
        <v>96</v>
      </c>
      <c r="C89">
        <f>VLOOKUP($B89,Sheet2!$A:$E,2,0)</f>
        <v>87</v>
      </c>
      <c r="D89">
        <f>VLOOKUP($B89,Sheet2!$A:$E,3,0)</f>
        <v>69</v>
      </c>
      <c r="E89">
        <f>VLOOKUP($B89,Sheet2!$A:$E,4,0)</f>
        <v>69</v>
      </c>
      <c r="F89">
        <f>VLOOKUP($B89,Sheet2!$A:$E,5,0)</f>
        <v>77</v>
      </c>
      <c r="G89">
        <f>VLOOKUP($B89,Sheet2!$A:$G,7,0)</f>
        <v>76</v>
      </c>
      <c r="H89">
        <f>VLOOKUP($B89,Sheet2!$A:$G,6,0)</f>
        <v>80</v>
      </c>
    </row>
    <row r="90" spans="1:8">
      <c r="A90">
        <v>230309</v>
      </c>
      <c r="B90" t="s">
        <v>97</v>
      </c>
      <c r="C90">
        <f>VLOOKUP($B90,Sheet2!$A:$E,2,0)</f>
        <v>72</v>
      </c>
      <c r="D90">
        <f>VLOOKUP($B90,Sheet2!$A:$E,3,0)</f>
        <v>83</v>
      </c>
      <c r="E90">
        <f>VLOOKUP($B90,Sheet2!$A:$E,4,0)</f>
        <v>68</v>
      </c>
      <c r="F90">
        <f>VLOOKUP($B90,Sheet2!$A:$E,5,0)</f>
        <v>75</v>
      </c>
      <c r="G90">
        <f>VLOOKUP($B90,Sheet2!$A:$G,7,0)</f>
        <v>81</v>
      </c>
      <c r="H90">
        <f>VLOOKUP($B90,Sheet2!$A:$G,6,0)</f>
        <v>62</v>
      </c>
    </row>
    <row r="91" spans="1:8">
      <c r="A91">
        <v>230310</v>
      </c>
      <c r="B91" t="s">
        <v>98</v>
      </c>
      <c r="C91">
        <f>VLOOKUP($B91,Sheet2!$A:$E,2,0)</f>
        <v>94</v>
      </c>
      <c r="D91">
        <f>VLOOKUP($B91,Sheet2!$A:$E,3,0)</f>
        <v>83</v>
      </c>
      <c r="E91">
        <f>VLOOKUP($B91,Sheet2!$A:$E,4,0)</f>
        <v>95</v>
      </c>
      <c r="F91">
        <f>VLOOKUP($B91,Sheet2!$A:$E,5,0)</f>
        <v>76</v>
      </c>
      <c r="G91">
        <f>VLOOKUP($B91,Sheet2!$A:$G,7,0)</f>
        <v>71</v>
      </c>
      <c r="H91">
        <f>VLOOKUP($B91,Sheet2!$A:$G,6,0)</f>
        <v>71</v>
      </c>
    </row>
    <row r="92" spans="1:8">
      <c r="A92">
        <v>230311</v>
      </c>
      <c r="B92" t="s">
        <v>99</v>
      </c>
      <c r="C92">
        <f>VLOOKUP($B92,Sheet2!$A:$E,2,0)</f>
        <v>81</v>
      </c>
      <c r="D92">
        <f>VLOOKUP($B92,Sheet2!$A:$E,3,0)</f>
        <v>81</v>
      </c>
      <c r="E92">
        <f>VLOOKUP($B92,Sheet2!$A:$E,4,0)</f>
        <v>71</v>
      </c>
      <c r="F92">
        <f>VLOOKUP($B92,Sheet2!$A:$E,5,0)</f>
        <v>59</v>
      </c>
      <c r="G92">
        <f>VLOOKUP($B92,Sheet2!$A:$G,7,0)</f>
        <v>68</v>
      </c>
      <c r="H92">
        <f>VLOOKUP($B92,Sheet2!$A:$G,6,0)</f>
        <v>62</v>
      </c>
    </row>
    <row r="93" spans="1:8">
      <c r="A93">
        <v>230314</v>
      </c>
      <c r="B93" t="s">
        <v>100</v>
      </c>
      <c r="C93">
        <f>VLOOKUP($B93,Sheet2!$A:$E,2,0)</f>
        <v>87</v>
      </c>
      <c r="D93">
        <f>VLOOKUP($B93,Sheet2!$A:$E,3,0)</f>
        <v>91</v>
      </c>
      <c r="E93">
        <f>VLOOKUP($B93,Sheet2!$A:$E,4,0)</f>
        <v>81</v>
      </c>
      <c r="F93">
        <f>VLOOKUP($B93,Sheet2!$A:$E,5,0)</f>
        <v>78</v>
      </c>
      <c r="G93">
        <f>VLOOKUP($B93,Sheet2!$A:$G,7,0)</f>
        <v>73</v>
      </c>
      <c r="H93">
        <f>VLOOKUP($B93,Sheet2!$A:$G,6,0)</f>
        <v>62</v>
      </c>
    </row>
    <row r="94" spans="1:8">
      <c r="A94">
        <v>230315</v>
      </c>
      <c r="B94" t="s">
        <v>101</v>
      </c>
      <c r="C94">
        <f>VLOOKUP($B94,Sheet2!$A:$E,2,0)</f>
        <v>77</v>
      </c>
      <c r="D94">
        <f>VLOOKUP($B94,Sheet2!$A:$E,3,0)</f>
        <v>97</v>
      </c>
      <c r="E94">
        <f>VLOOKUP($B94,Sheet2!$A:$E,4,0)</f>
        <v>75.5</v>
      </c>
      <c r="F94">
        <f>VLOOKUP($B94,Sheet2!$A:$E,5,0)</f>
        <v>84</v>
      </c>
      <c r="G94">
        <f>VLOOKUP($B94,Sheet2!$A:$G,7,0)</f>
        <v>67</v>
      </c>
      <c r="H94">
        <f>VLOOKUP($B94,Sheet2!$A:$G,6,0)</f>
        <v>60</v>
      </c>
    </row>
    <row r="95" spans="1:8">
      <c r="A95">
        <v>230316</v>
      </c>
      <c r="B95" t="s">
        <v>102</v>
      </c>
      <c r="C95">
        <f>VLOOKUP($B95,Sheet2!$A:$E,2,0)</f>
        <v>98.5</v>
      </c>
      <c r="D95">
        <f>VLOOKUP($B95,Sheet2!$A:$E,3,0)</f>
        <v>94</v>
      </c>
      <c r="E95">
        <f>VLOOKUP($B95,Sheet2!$A:$E,4,0)</f>
        <v>98</v>
      </c>
      <c r="F95">
        <f>VLOOKUP($B95,Sheet2!$A:$E,5,0)</f>
        <v>80</v>
      </c>
      <c r="G95">
        <f>VLOOKUP($B95,Sheet2!$A:$G,7,0)</f>
        <v>85</v>
      </c>
      <c r="H95">
        <f>VLOOKUP($B95,Sheet2!$A:$G,6,0)</f>
        <v>66</v>
      </c>
    </row>
    <row r="96" spans="1:8">
      <c r="A96">
        <v>230317</v>
      </c>
      <c r="B96" t="s">
        <v>103</v>
      </c>
      <c r="C96">
        <f>VLOOKUP($B96,Sheet2!$A:$E,2,0)</f>
        <v>83.5</v>
      </c>
      <c r="D96">
        <f>VLOOKUP($B96,Sheet2!$A:$E,3,0)</f>
        <v>85</v>
      </c>
      <c r="E96">
        <f>VLOOKUP($B96,Sheet2!$A:$E,4,0)</f>
        <v>86.5</v>
      </c>
      <c r="F96">
        <f>VLOOKUP($B96,Sheet2!$A:$E,5,0)</f>
        <v>80</v>
      </c>
      <c r="G96">
        <f>VLOOKUP($B96,Sheet2!$A:$G,7,0)</f>
        <v>65</v>
      </c>
      <c r="H96">
        <f>VLOOKUP($B96,Sheet2!$A:$G,6,0)</f>
        <v>71</v>
      </c>
    </row>
    <row r="97" spans="1:8">
      <c r="A97">
        <v>230318</v>
      </c>
      <c r="B97" t="s">
        <v>104</v>
      </c>
      <c r="C97">
        <f>VLOOKUP($B97,Sheet2!$A:$E,2,0)</f>
        <v>89.5</v>
      </c>
      <c r="D97">
        <f>VLOOKUP($B97,Sheet2!$A:$E,3,0)</f>
        <v>86</v>
      </c>
      <c r="E97">
        <f>VLOOKUP($B97,Sheet2!$A:$E,4,0)</f>
        <v>84</v>
      </c>
      <c r="F97">
        <f>VLOOKUP($B97,Sheet2!$A:$E,5,0)</f>
        <v>81</v>
      </c>
      <c r="G97">
        <f>VLOOKUP($B97,Sheet2!$A:$G,7,0)</f>
        <v>73</v>
      </c>
      <c r="H97">
        <f>VLOOKUP($B97,Sheet2!$A:$G,6,0)</f>
        <v>76</v>
      </c>
    </row>
    <row r="98" spans="1:8">
      <c r="A98">
        <v>230319</v>
      </c>
      <c r="B98" t="s">
        <v>105</v>
      </c>
      <c r="C98">
        <f>VLOOKUP($B98,Sheet2!$A:$E,2,0)</f>
        <v>72</v>
      </c>
      <c r="D98">
        <f>VLOOKUP($B98,Sheet2!$A:$E,3,0)</f>
        <v>68</v>
      </c>
      <c r="E98">
        <f>VLOOKUP($B98,Sheet2!$A:$E,4,0)</f>
        <v>61</v>
      </c>
      <c r="F98">
        <f>VLOOKUP($B98,Sheet2!$A:$E,5,0)</f>
        <v>76</v>
      </c>
      <c r="G98">
        <f>VLOOKUP($B98,Sheet2!$A:$G,7,0)</f>
        <v>62</v>
      </c>
      <c r="H98">
        <f>VLOOKUP($B98,Sheet2!$A:$G,6,0)</f>
        <v>71</v>
      </c>
    </row>
    <row r="99" spans="1:8">
      <c r="A99">
        <v>230320</v>
      </c>
      <c r="B99" t="s">
        <v>106</v>
      </c>
      <c r="C99">
        <f>VLOOKUP($B99,Sheet2!$A:$E,2,0)</f>
        <v>64</v>
      </c>
      <c r="D99">
        <f>VLOOKUP($B99,Sheet2!$A:$E,3,0)</f>
        <v>75</v>
      </c>
      <c r="E99">
        <f>VLOOKUP($B99,Sheet2!$A:$E,4,0)</f>
        <v>39.5</v>
      </c>
      <c r="F99">
        <f>VLOOKUP($B99,Sheet2!$A:$E,5,0)</f>
        <v>55</v>
      </c>
      <c r="G99">
        <f>VLOOKUP($B99,Sheet2!$A:$G,7,0)</f>
        <v>71</v>
      </c>
      <c r="H99">
        <f>VLOOKUP($B99,Sheet2!$A:$G,6,0)</f>
        <v>44</v>
      </c>
    </row>
    <row r="100" spans="1:8">
      <c r="A100">
        <v>230321</v>
      </c>
      <c r="B100" t="s">
        <v>107</v>
      </c>
      <c r="C100">
        <f>VLOOKUP($B100,Sheet2!$A:$E,2,0)</f>
        <v>69</v>
      </c>
      <c r="D100">
        <f>VLOOKUP($B100,Sheet2!$A:$E,3,0)</f>
        <v>42</v>
      </c>
      <c r="E100">
        <f>VLOOKUP($B100,Sheet2!$A:$E,4,0)</f>
        <v>61</v>
      </c>
      <c r="F100">
        <f>VLOOKUP($B100,Sheet2!$A:$E,5,0)</f>
        <v>50</v>
      </c>
      <c r="G100">
        <f>VLOOKUP($B100,Sheet2!$A:$G,7,0)</f>
        <v>60</v>
      </c>
      <c r="H100">
        <f>VLOOKUP($B100,Sheet2!$A:$G,6,0)</f>
        <v>45</v>
      </c>
    </row>
    <row r="101" spans="1:8">
      <c r="A101">
        <v>230322</v>
      </c>
      <c r="B101" t="s">
        <v>108</v>
      </c>
      <c r="C101">
        <f>VLOOKUP($B101,Sheet2!$A:$E,2,0)</f>
        <v>82</v>
      </c>
      <c r="D101">
        <f>VLOOKUP($B101,Sheet2!$A:$E,3,0)</f>
        <v>75</v>
      </c>
      <c r="E101">
        <f>VLOOKUP($B101,Sheet2!$A:$E,4,0)</f>
        <v>76.5</v>
      </c>
      <c r="F101">
        <f>VLOOKUP($B101,Sheet2!$A:$E,5,0)</f>
        <v>72</v>
      </c>
      <c r="G101">
        <f>VLOOKUP($B101,Sheet2!$A:$G,7,0)</f>
        <v>72</v>
      </c>
      <c r="H101">
        <f>VLOOKUP($B101,Sheet2!$A:$G,6,0)</f>
        <v>64</v>
      </c>
    </row>
    <row r="102" spans="1:8">
      <c r="A102">
        <v>230323</v>
      </c>
      <c r="B102" t="s">
        <v>109</v>
      </c>
      <c r="C102">
        <f>VLOOKUP($B102,Sheet2!$A:$E,2,0)</f>
        <v>85</v>
      </c>
      <c r="D102">
        <f>VLOOKUP($B102,Sheet2!$A:$E,3,0)</f>
        <v>86</v>
      </c>
      <c r="E102">
        <f>VLOOKUP($B102,Sheet2!$A:$E,4,0)</f>
        <v>86.5</v>
      </c>
      <c r="F102">
        <f>VLOOKUP($B102,Sheet2!$A:$E,5,0)</f>
        <v>73</v>
      </c>
      <c r="G102">
        <f>VLOOKUP($B102,Sheet2!$A:$G,7,0)</f>
        <v>63</v>
      </c>
      <c r="H102">
        <f>VLOOKUP($B102,Sheet2!$A:$G,6,0)</f>
        <v>64</v>
      </c>
    </row>
    <row r="103" spans="1:8">
      <c r="A103">
        <v>230324</v>
      </c>
      <c r="B103" t="s">
        <v>110</v>
      </c>
      <c r="C103">
        <f>VLOOKUP($B103,Sheet2!$A:$E,2,0)</f>
        <v>88</v>
      </c>
      <c r="D103">
        <f>VLOOKUP($B103,Sheet2!$A:$E,3,0)</f>
        <v>87</v>
      </c>
      <c r="E103">
        <f>VLOOKUP($B103,Sheet2!$A:$E,4,0)</f>
        <v>95.5</v>
      </c>
      <c r="F103">
        <f>VLOOKUP($B103,Sheet2!$A:$E,5,0)</f>
        <v>78</v>
      </c>
      <c r="G103">
        <f>VLOOKUP($B103,Sheet2!$A:$G,7,0)</f>
        <v>53</v>
      </c>
      <c r="H103">
        <f>VLOOKUP($B103,Sheet2!$A:$G,6,0)</f>
        <v>57</v>
      </c>
    </row>
    <row r="104" spans="1:8">
      <c r="A104">
        <v>230325</v>
      </c>
      <c r="B104" t="s">
        <v>111</v>
      </c>
      <c r="C104">
        <f>VLOOKUP($B104,Sheet2!$A:$E,2,0)</f>
        <v>86</v>
      </c>
      <c r="D104">
        <f>VLOOKUP($B104,Sheet2!$A:$E,3,0)</f>
        <v>71</v>
      </c>
      <c r="E104">
        <f>VLOOKUP($B104,Sheet2!$A:$E,4,0)</f>
        <v>91.5</v>
      </c>
      <c r="F104">
        <f>VLOOKUP($B104,Sheet2!$A:$E,5,0)</f>
        <v>71</v>
      </c>
      <c r="G104">
        <f>VLOOKUP($B104,Sheet2!$A:$G,7,0)</f>
        <v>68</v>
      </c>
      <c r="H104">
        <f>VLOOKUP($B104,Sheet2!$A:$G,6,0)</f>
        <v>74</v>
      </c>
    </row>
    <row r="105" spans="1:8">
      <c r="A105">
        <v>230327</v>
      </c>
      <c r="B105" t="s">
        <v>112</v>
      </c>
      <c r="C105">
        <f>VLOOKUP($B105,Sheet2!$A:$E,2,0)</f>
        <v>82.5</v>
      </c>
      <c r="D105">
        <f>VLOOKUP($B105,Sheet2!$A:$E,3,0)</f>
        <v>56</v>
      </c>
      <c r="E105">
        <f>VLOOKUP($B105,Sheet2!$A:$E,4,0)</f>
        <v>59</v>
      </c>
      <c r="F105">
        <f>VLOOKUP($B105,Sheet2!$A:$E,5,0)</f>
        <v>69</v>
      </c>
      <c r="G105">
        <f>VLOOKUP($B105,Sheet2!$A:$G,7,0)</f>
        <v>61</v>
      </c>
      <c r="H105">
        <f>VLOOKUP($B105,Sheet2!$A:$G,6,0)</f>
        <v>71</v>
      </c>
    </row>
    <row r="106" spans="1:8">
      <c r="A106">
        <v>230328</v>
      </c>
      <c r="B106" t="s">
        <v>113</v>
      </c>
      <c r="C106">
        <f>VLOOKUP($B106,Sheet2!$A:$E,2,0)</f>
        <v>93</v>
      </c>
      <c r="D106">
        <f>VLOOKUP($B106,Sheet2!$A:$E,3,0)</f>
        <v>99</v>
      </c>
      <c r="E106">
        <f>VLOOKUP($B106,Sheet2!$A:$E,4,0)</f>
        <v>76</v>
      </c>
      <c r="F106">
        <f>VLOOKUP($B106,Sheet2!$A:$E,5,0)</f>
        <v>88</v>
      </c>
      <c r="G106">
        <f>VLOOKUP($B106,Sheet2!$A:$G,7,0)</f>
        <v>75</v>
      </c>
      <c r="H106">
        <f>VLOOKUP($B106,Sheet2!$A:$G,6,0)</f>
        <v>86</v>
      </c>
    </row>
    <row r="107" spans="1:8">
      <c r="A107">
        <v>230329</v>
      </c>
      <c r="B107" t="s">
        <v>114</v>
      </c>
      <c r="C107">
        <f>VLOOKUP($B107,Sheet2!$A:$E,2,0)</f>
        <v>85</v>
      </c>
      <c r="D107">
        <f>VLOOKUP($B107,Sheet2!$A:$E,3,0)</f>
        <v>83</v>
      </c>
      <c r="E107">
        <f>VLOOKUP($B107,Sheet2!$A:$E,4,0)</f>
        <v>85.5</v>
      </c>
      <c r="F107">
        <f>VLOOKUP($B107,Sheet2!$A:$E,5,0)</f>
        <v>84</v>
      </c>
      <c r="G107">
        <f>VLOOKUP($B107,Sheet2!$A:$G,7,0)</f>
        <v>77</v>
      </c>
      <c r="H107">
        <f>VLOOKUP($B107,Sheet2!$A:$G,6,0)</f>
        <v>84</v>
      </c>
    </row>
    <row r="108" spans="1:8">
      <c r="A108">
        <v>230330</v>
      </c>
      <c r="B108" t="s">
        <v>115</v>
      </c>
      <c r="C108">
        <f>VLOOKUP($B108,Sheet2!$A:$E,2,0)</f>
        <v>79.5</v>
      </c>
      <c r="D108">
        <f>VLOOKUP($B108,Sheet2!$A:$E,3,0)</f>
        <v>76</v>
      </c>
      <c r="E108">
        <f>VLOOKUP($B108,Sheet2!$A:$E,4,0)</f>
        <v>72.5</v>
      </c>
      <c r="F108">
        <f>VLOOKUP($B108,Sheet2!$A:$E,5,0)</f>
        <v>58</v>
      </c>
      <c r="G108">
        <f>VLOOKUP($B108,Sheet2!$A:$G,7,0)</f>
        <v>62</v>
      </c>
      <c r="H108">
        <f>VLOOKUP($B108,Sheet2!$A:$G,6,0)</f>
        <v>53</v>
      </c>
    </row>
    <row r="109" spans="1:8">
      <c r="A109">
        <v>230331</v>
      </c>
      <c r="B109" t="s">
        <v>116</v>
      </c>
      <c r="C109">
        <f>VLOOKUP($B109,Sheet2!$A:$E,2,0)</f>
        <v>81</v>
      </c>
      <c r="D109">
        <f>VLOOKUP($B109,Sheet2!$A:$E,3,0)</f>
        <v>86</v>
      </c>
      <c r="E109">
        <f>VLOOKUP($B109,Sheet2!$A:$E,4,0)</f>
        <v>93</v>
      </c>
      <c r="F109">
        <f>VLOOKUP($B109,Sheet2!$A:$E,5,0)</f>
        <v>80</v>
      </c>
      <c r="G109">
        <f>VLOOKUP($B109,Sheet2!$A:$G,7,0)</f>
        <v>73</v>
      </c>
      <c r="H109">
        <f>VLOOKUP($B109,Sheet2!$A:$G,6,0)</f>
        <v>66</v>
      </c>
    </row>
    <row r="110" spans="1:8">
      <c r="A110">
        <v>230332</v>
      </c>
      <c r="B110" t="s">
        <v>117</v>
      </c>
      <c r="C110">
        <f>VLOOKUP($B110,Sheet2!$A:$E,2,0)</f>
        <v>72</v>
      </c>
      <c r="D110">
        <f>VLOOKUP($B110,Sheet2!$A:$E,3,0)</f>
        <v>45</v>
      </c>
      <c r="E110">
        <f>VLOOKUP($B110,Sheet2!$A:$E,4,0)</f>
        <v>90</v>
      </c>
      <c r="F110">
        <f>VLOOKUP($B110,Sheet2!$A:$E,5,0)</f>
        <v>71</v>
      </c>
      <c r="G110">
        <f>VLOOKUP($B110,Sheet2!$A:$G,7,0)</f>
        <v>48</v>
      </c>
      <c r="H110">
        <f>VLOOKUP($B110,Sheet2!$A:$G,6,0)</f>
        <v>46</v>
      </c>
    </row>
    <row r="111" spans="1:8">
      <c r="A111">
        <v>230333</v>
      </c>
      <c r="B111" t="s">
        <v>118</v>
      </c>
      <c r="C111">
        <f>VLOOKUP($B111,Sheet2!$A:$E,2,0)</f>
        <v>70</v>
      </c>
      <c r="D111">
        <f>VLOOKUP($B111,Sheet2!$A:$E,3,0)</f>
        <v>57</v>
      </c>
      <c r="E111">
        <f>VLOOKUP($B111,Sheet2!$A:$E,4,0)</f>
        <v>42</v>
      </c>
      <c r="F111">
        <f>VLOOKUP($B111,Sheet2!$A:$E,5,0)</f>
        <v>52</v>
      </c>
      <c r="G111">
        <f>VLOOKUP($B111,Sheet2!$A:$G,7,0)</f>
        <v>53</v>
      </c>
      <c r="H111">
        <f>VLOOKUP($B111,Sheet2!$A:$G,6,0)</f>
        <v>41</v>
      </c>
    </row>
    <row r="112" spans="1:8">
      <c r="A112">
        <v>230334</v>
      </c>
      <c r="B112" t="s">
        <v>119</v>
      </c>
      <c r="C112">
        <f>VLOOKUP($B112,Sheet2!$A:$E,2,0)</f>
        <v>71</v>
      </c>
      <c r="D112">
        <f>VLOOKUP($B112,Sheet2!$A:$E,3,0)</f>
        <v>47</v>
      </c>
      <c r="E112">
        <f>VLOOKUP($B112,Sheet2!$A:$E,4,0)</f>
        <v>49.5</v>
      </c>
      <c r="F112">
        <f>VLOOKUP($B112,Sheet2!$A:$E,5,0)</f>
        <v>62</v>
      </c>
      <c r="G112">
        <f>VLOOKUP($B112,Sheet2!$A:$G,7,0)</f>
        <v>53</v>
      </c>
      <c r="H112">
        <f>VLOOKUP($B112,Sheet2!$A:$G,6,0)</f>
        <v>52</v>
      </c>
    </row>
    <row r="113" spans="1:8">
      <c r="A113">
        <v>230335</v>
      </c>
      <c r="B113" t="s">
        <v>120</v>
      </c>
      <c r="C113">
        <f>VLOOKUP($B113,Sheet2!$A:$E,2,0)</f>
        <v>81</v>
      </c>
      <c r="D113">
        <f>VLOOKUP($B113,Sheet2!$A:$E,3,0)</f>
        <v>67</v>
      </c>
      <c r="E113">
        <f>VLOOKUP($B113,Sheet2!$A:$E,4,0)</f>
        <v>67</v>
      </c>
      <c r="F113">
        <f>VLOOKUP($B113,Sheet2!$A:$E,5,0)</f>
        <v>77</v>
      </c>
      <c r="G113">
        <f>VLOOKUP($B113,Sheet2!$A:$G,7,0)</f>
        <v>61</v>
      </c>
      <c r="H113">
        <f>VLOOKUP($B113,Sheet2!$A:$G,6,0)</f>
        <v>67</v>
      </c>
    </row>
    <row r="114" spans="1:8">
      <c r="A114">
        <v>230336</v>
      </c>
      <c r="B114" t="s">
        <v>121</v>
      </c>
      <c r="C114">
        <f>VLOOKUP($B114,Sheet2!$A:$E,2,0)</f>
        <v>87</v>
      </c>
      <c r="D114">
        <f>VLOOKUP($B114,Sheet2!$A:$E,3,0)</f>
        <v>67</v>
      </c>
      <c r="E114">
        <f>VLOOKUP($B114,Sheet2!$A:$E,4,0)</f>
        <v>73</v>
      </c>
      <c r="F114">
        <f>VLOOKUP($B114,Sheet2!$A:$E,5,0)</f>
        <v>76</v>
      </c>
      <c r="G114">
        <f>VLOOKUP($B114,Sheet2!$A:$G,7,0)</f>
        <v>69</v>
      </c>
      <c r="H114">
        <f>VLOOKUP($B114,Sheet2!$A:$G,6,0)</f>
        <v>72</v>
      </c>
    </row>
    <row r="115" spans="1:8">
      <c r="A115">
        <v>230337</v>
      </c>
      <c r="B115" t="s">
        <v>122</v>
      </c>
      <c r="C115">
        <f>VLOOKUP($B115,Sheet2!$A:$E,2,0)</f>
        <v>98</v>
      </c>
      <c r="D115">
        <f>VLOOKUP($B115,Sheet2!$A:$E,3,0)</f>
        <v>108</v>
      </c>
      <c r="E115">
        <f>VLOOKUP($B115,Sheet2!$A:$E,4,0)</f>
        <v>94.5</v>
      </c>
      <c r="F115">
        <f>VLOOKUP($B115,Sheet2!$A:$E,5,0)</f>
        <v>86</v>
      </c>
      <c r="G115">
        <f>VLOOKUP($B115,Sheet2!$A:$G,7,0)</f>
        <v>79</v>
      </c>
      <c r="H115">
        <f>VLOOKUP($B115,Sheet2!$A:$G,6,0)</f>
        <v>84</v>
      </c>
    </row>
    <row r="116" spans="1:8">
      <c r="A116">
        <v>230338</v>
      </c>
      <c r="B116" t="s">
        <v>123</v>
      </c>
      <c r="C116">
        <f>VLOOKUP($B116,Sheet2!$A:$E,2,0)</f>
        <v>85</v>
      </c>
      <c r="D116">
        <f>VLOOKUP($B116,Sheet2!$A:$E,3,0)</f>
        <v>80</v>
      </c>
      <c r="E116">
        <f>VLOOKUP($B116,Sheet2!$A:$E,4,0)</f>
        <v>98.5</v>
      </c>
      <c r="F116">
        <f>VLOOKUP($B116,Sheet2!$A:$E,5,0)</f>
        <v>81</v>
      </c>
      <c r="G116">
        <f>VLOOKUP($B116,Sheet2!$A:$G,7,0)</f>
        <v>77</v>
      </c>
      <c r="H116">
        <f>VLOOKUP($B116,Sheet2!$A:$G,6,0)</f>
        <v>76</v>
      </c>
    </row>
    <row r="117" spans="1:8">
      <c r="A117">
        <v>230339</v>
      </c>
      <c r="B117" t="s">
        <v>124</v>
      </c>
      <c r="C117">
        <f>VLOOKUP($B117,Sheet2!$A:$E,2,0)</f>
        <v>89</v>
      </c>
      <c r="D117">
        <f>VLOOKUP($B117,Sheet2!$A:$E,3,0)</f>
        <v>67</v>
      </c>
      <c r="E117">
        <f>VLOOKUP($B117,Sheet2!$A:$E,4,0)</f>
        <v>79</v>
      </c>
      <c r="F117">
        <f>VLOOKUP($B117,Sheet2!$A:$E,5,0)</f>
        <v>73</v>
      </c>
      <c r="G117">
        <f>VLOOKUP($B117,Sheet2!$A:$G,7,0)</f>
        <v>74</v>
      </c>
      <c r="H117">
        <f>VLOOKUP($B117,Sheet2!$A:$G,6,0)</f>
        <v>54</v>
      </c>
    </row>
    <row r="118" spans="1:8">
      <c r="A118">
        <v>230340</v>
      </c>
      <c r="B118" t="s">
        <v>125</v>
      </c>
      <c r="C118">
        <f>VLOOKUP($B118,Sheet2!$A:$E,2,0)</f>
        <v>68</v>
      </c>
      <c r="D118">
        <f>VLOOKUP($B118,Sheet2!$A:$E,3,0)</f>
        <v>58</v>
      </c>
      <c r="E118">
        <f>VLOOKUP($B118,Sheet2!$A:$E,4,0)</f>
        <v>49.5</v>
      </c>
      <c r="F118">
        <f>VLOOKUP($B118,Sheet2!$A:$E,5,0)</f>
        <v>57</v>
      </c>
      <c r="G118">
        <f>VLOOKUP($B118,Sheet2!$A:$G,7,0)</f>
        <v>66</v>
      </c>
      <c r="H118">
        <f>VLOOKUP($B118,Sheet2!$A:$G,6,0)</f>
        <v>46</v>
      </c>
    </row>
    <row r="119" spans="1:8">
      <c r="A119">
        <v>230341</v>
      </c>
      <c r="B119" t="s">
        <v>126</v>
      </c>
      <c r="C119">
        <f>VLOOKUP($B119,Sheet2!$A:$E,2,0)</f>
        <v>91</v>
      </c>
      <c r="D119">
        <f>VLOOKUP($B119,Sheet2!$A:$E,3,0)</f>
        <v>89</v>
      </c>
      <c r="E119">
        <f>VLOOKUP($B119,Sheet2!$A:$E,4,0)</f>
        <v>71</v>
      </c>
      <c r="F119">
        <f>VLOOKUP($B119,Sheet2!$A:$E,5,0)</f>
        <v>73</v>
      </c>
      <c r="G119">
        <f>VLOOKUP($B119,Sheet2!$A:$G,7,0)</f>
        <v>75</v>
      </c>
      <c r="H119">
        <f>VLOOKUP($B119,Sheet2!$A:$G,6,0)</f>
        <v>68</v>
      </c>
    </row>
    <row r="120" spans="1:8">
      <c r="A120">
        <v>230342</v>
      </c>
      <c r="B120" t="s">
        <v>127</v>
      </c>
      <c r="C120">
        <f>VLOOKUP($B120,Sheet2!$A:$E,2,0)</f>
        <v>88</v>
      </c>
      <c r="D120">
        <f>VLOOKUP($B120,Sheet2!$A:$E,3,0)</f>
        <v>84</v>
      </c>
      <c r="E120">
        <f>VLOOKUP($B120,Sheet2!$A:$E,4,0)</f>
        <v>81</v>
      </c>
      <c r="F120">
        <f>VLOOKUP($B120,Sheet2!$A:$E,5,0)</f>
        <v>83</v>
      </c>
      <c r="G120">
        <f>VLOOKUP($B120,Sheet2!$A:$G,7,0)</f>
        <v>83</v>
      </c>
      <c r="H120">
        <f>VLOOKUP($B120,Sheet2!$A:$G,6,0)</f>
        <v>84</v>
      </c>
    </row>
    <row r="121" spans="1:8">
      <c r="A121">
        <v>230343</v>
      </c>
      <c r="B121" t="s">
        <v>128</v>
      </c>
      <c r="C121">
        <f>VLOOKUP($B121,Sheet2!$A:$E,2,0)</f>
        <v>80</v>
      </c>
      <c r="D121">
        <f>VLOOKUP($B121,Sheet2!$A:$E,3,0)</f>
        <v>60</v>
      </c>
      <c r="E121">
        <f>VLOOKUP($B121,Sheet2!$A:$E,4,0)</f>
        <v>68.5</v>
      </c>
      <c r="F121">
        <f>VLOOKUP($B121,Sheet2!$A:$E,5,0)</f>
        <v>67</v>
      </c>
      <c r="G121">
        <f>VLOOKUP($B121,Sheet2!$A:$G,7,0)</f>
        <v>65</v>
      </c>
      <c r="H121">
        <f>VLOOKUP($B121,Sheet2!$A:$G,6,0)</f>
        <v>50</v>
      </c>
    </row>
    <row r="122" spans="1:8">
      <c r="A122">
        <v>230345</v>
      </c>
      <c r="B122" t="s">
        <v>129</v>
      </c>
      <c r="C122">
        <f>VLOOKUP($B122,Sheet2!$A:$E,2,0)</f>
        <v>80</v>
      </c>
      <c r="D122">
        <f>VLOOKUP($B122,Sheet2!$A:$E,3,0)</f>
        <v>85</v>
      </c>
      <c r="E122">
        <f>VLOOKUP($B122,Sheet2!$A:$E,4,0)</f>
        <v>75</v>
      </c>
      <c r="F122">
        <f>VLOOKUP($B122,Sheet2!$A:$E,5,0)</f>
        <v>87</v>
      </c>
      <c r="G122">
        <f>VLOOKUP($B122,Sheet2!$A:$G,7,0)</f>
        <v>67</v>
      </c>
      <c r="H122">
        <f>VLOOKUP($B122,Sheet2!$A:$G,6,0)</f>
        <v>61</v>
      </c>
    </row>
    <row r="123" spans="1:8">
      <c r="A123">
        <v>230346</v>
      </c>
      <c r="B123" t="s">
        <v>130</v>
      </c>
      <c r="C123">
        <f>VLOOKUP($B123,Sheet2!$A:$E,2,0)</f>
        <v>81</v>
      </c>
      <c r="D123">
        <f>VLOOKUP($B123,Sheet2!$A:$E,3,0)</f>
        <v>86</v>
      </c>
      <c r="E123">
        <f>VLOOKUP($B123,Sheet2!$A:$E,4,0)</f>
        <v>78.5</v>
      </c>
      <c r="F123">
        <f>VLOOKUP($B123,Sheet2!$A:$E,5,0)</f>
        <v>71</v>
      </c>
      <c r="G123">
        <f>VLOOKUP($B123,Sheet2!$A:$G,7,0)</f>
        <v>78</v>
      </c>
      <c r="H123">
        <f>VLOOKUP($B123,Sheet2!$A:$G,6,0)</f>
        <v>57</v>
      </c>
    </row>
    <row r="124" spans="1:8">
      <c r="A124">
        <v>230401</v>
      </c>
      <c r="B124" t="s">
        <v>131</v>
      </c>
      <c r="C124">
        <f>VLOOKUP($B124,Sheet2!$A:$E,2,0)</f>
        <v>91.5</v>
      </c>
      <c r="D124">
        <f>VLOOKUP($B124,Sheet2!$A:$E,3,0)</f>
        <v>85</v>
      </c>
      <c r="E124">
        <f>VLOOKUP($B124,Sheet2!$A:$E,4,0)</f>
        <v>82.5</v>
      </c>
      <c r="F124">
        <f>VLOOKUP($B124,Sheet2!$A:$E,5,0)</f>
        <v>80</v>
      </c>
      <c r="G124">
        <f>VLOOKUP($B124,Sheet2!$A:$G,7,0)</f>
        <v>74</v>
      </c>
      <c r="H124">
        <f>VLOOKUP($B124,Sheet2!$A:$G,6,0)</f>
        <v>63</v>
      </c>
    </row>
    <row r="125" spans="1:8">
      <c r="A125">
        <v>230402</v>
      </c>
      <c r="B125" t="s">
        <v>132</v>
      </c>
      <c r="C125">
        <f>VLOOKUP($B125,Sheet2!$A:$E,2,0)</f>
        <v>97</v>
      </c>
      <c r="D125">
        <f>VLOOKUP($B125,Sheet2!$A:$E,3,0)</f>
        <v>80</v>
      </c>
      <c r="E125">
        <f>VLOOKUP($B125,Sheet2!$A:$E,4,0)</f>
        <v>100.5</v>
      </c>
      <c r="F125">
        <f>VLOOKUP($B125,Sheet2!$A:$E,5,0)</f>
        <v>78</v>
      </c>
      <c r="G125">
        <f>VLOOKUP($B125,Sheet2!$A:$G,7,0)</f>
        <v>75</v>
      </c>
      <c r="H125">
        <f>VLOOKUP($B125,Sheet2!$A:$G,6,0)</f>
        <v>64</v>
      </c>
    </row>
    <row r="126" spans="1:8">
      <c r="A126">
        <v>230403</v>
      </c>
      <c r="B126" t="s">
        <v>133</v>
      </c>
      <c r="C126">
        <f>VLOOKUP($B126,Sheet2!$A:$E,2,0)</f>
        <v>88</v>
      </c>
      <c r="D126">
        <f>VLOOKUP($B126,Sheet2!$A:$E,3,0)</f>
        <v>91</v>
      </c>
      <c r="E126">
        <f>VLOOKUP($B126,Sheet2!$A:$E,4,0)</f>
        <v>80</v>
      </c>
      <c r="F126">
        <f>VLOOKUP($B126,Sheet2!$A:$E,5,0)</f>
        <v>81</v>
      </c>
      <c r="G126">
        <f>VLOOKUP($B126,Sheet2!$A:$G,7,0)</f>
        <v>69</v>
      </c>
      <c r="H126">
        <f>VLOOKUP($B126,Sheet2!$A:$G,6,0)</f>
        <v>75</v>
      </c>
    </row>
    <row r="127" spans="1:8">
      <c r="A127">
        <v>230404</v>
      </c>
      <c r="B127" t="s">
        <v>134</v>
      </c>
      <c r="C127">
        <f>VLOOKUP($B127,Sheet2!$A:$E,2,0)</f>
        <v>86</v>
      </c>
      <c r="D127">
        <f>VLOOKUP($B127,Sheet2!$A:$E,3,0)</f>
        <v>73</v>
      </c>
      <c r="E127">
        <f>VLOOKUP($B127,Sheet2!$A:$E,4,0)</f>
        <v>96.5</v>
      </c>
      <c r="F127">
        <f>VLOOKUP($B127,Sheet2!$A:$E,5,0)</f>
        <v>83</v>
      </c>
      <c r="G127">
        <f>VLOOKUP($B127,Sheet2!$A:$G,7,0)</f>
        <v>77</v>
      </c>
      <c r="H127">
        <f>VLOOKUP($B127,Sheet2!$A:$G,6,0)</f>
        <v>74</v>
      </c>
    </row>
    <row r="128" spans="1:8">
      <c r="A128">
        <v>230405</v>
      </c>
      <c r="B128" t="s">
        <v>135</v>
      </c>
      <c r="C128">
        <f>VLOOKUP($B128,Sheet2!$A:$E,2,0)</f>
        <v>81.5</v>
      </c>
      <c r="D128">
        <f>VLOOKUP($B128,Sheet2!$A:$E,3,0)</f>
        <v>79</v>
      </c>
      <c r="E128">
        <f>VLOOKUP($B128,Sheet2!$A:$E,4,0)</f>
        <v>89</v>
      </c>
      <c r="F128">
        <f>VLOOKUP($B128,Sheet2!$A:$E,5,0)</f>
        <v>70</v>
      </c>
      <c r="G128">
        <f>VLOOKUP($B128,Sheet2!$A:$G,7,0)</f>
        <v>62</v>
      </c>
      <c r="H128">
        <f>VLOOKUP($B128,Sheet2!$A:$G,6,0)</f>
        <v>53</v>
      </c>
    </row>
    <row r="129" spans="1:8">
      <c r="A129">
        <v>230406</v>
      </c>
      <c r="B129" t="s">
        <v>136</v>
      </c>
      <c r="C129">
        <f>VLOOKUP($B129,Sheet2!$A:$E,2,0)</f>
        <v>89</v>
      </c>
      <c r="D129">
        <f>VLOOKUP($B129,Sheet2!$A:$E,3,0)</f>
        <v>61</v>
      </c>
      <c r="E129">
        <f>VLOOKUP($B129,Sheet2!$A:$E,4,0)</f>
        <v>70</v>
      </c>
      <c r="F129">
        <f>VLOOKUP($B129,Sheet2!$A:$E,5,0)</f>
        <v>72</v>
      </c>
      <c r="G129">
        <f>VLOOKUP($B129,Sheet2!$A:$G,7,0)</f>
        <v>73</v>
      </c>
      <c r="H129">
        <f>VLOOKUP($B129,Sheet2!$A:$G,6,0)</f>
        <v>56</v>
      </c>
    </row>
    <row r="130" spans="1:8">
      <c r="A130">
        <v>230407</v>
      </c>
      <c r="B130" t="s">
        <v>137</v>
      </c>
      <c r="C130">
        <f>VLOOKUP($B130,Sheet2!$A:$E,2,0)</f>
        <v>82</v>
      </c>
      <c r="D130">
        <f>VLOOKUP($B130,Sheet2!$A:$E,3,0)</f>
        <v>69</v>
      </c>
      <c r="E130">
        <f>VLOOKUP($B130,Sheet2!$A:$E,4,0)</f>
        <v>89.5</v>
      </c>
      <c r="F130">
        <f>VLOOKUP($B130,Sheet2!$A:$E,5,0)</f>
        <v>65</v>
      </c>
      <c r="G130">
        <f>VLOOKUP($B130,Sheet2!$A:$G,7,0)</f>
        <v>53</v>
      </c>
      <c r="H130">
        <f>VLOOKUP($B130,Sheet2!$A:$G,6,0)</f>
        <v>53</v>
      </c>
    </row>
    <row r="131" spans="1:8">
      <c r="A131">
        <v>230409</v>
      </c>
      <c r="B131" t="s">
        <v>138</v>
      </c>
      <c r="C131">
        <f>VLOOKUP($B131,Sheet2!$A:$E,2,0)</f>
        <v>83</v>
      </c>
      <c r="D131">
        <f>VLOOKUP($B131,Sheet2!$A:$E,3,0)</f>
        <v>86</v>
      </c>
      <c r="E131">
        <f>VLOOKUP($B131,Sheet2!$A:$E,4,0)</f>
        <v>83</v>
      </c>
      <c r="F131">
        <f>VLOOKUP($B131,Sheet2!$A:$E,5,0)</f>
        <v>87</v>
      </c>
      <c r="G131">
        <f>VLOOKUP($B131,Sheet2!$A:$G,7,0)</f>
        <v>77</v>
      </c>
      <c r="H131">
        <f>VLOOKUP($B131,Sheet2!$A:$G,6,0)</f>
        <v>77</v>
      </c>
    </row>
    <row r="132" spans="1:8">
      <c r="A132">
        <v>230410</v>
      </c>
      <c r="B132" t="s">
        <v>139</v>
      </c>
      <c r="C132">
        <f>VLOOKUP($B132,Sheet2!$A:$E,2,0)</f>
        <v>74</v>
      </c>
      <c r="D132">
        <f>VLOOKUP($B132,Sheet2!$A:$E,3,0)</f>
        <v>78</v>
      </c>
      <c r="E132">
        <f>VLOOKUP($B132,Sheet2!$A:$E,4,0)</f>
        <v>70</v>
      </c>
      <c r="F132">
        <f>VLOOKUP($B132,Sheet2!$A:$E,5,0)</f>
        <v>66</v>
      </c>
      <c r="G132">
        <f>VLOOKUP($B132,Sheet2!$A:$G,7,0)</f>
        <v>76</v>
      </c>
      <c r="H132">
        <f>VLOOKUP($B132,Sheet2!$A:$G,6,0)</f>
        <v>59</v>
      </c>
    </row>
    <row r="133" spans="1:8">
      <c r="A133">
        <v>230412</v>
      </c>
      <c r="B133" t="s">
        <v>140</v>
      </c>
      <c r="C133">
        <f>VLOOKUP($B133,Sheet2!$A:$E,2,0)</f>
        <v>108</v>
      </c>
      <c r="D133">
        <f>VLOOKUP($B133,Sheet2!$A:$E,3,0)</f>
        <v>95</v>
      </c>
      <c r="E133">
        <f>VLOOKUP($B133,Sheet2!$A:$E,4,0)</f>
        <v>104</v>
      </c>
      <c r="F133">
        <f>VLOOKUP($B133,Sheet2!$A:$E,5,0)</f>
        <v>80</v>
      </c>
      <c r="G133">
        <f>VLOOKUP($B133,Sheet2!$A:$G,7,0)</f>
        <v>70</v>
      </c>
      <c r="H133">
        <f>VLOOKUP($B133,Sheet2!$A:$G,6,0)</f>
        <v>80</v>
      </c>
    </row>
    <row r="134" spans="1:8">
      <c r="A134">
        <v>230413</v>
      </c>
      <c r="B134" t="s">
        <v>141</v>
      </c>
      <c r="C134">
        <f>VLOOKUP($B134,Sheet2!$A:$E,2,0)</f>
        <v>93</v>
      </c>
      <c r="D134">
        <f>VLOOKUP($B134,Sheet2!$A:$E,3,0)</f>
        <v>108</v>
      </c>
      <c r="E134">
        <f>VLOOKUP($B134,Sheet2!$A:$E,4,0)</f>
        <v>105</v>
      </c>
      <c r="F134">
        <f>VLOOKUP($B134,Sheet2!$A:$E,5,0)</f>
        <v>89</v>
      </c>
      <c r="G134">
        <f>VLOOKUP($B134,Sheet2!$A:$G,7,0)</f>
        <v>71</v>
      </c>
      <c r="H134">
        <f>VLOOKUP($B134,Sheet2!$A:$G,6,0)</f>
        <v>71</v>
      </c>
    </row>
    <row r="135" spans="1:8">
      <c r="A135">
        <v>230414</v>
      </c>
      <c r="B135" t="s">
        <v>142</v>
      </c>
      <c r="C135">
        <f>VLOOKUP($B135,Sheet2!$A:$E,2,0)</f>
        <v>43</v>
      </c>
      <c r="D135">
        <f>VLOOKUP($B135,Sheet2!$A:$E,3,0)</f>
        <v>6</v>
      </c>
      <c r="E135">
        <f>VLOOKUP($B135,Sheet2!$A:$E,4,0)</f>
        <v>38</v>
      </c>
      <c r="F135">
        <f>VLOOKUP($B135,Sheet2!$A:$E,5,0)</f>
        <v>40</v>
      </c>
      <c r="G135">
        <f>VLOOKUP($B135,Sheet2!$A:$G,7,0)</f>
        <v>39</v>
      </c>
      <c r="H135">
        <f>VLOOKUP($B135,Sheet2!$A:$G,6,0)</f>
        <v>47</v>
      </c>
    </row>
    <row r="136" spans="1:8">
      <c r="A136">
        <v>230416</v>
      </c>
      <c r="B136" t="s">
        <v>143</v>
      </c>
      <c r="C136">
        <f>VLOOKUP($B136,Sheet2!$A:$E,2,0)</f>
        <v>95</v>
      </c>
      <c r="D136">
        <f>VLOOKUP($B136,Sheet2!$A:$E,3,0)</f>
        <v>92</v>
      </c>
      <c r="E136">
        <f>VLOOKUP($B136,Sheet2!$A:$E,4,0)</f>
        <v>81.5</v>
      </c>
      <c r="F136">
        <f>VLOOKUP($B136,Sheet2!$A:$E,5,0)</f>
        <v>88</v>
      </c>
      <c r="G136">
        <f>VLOOKUP($B136,Sheet2!$A:$G,7,0)</f>
        <v>73</v>
      </c>
      <c r="H136">
        <f>VLOOKUP($B136,Sheet2!$A:$G,6,0)</f>
        <v>77</v>
      </c>
    </row>
    <row r="137" spans="1:8">
      <c r="A137">
        <v>230417</v>
      </c>
      <c r="B137" t="s">
        <v>144</v>
      </c>
      <c r="C137">
        <f>VLOOKUP($B137,Sheet2!$A:$E,2,0)</f>
        <v>66</v>
      </c>
      <c r="D137">
        <f>VLOOKUP($B137,Sheet2!$A:$E,3,0)</f>
        <v>63</v>
      </c>
      <c r="E137">
        <f>VLOOKUP($B137,Sheet2!$A:$E,4,0)</f>
        <v>53.5</v>
      </c>
      <c r="F137">
        <f>VLOOKUP($B137,Sheet2!$A:$E,5,0)</f>
        <v>62</v>
      </c>
      <c r="G137">
        <f>VLOOKUP($B137,Sheet2!$A:$G,7,0)</f>
        <v>39</v>
      </c>
      <c r="H137">
        <f>VLOOKUP($B137,Sheet2!$A:$G,6,0)</f>
        <v>57</v>
      </c>
    </row>
    <row r="138" spans="1:8">
      <c r="A138">
        <v>230418</v>
      </c>
      <c r="B138" t="s">
        <v>145</v>
      </c>
      <c r="C138">
        <f>VLOOKUP($B138,Sheet2!$A:$E,2,0)</f>
        <v>74</v>
      </c>
      <c r="D138">
        <f>VLOOKUP($B138,Sheet2!$A:$E,3,0)</f>
        <v>66</v>
      </c>
      <c r="E138">
        <f>VLOOKUP($B138,Sheet2!$A:$E,4,0)</f>
        <v>67.5</v>
      </c>
      <c r="F138">
        <f>VLOOKUP($B138,Sheet2!$A:$E,5,0)</f>
        <v>58</v>
      </c>
      <c r="G138">
        <f>VLOOKUP($B138,Sheet2!$A:$G,7,0)</f>
        <v>54</v>
      </c>
      <c r="H138">
        <f>VLOOKUP($B138,Sheet2!$A:$G,6,0)</f>
        <v>65</v>
      </c>
    </row>
    <row r="139" spans="1:8">
      <c r="A139">
        <v>230419</v>
      </c>
      <c r="B139" t="s">
        <v>146</v>
      </c>
      <c r="C139">
        <f>VLOOKUP($B139,Sheet2!$A:$E,2,0)</f>
        <v>98</v>
      </c>
      <c r="D139">
        <f>VLOOKUP($B139,Sheet2!$A:$E,3,0)</f>
        <v>82</v>
      </c>
      <c r="E139">
        <f>VLOOKUP($B139,Sheet2!$A:$E,4,0)</f>
        <v>87</v>
      </c>
      <c r="F139">
        <f>VLOOKUP($B139,Sheet2!$A:$E,5,0)</f>
        <v>84</v>
      </c>
      <c r="G139">
        <f>VLOOKUP($B139,Sheet2!$A:$G,7,0)</f>
        <v>75</v>
      </c>
      <c r="H139">
        <f>VLOOKUP($B139,Sheet2!$A:$G,6,0)</f>
        <v>70</v>
      </c>
    </row>
    <row r="140" spans="1:8">
      <c r="A140">
        <v>230420</v>
      </c>
      <c r="B140" t="s">
        <v>147</v>
      </c>
      <c r="C140">
        <f>VLOOKUP($B140,Sheet2!$A:$E,2,0)</f>
        <v>89</v>
      </c>
      <c r="D140">
        <f>VLOOKUP($B140,Sheet2!$A:$E,3,0)</f>
        <v>84</v>
      </c>
      <c r="E140">
        <f>VLOOKUP($B140,Sheet2!$A:$E,4,0)</f>
        <v>88.5</v>
      </c>
      <c r="F140">
        <f>VLOOKUP($B140,Sheet2!$A:$E,5,0)</f>
        <v>84</v>
      </c>
      <c r="G140">
        <f>VLOOKUP($B140,Sheet2!$A:$G,7,0)</f>
        <v>66</v>
      </c>
      <c r="H140">
        <f>VLOOKUP($B140,Sheet2!$A:$G,6,0)</f>
        <v>70</v>
      </c>
    </row>
    <row r="141" spans="1:8">
      <c r="A141">
        <v>230421</v>
      </c>
      <c r="B141" t="s">
        <v>148</v>
      </c>
      <c r="C141">
        <f>VLOOKUP($B141,Sheet2!$A:$E,2,0)</f>
        <v>58</v>
      </c>
      <c r="D141">
        <f>VLOOKUP($B141,Sheet2!$A:$E,3,0)</f>
        <v>77</v>
      </c>
      <c r="E141">
        <f>VLOOKUP($B141,Sheet2!$A:$E,4,0)</f>
        <v>57.5</v>
      </c>
      <c r="F141">
        <f>VLOOKUP($B141,Sheet2!$A:$E,5,0)</f>
        <v>78</v>
      </c>
      <c r="G141">
        <f>VLOOKUP($B141,Sheet2!$A:$G,7,0)</f>
        <v>66</v>
      </c>
      <c r="H141">
        <f>VLOOKUP($B141,Sheet2!$A:$G,6,0)</f>
        <v>47</v>
      </c>
    </row>
    <row r="142" spans="1:8">
      <c r="A142">
        <v>230422</v>
      </c>
      <c r="B142" t="s">
        <v>149</v>
      </c>
      <c r="C142">
        <f>VLOOKUP($B142,Sheet2!$A:$E,2,0)</f>
        <v>82</v>
      </c>
      <c r="D142">
        <f>VLOOKUP($B142,Sheet2!$A:$E,3,0)</f>
        <v>77</v>
      </c>
      <c r="E142">
        <f>VLOOKUP($B142,Sheet2!$A:$E,4,0)</f>
        <v>72</v>
      </c>
      <c r="F142">
        <f>VLOOKUP($B142,Sheet2!$A:$E,5,0)</f>
        <v>71</v>
      </c>
      <c r="G142">
        <f>VLOOKUP($B142,Sheet2!$A:$G,7,0)</f>
        <v>75</v>
      </c>
      <c r="H142">
        <f>VLOOKUP($B142,Sheet2!$A:$G,6,0)</f>
        <v>67</v>
      </c>
    </row>
    <row r="143" spans="1:8">
      <c r="A143">
        <v>230423</v>
      </c>
      <c r="B143" t="s">
        <v>150</v>
      </c>
      <c r="C143">
        <f>VLOOKUP($B143,Sheet2!$A:$E,2,0)</f>
        <v>76</v>
      </c>
      <c r="D143">
        <f>VLOOKUP($B143,Sheet2!$A:$E,3,0)</f>
        <v>75</v>
      </c>
      <c r="E143">
        <f>VLOOKUP($B143,Sheet2!$A:$E,4,0)</f>
        <v>71</v>
      </c>
      <c r="F143">
        <f>VLOOKUP($B143,Sheet2!$A:$E,5,0)</f>
        <v>79</v>
      </c>
      <c r="G143">
        <f>VLOOKUP($B143,Sheet2!$A:$G,7,0)</f>
        <v>73</v>
      </c>
      <c r="H143">
        <f>VLOOKUP($B143,Sheet2!$A:$G,6,0)</f>
        <v>76</v>
      </c>
    </row>
    <row r="144" spans="1:8">
      <c r="A144">
        <v>230424</v>
      </c>
      <c r="B144" t="s">
        <v>151</v>
      </c>
      <c r="C144">
        <f>VLOOKUP($B144,Sheet2!$A:$E,2,0)</f>
        <v>79</v>
      </c>
      <c r="D144">
        <f>VLOOKUP($B144,Sheet2!$A:$E,3,0)</f>
        <v>45</v>
      </c>
      <c r="E144">
        <f>VLOOKUP($B144,Sheet2!$A:$E,4,0)</f>
        <v>71.5</v>
      </c>
      <c r="F144">
        <f>VLOOKUP($B144,Sheet2!$A:$E,5,0)</f>
        <v>48</v>
      </c>
      <c r="G144">
        <f>VLOOKUP($B144,Sheet2!$A:$G,7,0)</f>
        <v>49</v>
      </c>
      <c r="H144">
        <f>VLOOKUP($B144,Sheet2!$A:$G,6,0)</f>
        <v>37</v>
      </c>
    </row>
    <row r="145" spans="1:8">
      <c r="A145">
        <v>230425</v>
      </c>
      <c r="B145" t="s">
        <v>152</v>
      </c>
      <c r="C145">
        <f>VLOOKUP($B145,Sheet2!$A:$E,2,0)</f>
        <v>56</v>
      </c>
      <c r="D145">
        <f>VLOOKUP($B145,Sheet2!$A:$E,3,0)</f>
        <v>98</v>
      </c>
      <c r="E145">
        <f>VLOOKUP($B145,Sheet2!$A:$E,4,0)</f>
        <v>62.5</v>
      </c>
      <c r="F145">
        <f>VLOOKUP($B145,Sheet2!$A:$E,5,0)</f>
        <v>77</v>
      </c>
      <c r="G145">
        <f>VLOOKUP($B145,Sheet2!$A:$G,7,0)</f>
        <v>58</v>
      </c>
      <c r="H145">
        <f>VLOOKUP($B145,Sheet2!$A:$G,6,0)</f>
        <v>47</v>
      </c>
    </row>
    <row r="146" spans="1:8">
      <c r="A146">
        <v>230426</v>
      </c>
      <c r="B146" t="s">
        <v>153</v>
      </c>
      <c r="C146">
        <f>VLOOKUP($B146,Sheet2!$A:$E,2,0)</f>
        <v>84</v>
      </c>
      <c r="D146">
        <f>VLOOKUP($B146,Sheet2!$A:$E,3,0)</f>
        <v>75</v>
      </c>
      <c r="E146">
        <f>VLOOKUP($B146,Sheet2!$A:$E,4,0)</f>
        <v>104</v>
      </c>
      <c r="F146">
        <f>VLOOKUP($B146,Sheet2!$A:$E,5,0)</f>
        <v>77</v>
      </c>
      <c r="G146">
        <f>VLOOKUP($B146,Sheet2!$A:$G,7,0)</f>
        <v>70</v>
      </c>
      <c r="H146">
        <f>VLOOKUP($B146,Sheet2!$A:$G,6,0)</f>
        <v>63</v>
      </c>
    </row>
    <row r="147" spans="1:8">
      <c r="A147">
        <v>230427</v>
      </c>
      <c r="B147" t="s">
        <v>154</v>
      </c>
      <c r="C147">
        <f>VLOOKUP($B147,Sheet2!$A:$E,2,0)</f>
        <v>86</v>
      </c>
      <c r="D147">
        <f>VLOOKUP($B147,Sheet2!$A:$E,3,0)</f>
        <v>65</v>
      </c>
      <c r="E147">
        <f>VLOOKUP($B147,Sheet2!$A:$E,4,0)</f>
        <v>68.5</v>
      </c>
      <c r="F147">
        <f>VLOOKUP($B147,Sheet2!$A:$E,5,0)</f>
        <v>72</v>
      </c>
      <c r="G147">
        <f>VLOOKUP($B147,Sheet2!$A:$G,7,0)</f>
        <v>69</v>
      </c>
      <c r="H147">
        <f>VLOOKUP($B147,Sheet2!$A:$G,6,0)</f>
        <v>52</v>
      </c>
    </row>
    <row r="148" spans="1:8">
      <c r="A148">
        <v>230428</v>
      </c>
      <c r="B148" t="s">
        <v>155</v>
      </c>
      <c r="C148">
        <f>VLOOKUP($B148,Sheet2!$A:$E,2,0)</f>
        <v>86</v>
      </c>
      <c r="D148">
        <f>VLOOKUP($B148,Sheet2!$A:$E,3,0)</f>
        <v>89</v>
      </c>
      <c r="E148">
        <f>VLOOKUP($B148,Sheet2!$A:$E,4,0)</f>
        <v>79.5</v>
      </c>
      <c r="F148">
        <f>VLOOKUP($B148,Sheet2!$A:$E,5,0)</f>
        <v>76</v>
      </c>
      <c r="G148">
        <f>VLOOKUP($B148,Sheet2!$A:$G,7,0)</f>
        <v>63</v>
      </c>
      <c r="H148">
        <f>VLOOKUP($B148,Sheet2!$A:$G,6,0)</f>
        <v>66</v>
      </c>
    </row>
    <row r="149" spans="1:8">
      <c r="A149">
        <v>230429</v>
      </c>
      <c r="B149" t="s">
        <v>156</v>
      </c>
      <c r="C149">
        <f>VLOOKUP($B149,Sheet2!$A:$E,2,0)</f>
        <v>72</v>
      </c>
      <c r="D149">
        <f>VLOOKUP($B149,Sheet2!$A:$E,3,0)</f>
        <v>74</v>
      </c>
      <c r="E149">
        <f>VLOOKUP($B149,Sheet2!$A:$E,4,0)</f>
        <v>49.5</v>
      </c>
      <c r="F149">
        <f>VLOOKUP($B149,Sheet2!$A:$E,5,0)</f>
        <v>72</v>
      </c>
      <c r="G149">
        <f>VLOOKUP($B149,Sheet2!$A:$G,7,0)</f>
        <v>67</v>
      </c>
      <c r="H149">
        <f>VLOOKUP($B149,Sheet2!$A:$G,6,0)</f>
        <v>64</v>
      </c>
    </row>
    <row r="150" spans="1:8">
      <c r="A150">
        <v>230430</v>
      </c>
      <c r="B150" t="s">
        <v>157</v>
      </c>
      <c r="C150">
        <f>VLOOKUP($B150,Sheet2!$A:$E,2,0)</f>
        <v>97</v>
      </c>
      <c r="D150">
        <f>VLOOKUP($B150,Sheet2!$A:$E,3,0)</f>
        <v>80</v>
      </c>
      <c r="E150">
        <f>VLOOKUP($B150,Sheet2!$A:$E,4,0)</f>
        <v>79.5</v>
      </c>
      <c r="F150">
        <f>VLOOKUP($B150,Sheet2!$A:$E,5,0)</f>
        <v>80</v>
      </c>
      <c r="G150">
        <f>VLOOKUP($B150,Sheet2!$A:$G,7,0)</f>
        <v>74</v>
      </c>
      <c r="H150">
        <f>VLOOKUP($B150,Sheet2!$A:$G,6,0)</f>
        <v>75</v>
      </c>
    </row>
    <row r="151" spans="1:8">
      <c r="A151">
        <v>230431</v>
      </c>
      <c r="B151" t="s">
        <v>158</v>
      </c>
      <c r="C151">
        <f>VLOOKUP($B151,Sheet2!$A:$E,2,0)</f>
        <v>85</v>
      </c>
      <c r="D151">
        <f>VLOOKUP($B151,Sheet2!$A:$E,3,0)</f>
        <v>65</v>
      </c>
      <c r="E151">
        <f>VLOOKUP($B151,Sheet2!$A:$E,4,0)</f>
        <v>85</v>
      </c>
      <c r="F151">
        <f>VLOOKUP($B151,Sheet2!$A:$E,5,0)</f>
        <v>44</v>
      </c>
      <c r="G151">
        <f>VLOOKUP($B151,Sheet2!$A:$G,7,0)</f>
        <v>66</v>
      </c>
      <c r="H151">
        <f>VLOOKUP($B151,Sheet2!$A:$G,6,0)</f>
        <v>68</v>
      </c>
    </row>
    <row r="152" spans="1:8">
      <c r="A152">
        <v>230432</v>
      </c>
      <c r="B152" t="s">
        <v>159</v>
      </c>
      <c r="C152">
        <f>VLOOKUP($B152,Sheet2!$A:$E,2,0)</f>
        <v>97</v>
      </c>
      <c r="D152">
        <f>VLOOKUP($B152,Sheet2!$A:$E,3,0)</f>
        <v>101</v>
      </c>
      <c r="E152">
        <f>VLOOKUP($B152,Sheet2!$A:$E,4,0)</f>
        <v>100.5</v>
      </c>
      <c r="F152">
        <f>VLOOKUP($B152,Sheet2!$A:$E,5,0)</f>
        <v>81</v>
      </c>
      <c r="G152">
        <f>VLOOKUP($B152,Sheet2!$A:$G,7,0)</f>
        <v>81</v>
      </c>
      <c r="H152">
        <f>VLOOKUP($B152,Sheet2!$A:$G,6,0)</f>
        <v>82</v>
      </c>
    </row>
    <row r="153" spans="1:8">
      <c r="A153">
        <v>230434</v>
      </c>
      <c r="B153" t="s">
        <v>160</v>
      </c>
      <c r="C153">
        <f>VLOOKUP($B153,Sheet2!$A:$E,2,0)</f>
        <v>69</v>
      </c>
      <c r="D153">
        <f>VLOOKUP($B153,Sheet2!$A:$E,3,0)</f>
        <v>65</v>
      </c>
      <c r="E153">
        <f>VLOOKUP($B153,Sheet2!$A:$E,4,0)</f>
        <v>35.5</v>
      </c>
      <c r="F153">
        <f>VLOOKUP($B153,Sheet2!$A:$E,5,0)</f>
        <v>63</v>
      </c>
      <c r="G153">
        <f>VLOOKUP($B153,Sheet2!$A:$G,7,0)</f>
        <v>56</v>
      </c>
      <c r="H153">
        <f>VLOOKUP($B153,Sheet2!$A:$G,6,0)</f>
        <v>41</v>
      </c>
    </row>
    <row r="154" spans="1:8">
      <c r="A154">
        <v>230435</v>
      </c>
      <c r="B154" t="s">
        <v>161</v>
      </c>
      <c r="C154">
        <f>VLOOKUP($B154,Sheet2!$A:$E,2,0)</f>
        <v>90</v>
      </c>
      <c r="D154">
        <f>VLOOKUP($B154,Sheet2!$A:$E,3,0)</f>
        <v>94</v>
      </c>
      <c r="E154">
        <f>VLOOKUP($B154,Sheet2!$A:$E,4,0)</f>
        <v>98.5</v>
      </c>
      <c r="F154">
        <f>VLOOKUP($B154,Sheet2!$A:$E,5,0)</f>
        <v>74</v>
      </c>
      <c r="G154">
        <f>VLOOKUP($B154,Sheet2!$A:$G,7,0)</f>
        <v>67</v>
      </c>
      <c r="H154">
        <f>VLOOKUP($B154,Sheet2!$A:$G,6,0)</f>
        <v>79</v>
      </c>
    </row>
    <row r="155" spans="1:8">
      <c r="A155">
        <v>230436</v>
      </c>
      <c r="B155" t="s">
        <v>162</v>
      </c>
      <c r="C155">
        <f>VLOOKUP($B155,Sheet2!$A:$E,2,0)</f>
        <v>86</v>
      </c>
      <c r="D155">
        <f>VLOOKUP($B155,Sheet2!$A:$E,3,0)</f>
        <v>87</v>
      </c>
      <c r="E155">
        <f>VLOOKUP($B155,Sheet2!$A:$E,4,0)</f>
        <v>90.5</v>
      </c>
      <c r="F155">
        <f>VLOOKUP($B155,Sheet2!$A:$E,5,0)</f>
        <v>81</v>
      </c>
      <c r="G155">
        <f>VLOOKUP($B155,Sheet2!$A:$G,7,0)</f>
        <v>79</v>
      </c>
      <c r="H155">
        <f>VLOOKUP($B155,Sheet2!$A:$G,6,0)</f>
        <v>74</v>
      </c>
    </row>
    <row r="156" spans="1:8">
      <c r="A156">
        <v>230437</v>
      </c>
      <c r="B156" t="s">
        <v>163</v>
      </c>
      <c r="C156">
        <f>VLOOKUP($B156,Sheet2!$A:$E,2,0)</f>
        <v>69</v>
      </c>
      <c r="D156">
        <f>VLOOKUP($B156,Sheet2!$A:$E,3,0)</f>
        <v>71</v>
      </c>
      <c r="E156">
        <f>VLOOKUP($B156,Sheet2!$A:$E,4,0)</f>
        <v>81</v>
      </c>
      <c r="F156">
        <f>VLOOKUP($B156,Sheet2!$A:$E,5,0)</f>
        <v>72</v>
      </c>
      <c r="G156">
        <f>VLOOKUP($B156,Sheet2!$A:$G,7,0)</f>
        <v>68</v>
      </c>
      <c r="H156">
        <f>VLOOKUP($B156,Sheet2!$A:$G,6,0)</f>
        <v>72</v>
      </c>
    </row>
    <row r="157" spans="1:8">
      <c r="A157">
        <v>230438</v>
      </c>
      <c r="B157" t="s">
        <v>164</v>
      </c>
      <c r="C157">
        <f>VLOOKUP($B157,Sheet2!$A:$E,2,0)</f>
        <v>77</v>
      </c>
      <c r="D157">
        <f>VLOOKUP($B157,Sheet2!$A:$E,3,0)</f>
        <v>79</v>
      </c>
      <c r="E157">
        <f>VLOOKUP($B157,Sheet2!$A:$E,4,0)</f>
        <v>68.5</v>
      </c>
      <c r="F157">
        <f>VLOOKUP($B157,Sheet2!$A:$E,5,0)</f>
        <v>80</v>
      </c>
      <c r="G157">
        <f>VLOOKUP($B157,Sheet2!$A:$G,7,0)</f>
        <v>68</v>
      </c>
      <c r="H157">
        <f>VLOOKUP($B157,Sheet2!$A:$G,6,0)</f>
        <v>51</v>
      </c>
    </row>
    <row r="158" spans="1:8">
      <c r="A158">
        <v>230439</v>
      </c>
      <c r="B158" t="s">
        <v>165</v>
      </c>
      <c r="C158">
        <f>VLOOKUP($B158,Sheet2!$A:$E,2,0)</f>
        <v>99</v>
      </c>
      <c r="D158">
        <f>VLOOKUP($B158,Sheet2!$A:$E,3,0)</f>
        <v>91</v>
      </c>
      <c r="E158">
        <f>VLOOKUP($B158,Sheet2!$A:$E,4,0)</f>
        <v>107</v>
      </c>
      <c r="F158">
        <f>VLOOKUP($B158,Sheet2!$A:$E,5,0)</f>
        <v>84</v>
      </c>
      <c r="G158">
        <f>VLOOKUP($B158,Sheet2!$A:$G,7,0)</f>
        <v>76</v>
      </c>
      <c r="H158">
        <f>VLOOKUP($B158,Sheet2!$A:$G,6,0)</f>
        <v>73</v>
      </c>
    </row>
    <row r="159" spans="1:8">
      <c r="A159">
        <v>230440</v>
      </c>
      <c r="B159" t="s">
        <v>166</v>
      </c>
      <c r="C159">
        <f>VLOOKUP($B159,Sheet2!$A:$E,2,0)</f>
        <v>97</v>
      </c>
      <c r="D159">
        <f>VLOOKUP($B159,Sheet2!$A:$E,3,0)</f>
        <v>68</v>
      </c>
      <c r="E159">
        <f>VLOOKUP($B159,Sheet2!$A:$E,4,0)</f>
        <v>67.5</v>
      </c>
      <c r="F159">
        <f>VLOOKUP($B159,Sheet2!$A:$E,5,0)</f>
        <v>68</v>
      </c>
      <c r="G159">
        <f>VLOOKUP($B159,Sheet2!$A:$G,7,0)</f>
        <v>74</v>
      </c>
      <c r="H159">
        <f>VLOOKUP($B159,Sheet2!$A:$G,6,0)</f>
        <v>69</v>
      </c>
    </row>
    <row r="160" spans="1:8">
      <c r="A160">
        <v>230441</v>
      </c>
      <c r="B160" t="s">
        <v>167</v>
      </c>
      <c r="C160">
        <f>VLOOKUP($B160,Sheet2!$A:$E,2,0)</f>
        <v>84</v>
      </c>
      <c r="D160">
        <f>VLOOKUP($B160,Sheet2!$A:$E,3,0)</f>
        <v>87</v>
      </c>
      <c r="E160">
        <f>VLOOKUP($B160,Sheet2!$A:$E,4,0)</f>
        <v>97</v>
      </c>
      <c r="F160">
        <f>VLOOKUP($B160,Sheet2!$A:$E,5,0)</f>
        <v>81</v>
      </c>
      <c r="G160">
        <f>VLOOKUP($B160,Sheet2!$A:$G,7,0)</f>
        <v>79</v>
      </c>
      <c r="H160">
        <f>VLOOKUP($B160,Sheet2!$A:$G,6,0)</f>
        <v>78</v>
      </c>
    </row>
    <row r="161" spans="1:8">
      <c r="A161">
        <v>230442</v>
      </c>
      <c r="B161" t="s">
        <v>168</v>
      </c>
      <c r="C161">
        <f>VLOOKUP($B161,Sheet2!$A:$E,2,0)</f>
        <v>74</v>
      </c>
      <c r="D161">
        <f>VLOOKUP($B161,Sheet2!$A:$E,3,0)</f>
        <v>38</v>
      </c>
      <c r="E161">
        <f>VLOOKUP($B161,Sheet2!$A:$E,4,0)</f>
        <v>48</v>
      </c>
      <c r="F161">
        <f>VLOOKUP($B161,Sheet2!$A:$E,5,0)</f>
        <v>44</v>
      </c>
      <c r="G161">
        <f>VLOOKUP($B161,Sheet2!$A:$G,7,0)</f>
        <v>57</v>
      </c>
      <c r="H161">
        <f>VLOOKUP($B161,Sheet2!$A:$G,6,0)</f>
        <v>62</v>
      </c>
    </row>
    <row r="162" spans="1:8">
      <c r="A162">
        <v>230443</v>
      </c>
      <c r="B162" t="s">
        <v>169</v>
      </c>
      <c r="C162">
        <f>VLOOKUP($B162,Sheet2!$A:$E,2,0)</f>
        <v>87.5</v>
      </c>
      <c r="D162">
        <f>VLOOKUP($B162,Sheet2!$A:$E,3,0)</f>
        <v>80</v>
      </c>
      <c r="E162">
        <f>VLOOKUP($B162,Sheet2!$A:$E,4,0)</f>
        <v>96</v>
      </c>
      <c r="F162">
        <f>VLOOKUP($B162,Sheet2!$A:$E,5,0)</f>
        <v>78</v>
      </c>
      <c r="G162">
        <f>VLOOKUP($B162,Sheet2!$A:$G,7,0)</f>
        <v>72</v>
      </c>
      <c r="H162">
        <f>VLOOKUP($B162,Sheet2!$A:$G,6,0)</f>
        <v>70</v>
      </c>
    </row>
    <row r="163" spans="1:8">
      <c r="A163">
        <v>230445</v>
      </c>
      <c r="B163" t="s">
        <v>170</v>
      </c>
      <c r="C163">
        <f>VLOOKUP($B163,Sheet2!$A:$E,2,0)</f>
        <v>84</v>
      </c>
      <c r="D163">
        <f>VLOOKUP($B163,Sheet2!$A:$E,3,0)</f>
        <v>73</v>
      </c>
      <c r="E163">
        <f>VLOOKUP($B163,Sheet2!$A:$E,4,0)</f>
        <v>90</v>
      </c>
      <c r="F163">
        <f>VLOOKUP($B163,Sheet2!$A:$E,5,0)</f>
        <v>72</v>
      </c>
      <c r="G163">
        <f>VLOOKUP($B163,Sheet2!$A:$G,7,0)</f>
        <v>52</v>
      </c>
      <c r="H163">
        <f>VLOOKUP($B163,Sheet2!$A:$G,6,0)</f>
        <v>60</v>
      </c>
    </row>
    <row r="164" spans="1:8">
      <c r="A164">
        <v>230446</v>
      </c>
      <c r="B164" t="s">
        <v>171</v>
      </c>
      <c r="C164">
        <f>VLOOKUP($B164,Sheet2!$A:$E,2,0)</f>
        <v>86</v>
      </c>
      <c r="D164">
        <f>VLOOKUP($B164,Sheet2!$A:$E,3,0)</f>
        <v>88</v>
      </c>
      <c r="E164">
        <f>VLOOKUP($B164,Sheet2!$A:$E,4,0)</f>
        <v>73.5</v>
      </c>
      <c r="F164">
        <f>VLOOKUP($B164,Sheet2!$A:$E,5,0)</f>
        <v>77</v>
      </c>
      <c r="G164">
        <f>VLOOKUP($B164,Sheet2!$A:$G,7,0)</f>
        <v>65</v>
      </c>
      <c r="H164">
        <f>VLOOKUP($B164,Sheet2!$A:$G,6,0)</f>
        <v>63</v>
      </c>
    </row>
    <row r="165" spans="1:8">
      <c r="A165">
        <v>230501</v>
      </c>
      <c r="B165" t="s">
        <v>172</v>
      </c>
      <c r="C165">
        <f>VLOOKUP($B165,Sheet2!$A:$E,2,0)</f>
        <v>73</v>
      </c>
      <c r="D165">
        <f>VLOOKUP($B165,Sheet2!$A:$E,3,0)</f>
        <v>83</v>
      </c>
      <c r="E165">
        <f>VLOOKUP($B165,Sheet2!$A:$E,4,0)</f>
        <v>51.5</v>
      </c>
      <c r="F165">
        <f>VLOOKUP($B165,Sheet2!$A:$E,5,0)</f>
        <v>67</v>
      </c>
      <c r="G165">
        <f>VLOOKUP($B165,Sheet2!$A:$G,7,0)</f>
        <v>60</v>
      </c>
      <c r="H165">
        <f>VLOOKUP($B165,Sheet2!$A:$G,6,0)</f>
        <v>55</v>
      </c>
    </row>
    <row r="166" spans="1:8">
      <c r="A166">
        <v>230502</v>
      </c>
      <c r="B166" t="s">
        <v>173</v>
      </c>
      <c r="C166">
        <f>VLOOKUP($B166,Sheet2!$A:$E,2,0)</f>
        <v>87</v>
      </c>
      <c r="D166">
        <f>VLOOKUP($B166,Sheet2!$A:$E,3,0)</f>
        <v>74</v>
      </c>
      <c r="E166">
        <f>VLOOKUP($B166,Sheet2!$A:$E,4,0)</f>
        <v>77.5</v>
      </c>
      <c r="F166">
        <f>VLOOKUP($B166,Sheet2!$A:$E,5,0)</f>
        <v>72</v>
      </c>
      <c r="G166">
        <f>VLOOKUP($B166,Sheet2!$A:$G,7,0)</f>
        <v>72</v>
      </c>
      <c r="H166">
        <f>VLOOKUP($B166,Sheet2!$A:$G,6,0)</f>
        <v>83</v>
      </c>
    </row>
    <row r="167" spans="1:8">
      <c r="A167">
        <v>230503</v>
      </c>
      <c r="B167" t="s">
        <v>174</v>
      </c>
      <c r="C167">
        <f>VLOOKUP($B167,Sheet2!$A:$E,2,0)</f>
        <v>83.5</v>
      </c>
      <c r="D167">
        <f>VLOOKUP($B167,Sheet2!$A:$E,3,0)</f>
        <v>82</v>
      </c>
      <c r="E167">
        <f>VLOOKUP($B167,Sheet2!$A:$E,4,0)</f>
        <v>106</v>
      </c>
      <c r="F167">
        <f>VLOOKUP($B167,Sheet2!$A:$E,5,0)</f>
        <v>81</v>
      </c>
      <c r="G167">
        <f>VLOOKUP($B167,Sheet2!$A:$G,7,0)</f>
        <v>66</v>
      </c>
      <c r="H167">
        <f>VLOOKUP($B167,Sheet2!$A:$G,6,0)</f>
        <v>66</v>
      </c>
    </row>
    <row r="168" spans="1:8">
      <c r="A168">
        <v>230504</v>
      </c>
      <c r="B168" t="s">
        <v>175</v>
      </c>
      <c r="C168">
        <f>VLOOKUP($B168,Sheet2!$A:$E,2,0)</f>
        <v>86</v>
      </c>
      <c r="D168">
        <f>VLOOKUP($B168,Sheet2!$A:$E,3,0)</f>
        <v>76</v>
      </c>
      <c r="E168">
        <f>VLOOKUP($B168,Sheet2!$A:$E,4,0)</f>
        <v>88.5</v>
      </c>
      <c r="F168">
        <f>VLOOKUP($B168,Sheet2!$A:$E,5,0)</f>
        <v>85</v>
      </c>
      <c r="G168">
        <f>VLOOKUP($B168,Sheet2!$A:$G,7,0)</f>
        <v>79</v>
      </c>
      <c r="H168">
        <f>VLOOKUP($B168,Sheet2!$A:$G,6,0)</f>
        <v>71</v>
      </c>
    </row>
    <row r="169" spans="1:8">
      <c r="A169">
        <v>230506</v>
      </c>
      <c r="B169" t="s">
        <v>176</v>
      </c>
      <c r="C169">
        <f>VLOOKUP($B169,Sheet2!$A:$E,2,0)</f>
        <v>80</v>
      </c>
      <c r="D169">
        <f>VLOOKUP($B169,Sheet2!$A:$E,3,0)</f>
        <v>83</v>
      </c>
      <c r="E169">
        <f>VLOOKUP($B169,Sheet2!$A:$E,4,0)</f>
        <v>67</v>
      </c>
      <c r="F169">
        <f>VLOOKUP($B169,Sheet2!$A:$E,5,0)</f>
        <v>75</v>
      </c>
      <c r="G169">
        <f>VLOOKUP($B169,Sheet2!$A:$G,7,0)</f>
        <v>67</v>
      </c>
      <c r="H169">
        <f>VLOOKUP($B169,Sheet2!$A:$G,6,0)</f>
        <v>72</v>
      </c>
    </row>
    <row r="170" spans="1:8">
      <c r="A170">
        <v>230507</v>
      </c>
      <c r="B170" t="s">
        <v>177</v>
      </c>
      <c r="C170">
        <f>VLOOKUP($B170,Sheet2!$A:$E,2,0)</f>
        <v>76</v>
      </c>
      <c r="D170">
        <f>VLOOKUP($B170,Sheet2!$A:$E,3,0)</f>
        <v>79</v>
      </c>
      <c r="E170">
        <f>VLOOKUP($B170,Sheet2!$A:$E,4,0)</f>
        <v>70</v>
      </c>
      <c r="F170">
        <f>VLOOKUP($B170,Sheet2!$A:$E,5,0)</f>
        <v>78</v>
      </c>
      <c r="G170">
        <f>VLOOKUP($B170,Sheet2!$A:$G,7,0)</f>
        <v>65</v>
      </c>
      <c r="H170">
        <f>VLOOKUP($B170,Sheet2!$A:$G,6,0)</f>
        <v>61</v>
      </c>
    </row>
    <row r="171" spans="1:8">
      <c r="A171">
        <v>230508</v>
      </c>
      <c r="B171" t="s">
        <v>178</v>
      </c>
      <c r="C171">
        <f>VLOOKUP($B171,Sheet2!$A:$E,2,0)</f>
        <v>75</v>
      </c>
      <c r="D171">
        <f>VLOOKUP($B171,Sheet2!$A:$E,3,0)</f>
        <v>60</v>
      </c>
      <c r="E171">
        <f>VLOOKUP($B171,Sheet2!$A:$E,4,0)</f>
        <v>84</v>
      </c>
      <c r="F171">
        <f>VLOOKUP($B171,Sheet2!$A:$E,5,0)</f>
        <v>73</v>
      </c>
      <c r="G171">
        <f>VLOOKUP($B171,Sheet2!$A:$G,7,0)</f>
        <v>72</v>
      </c>
      <c r="H171">
        <f>VLOOKUP($B171,Sheet2!$A:$G,6,0)</f>
        <v>68</v>
      </c>
    </row>
    <row r="172" spans="1:8">
      <c r="A172">
        <v>230509</v>
      </c>
      <c r="B172" t="s">
        <v>179</v>
      </c>
      <c r="C172">
        <f>VLOOKUP($B172,Sheet2!$A:$E,2,0)</f>
        <v>86</v>
      </c>
      <c r="D172">
        <f>VLOOKUP($B172,Sheet2!$A:$E,3,0)</f>
        <v>87</v>
      </c>
      <c r="E172">
        <f>VLOOKUP($B172,Sheet2!$A:$E,4,0)</f>
        <v>97.5</v>
      </c>
      <c r="F172">
        <f>VLOOKUP($B172,Sheet2!$A:$E,5,0)</f>
        <v>78</v>
      </c>
      <c r="G172">
        <f>VLOOKUP($B172,Sheet2!$A:$G,7,0)</f>
        <v>69</v>
      </c>
      <c r="H172">
        <f>VLOOKUP($B172,Sheet2!$A:$G,6,0)</f>
        <v>74</v>
      </c>
    </row>
    <row r="173" spans="1:8">
      <c r="A173">
        <v>230510</v>
      </c>
      <c r="B173" t="s">
        <v>180</v>
      </c>
      <c r="C173">
        <f>VLOOKUP($B173,Sheet2!$A:$E,2,0)</f>
        <v>81.5</v>
      </c>
      <c r="D173">
        <f>VLOOKUP($B173,Sheet2!$A:$E,3,0)</f>
        <v>88</v>
      </c>
      <c r="E173">
        <f>VLOOKUP($B173,Sheet2!$A:$E,4,0)</f>
        <v>96.5</v>
      </c>
      <c r="F173">
        <f>VLOOKUP($B173,Sheet2!$A:$E,5,0)</f>
        <v>83</v>
      </c>
      <c r="G173">
        <f>VLOOKUP($B173,Sheet2!$A:$G,7,0)</f>
        <v>65</v>
      </c>
      <c r="H173">
        <f>VLOOKUP($B173,Sheet2!$A:$G,6,0)</f>
        <v>70</v>
      </c>
    </row>
    <row r="174" spans="1:8">
      <c r="A174">
        <v>230511</v>
      </c>
      <c r="B174" t="s">
        <v>181</v>
      </c>
      <c r="C174">
        <f>VLOOKUP($B174,Sheet2!$A:$E,2,0)</f>
        <v>89</v>
      </c>
      <c r="D174">
        <f>VLOOKUP($B174,Sheet2!$A:$E,3,0)</f>
        <v>81</v>
      </c>
      <c r="E174">
        <f>VLOOKUP($B174,Sheet2!$A:$E,4,0)</f>
        <v>92.5</v>
      </c>
      <c r="F174">
        <f>VLOOKUP($B174,Sheet2!$A:$E,5,0)</f>
        <v>88</v>
      </c>
      <c r="G174">
        <f>VLOOKUP($B174,Sheet2!$A:$G,7,0)</f>
        <v>82</v>
      </c>
      <c r="H174">
        <f>VLOOKUP($B174,Sheet2!$A:$G,6,0)</f>
        <v>80</v>
      </c>
    </row>
    <row r="175" spans="1:8">
      <c r="A175">
        <v>230512</v>
      </c>
      <c r="B175" t="s">
        <v>182</v>
      </c>
      <c r="C175">
        <f>VLOOKUP($B175,Sheet2!$A:$E,2,0)</f>
        <v>72</v>
      </c>
      <c r="D175">
        <f>VLOOKUP($B175,Sheet2!$A:$E,3,0)</f>
        <v>86</v>
      </c>
      <c r="E175">
        <f>VLOOKUP($B175,Sheet2!$A:$E,4,0)</f>
        <v>68.5</v>
      </c>
      <c r="F175">
        <f>VLOOKUP($B175,Sheet2!$A:$E,5,0)</f>
        <v>76</v>
      </c>
      <c r="G175">
        <f>VLOOKUP($B175,Sheet2!$A:$G,7,0)</f>
        <v>62</v>
      </c>
      <c r="H175">
        <f>VLOOKUP($B175,Sheet2!$A:$G,6,0)</f>
        <v>72</v>
      </c>
    </row>
    <row r="176" spans="1:8">
      <c r="A176">
        <v>230513</v>
      </c>
      <c r="B176" t="s">
        <v>183</v>
      </c>
      <c r="C176">
        <f>VLOOKUP($B176,Sheet2!$A:$E,2,0)</f>
        <v>89</v>
      </c>
      <c r="D176">
        <f>VLOOKUP($B176,Sheet2!$A:$E,3,0)</f>
        <v>77</v>
      </c>
      <c r="E176">
        <f>VLOOKUP($B176,Sheet2!$A:$E,4,0)</f>
        <v>95.5</v>
      </c>
      <c r="F176">
        <f>VLOOKUP($B176,Sheet2!$A:$E,5,0)</f>
        <v>80</v>
      </c>
      <c r="G176">
        <f>VLOOKUP($B176,Sheet2!$A:$G,7,0)</f>
        <v>65</v>
      </c>
      <c r="H176">
        <f>VLOOKUP($B176,Sheet2!$A:$G,6,0)</f>
        <v>72</v>
      </c>
    </row>
    <row r="177" spans="1:8">
      <c r="A177">
        <v>230514</v>
      </c>
      <c r="B177" t="s">
        <v>184</v>
      </c>
      <c r="C177">
        <f>VLOOKUP($B177,Sheet2!$A:$E,2,0)</f>
        <v>90</v>
      </c>
      <c r="D177">
        <f>VLOOKUP($B177,Sheet2!$A:$E,3,0)</f>
        <v>54</v>
      </c>
      <c r="E177">
        <f>VLOOKUP($B177,Sheet2!$A:$E,4,0)</f>
        <v>68.5</v>
      </c>
      <c r="F177">
        <f>VLOOKUP($B177,Sheet2!$A:$E,5,0)</f>
        <v>45</v>
      </c>
      <c r="G177">
        <f>VLOOKUP($B177,Sheet2!$A:$G,7,0)</f>
        <v>58</v>
      </c>
      <c r="H177">
        <f>VLOOKUP($B177,Sheet2!$A:$G,6,0)</f>
        <v>61</v>
      </c>
    </row>
    <row r="178" spans="1:8">
      <c r="A178">
        <v>230515</v>
      </c>
      <c r="B178" t="s">
        <v>185</v>
      </c>
      <c r="C178">
        <f>VLOOKUP($B178,Sheet2!$A:$E,2,0)</f>
        <v>89</v>
      </c>
      <c r="D178">
        <f>VLOOKUP($B178,Sheet2!$A:$E,3,0)</f>
        <v>85</v>
      </c>
      <c r="E178">
        <f>VLOOKUP($B178,Sheet2!$A:$E,4,0)</f>
        <v>106.5</v>
      </c>
      <c r="F178">
        <f>VLOOKUP($B178,Sheet2!$A:$E,5,0)</f>
        <v>83</v>
      </c>
      <c r="G178">
        <f>VLOOKUP($B178,Sheet2!$A:$G,7,0)</f>
        <v>79</v>
      </c>
      <c r="H178">
        <f>VLOOKUP($B178,Sheet2!$A:$G,6,0)</f>
        <v>73</v>
      </c>
    </row>
    <row r="179" spans="1:8">
      <c r="A179">
        <v>230516</v>
      </c>
      <c r="B179" t="s">
        <v>186</v>
      </c>
      <c r="C179">
        <f>VLOOKUP($B179,Sheet2!$A:$E,2,0)</f>
        <v>69</v>
      </c>
      <c r="D179">
        <f>VLOOKUP($B179,Sheet2!$A:$E,3,0)</f>
        <v>50</v>
      </c>
      <c r="E179">
        <f>VLOOKUP($B179,Sheet2!$A:$E,4,0)</f>
        <v>80</v>
      </c>
      <c r="F179">
        <f>VLOOKUP($B179,Sheet2!$A:$E,5,0)</f>
        <v>80</v>
      </c>
      <c r="G179">
        <f>VLOOKUP($B179,Sheet2!$A:$G,7,0)</f>
        <v>61</v>
      </c>
      <c r="H179">
        <f>VLOOKUP($B179,Sheet2!$A:$G,6,0)</f>
        <v>54</v>
      </c>
    </row>
    <row r="180" spans="1:8">
      <c r="A180">
        <v>230517</v>
      </c>
      <c r="B180" t="s">
        <v>187</v>
      </c>
      <c r="C180">
        <f>VLOOKUP($B180,Sheet2!$A:$E,2,0)</f>
        <v>103</v>
      </c>
      <c r="D180">
        <f>VLOOKUP($B180,Sheet2!$A:$E,3,0)</f>
        <v>104</v>
      </c>
      <c r="E180">
        <f>VLOOKUP($B180,Sheet2!$A:$E,4,0)</f>
        <v>114</v>
      </c>
      <c r="F180">
        <f>VLOOKUP($B180,Sheet2!$A:$E,5,0)</f>
        <v>83</v>
      </c>
      <c r="G180">
        <f>VLOOKUP($B180,Sheet2!$A:$G,7,0)</f>
        <v>78</v>
      </c>
      <c r="H180">
        <f>VLOOKUP($B180,Sheet2!$A:$G,6,0)</f>
        <v>78</v>
      </c>
    </row>
    <row r="181" spans="1:8">
      <c r="A181">
        <v>230518</v>
      </c>
      <c r="B181" t="s">
        <v>188</v>
      </c>
      <c r="C181">
        <f>VLOOKUP($B181,Sheet2!$A:$E,2,0)</f>
        <v>68</v>
      </c>
      <c r="D181">
        <f>VLOOKUP($B181,Sheet2!$A:$E,3,0)</f>
        <v>22</v>
      </c>
      <c r="E181">
        <f>VLOOKUP($B181,Sheet2!$A:$E,4,0)</f>
        <v>39</v>
      </c>
      <c r="F181">
        <f>VLOOKUP($B181,Sheet2!$A:$E,5,0)</f>
        <v>34</v>
      </c>
      <c r="G181">
        <f>VLOOKUP($B181,Sheet2!$A:$G,7,0)</f>
        <v>39</v>
      </c>
      <c r="H181">
        <f>VLOOKUP($B181,Sheet2!$A:$G,6,0)</f>
        <v>70</v>
      </c>
    </row>
    <row r="182" spans="1:8">
      <c r="A182">
        <v>230519</v>
      </c>
      <c r="B182" t="s">
        <v>189</v>
      </c>
      <c r="C182">
        <f>VLOOKUP($B182,Sheet2!$A:$E,2,0)</f>
        <v>94</v>
      </c>
      <c r="D182">
        <f>VLOOKUP($B182,Sheet2!$A:$E,3,0)</f>
        <v>91</v>
      </c>
      <c r="E182">
        <f>VLOOKUP($B182,Sheet2!$A:$E,4,0)</f>
        <v>108.5</v>
      </c>
      <c r="F182">
        <f>VLOOKUP($B182,Sheet2!$A:$E,5,0)</f>
        <v>83</v>
      </c>
      <c r="G182">
        <f>VLOOKUP($B182,Sheet2!$A:$G,7,0)</f>
        <v>76</v>
      </c>
      <c r="H182">
        <f>VLOOKUP($B182,Sheet2!$A:$G,6,0)</f>
        <v>79</v>
      </c>
    </row>
    <row r="183" spans="1:8">
      <c r="A183">
        <v>230520</v>
      </c>
      <c r="B183" t="s">
        <v>190</v>
      </c>
      <c r="C183">
        <f>VLOOKUP($B183,Sheet2!$A:$E,2,0)</f>
        <v>68</v>
      </c>
      <c r="D183">
        <f>VLOOKUP($B183,Sheet2!$A:$E,3,0)</f>
        <v>88</v>
      </c>
      <c r="E183">
        <f>VLOOKUP($B183,Sheet2!$A:$E,4,0)</f>
        <v>75</v>
      </c>
      <c r="F183">
        <f>VLOOKUP($B183,Sheet2!$A:$E,5,0)</f>
        <v>70</v>
      </c>
      <c r="G183">
        <f>VLOOKUP($B183,Sheet2!$A:$G,7,0)</f>
        <v>59</v>
      </c>
      <c r="H183">
        <f>VLOOKUP($B183,Sheet2!$A:$G,6,0)</f>
        <v>52</v>
      </c>
    </row>
    <row r="184" spans="1:8">
      <c r="A184">
        <v>230521</v>
      </c>
      <c r="B184" t="s">
        <v>191</v>
      </c>
      <c r="C184">
        <f>VLOOKUP($B184,Sheet2!$A:$E,2,0)</f>
        <v>68</v>
      </c>
      <c r="D184">
        <f>VLOOKUP($B184,Sheet2!$A:$E,3,0)</f>
        <v>48</v>
      </c>
      <c r="E184">
        <f>VLOOKUP($B184,Sheet2!$A:$E,4,0)</f>
        <v>68.5</v>
      </c>
      <c r="F184">
        <f>VLOOKUP($B184,Sheet2!$A:$E,5,0)</f>
        <v>68</v>
      </c>
      <c r="G184">
        <f>VLOOKUP($B184,Sheet2!$A:$G,7,0)</f>
        <v>55</v>
      </c>
      <c r="H184">
        <f>VLOOKUP($B184,Sheet2!$A:$G,6,0)</f>
        <v>64</v>
      </c>
    </row>
    <row r="185" spans="1:8">
      <c r="A185">
        <v>230522</v>
      </c>
      <c r="B185" t="s">
        <v>192</v>
      </c>
      <c r="C185">
        <f>VLOOKUP($B185,Sheet2!$A:$E,2,0)</f>
        <v>94</v>
      </c>
      <c r="D185">
        <f>VLOOKUP($B185,Sheet2!$A:$E,3,0)</f>
        <v>91</v>
      </c>
      <c r="E185">
        <f>VLOOKUP($B185,Sheet2!$A:$E,4,0)</f>
        <v>105.5</v>
      </c>
      <c r="F185">
        <f>VLOOKUP($B185,Sheet2!$A:$E,5,0)</f>
        <v>77</v>
      </c>
      <c r="G185">
        <f>VLOOKUP($B185,Sheet2!$A:$G,7,0)</f>
        <v>77</v>
      </c>
      <c r="H185">
        <f>VLOOKUP($B185,Sheet2!$A:$G,6,0)</f>
        <v>75</v>
      </c>
    </row>
    <row r="186" spans="1:8">
      <c r="A186">
        <v>230524</v>
      </c>
      <c r="B186" t="s">
        <v>193</v>
      </c>
      <c r="C186">
        <f>VLOOKUP($B186,Sheet2!$A:$E,2,0)</f>
        <v>80</v>
      </c>
      <c r="D186">
        <f>VLOOKUP($B186,Sheet2!$A:$E,3,0)</f>
        <v>75</v>
      </c>
      <c r="E186">
        <f>VLOOKUP($B186,Sheet2!$A:$E,4,0)</f>
        <v>81</v>
      </c>
      <c r="F186">
        <f>VLOOKUP($B186,Sheet2!$A:$E,5,0)</f>
        <v>85</v>
      </c>
      <c r="G186">
        <f>VLOOKUP($B186,Sheet2!$A:$G,7,0)</f>
        <v>73</v>
      </c>
      <c r="H186">
        <f>VLOOKUP($B186,Sheet2!$A:$G,6,0)</f>
        <v>74</v>
      </c>
    </row>
    <row r="187" spans="1:8">
      <c r="A187">
        <v>230525</v>
      </c>
      <c r="B187" t="s">
        <v>194</v>
      </c>
      <c r="C187">
        <f>VLOOKUP($B187,Sheet2!$A:$E,2,0)</f>
        <v>92</v>
      </c>
      <c r="D187">
        <f>VLOOKUP($B187,Sheet2!$A:$E,3,0)</f>
        <v>79</v>
      </c>
      <c r="E187">
        <f>VLOOKUP($B187,Sheet2!$A:$E,4,0)</f>
        <v>90.5</v>
      </c>
      <c r="F187">
        <f>VLOOKUP($B187,Sheet2!$A:$E,5,0)</f>
        <v>83</v>
      </c>
      <c r="G187">
        <f>VLOOKUP($B187,Sheet2!$A:$G,7,0)</f>
        <v>70</v>
      </c>
      <c r="H187">
        <f>VLOOKUP($B187,Sheet2!$A:$G,6,0)</f>
        <v>77</v>
      </c>
    </row>
    <row r="188" spans="1:8">
      <c r="A188">
        <v>230526</v>
      </c>
      <c r="B188" t="s">
        <v>195</v>
      </c>
      <c r="C188">
        <f>VLOOKUP($B188,Sheet2!$A:$E,2,0)</f>
        <v>63</v>
      </c>
      <c r="D188">
        <f>VLOOKUP($B188,Sheet2!$A:$E,3,0)</f>
        <v>89</v>
      </c>
      <c r="E188">
        <f>VLOOKUP($B188,Sheet2!$A:$E,4,0)</f>
        <v>57</v>
      </c>
      <c r="F188">
        <f>VLOOKUP($B188,Sheet2!$A:$E,5,0)</f>
        <v>78</v>
      </c>
      <c r="G188">
        <f>VLOOKUP($B188,Sheet2!$A:$G,7,0)</f>
        <v>67</v>
      </c>
      <c r="H188">
        <f>VLOOKUP($B188,Sheet2!$A:$G,6,0)</f>
        <v>55</v>
      </c>
    </row>
    <row r="189" spans="1:8">
      <c r="A189">
        <v>230528</v>
      </c>
      <c r="B189" t="s">
        <v>196</v>
      </c>
      <c r="C189">
        <f>VLOOKUP($B189,Sheet2!$A:$E,2,0)</f>
        <v>71</v>
      </c>
      <c r="D189">
        <f>VLOOKUP($B189,Sheet2!$A:$E,3,0)</f>
        <v>67</v>
      </c>
      <c r="E189">
        <f>VLOOKUP($B189,Sheet2!$A:$E,4,0)</f>
        <v>40.5</v>
      </c>
      <c r="F189">
        <f>VLOOKUP($B189,Sheet2!$A:$E,5,0)</f>
        <v>71</v>
      </c>
      <c r="G189">
        <f>VLOOKUP($B189,Sheet2!$A:$G,7,0)</f>
        <v>75</v>
      </c>
      <c r="H189">
        <f>VLOOKUP($B189,Sheet2!$A:$G,6,0)</f>
        <v>82</v>
      </c>
    </row>
    <row r="190" spans="1:8">
      <c r="A190">
        <v>230530</v>
      </c>
      <c r="B190" t="s">
        <v>197</v>
      </c>
      <c r="C190">
        <f>VLOOKUP($B190,Sheet2!$A:$E,2,0)</f>
        <v>85</v>
      </c>
      <c r="D190">
        <f>VLOOKUP($B190,Sheet2!$A:$E,3,0)</f>
        <v>76</v>
      </c>
      <c r="E190">
        <f>VLOOKUP($B190,Sheet2!$A:$E,4,0)</f>
        <v>87</v>
      </c>
      <c r="F190">
        <f>VLOOKUP($B190,Sheet2!$A:$E,5,0)</f>
        <v>81</v>
      </c>
      <c r="G190">
        <f>VLOOKUP($B190,Sheet2!$A:$G,7,0)</f>
        <v>69</v>
      </c>
      <c r="H190">
        <f>VLOOKUP($B190,Sheet2!$A:$G,6,0)</f>
        <v>67</v>
      </c>
    </row>
    <row r="191" spans="1:8">
      <c r="A191">
        <v>230532</v>
      </c>
      <c r="B191" t="s">
        <v>198</v>
      </c>
      <c r="C191">
        <f>VLOOKUP($B191,Sheet2!$A:$E,2,0)</f>
        <v>87</v>
      </c>
      <c r="D191">
        <f>VLOOKUP($B191,Sheet2!$A:$E,3,0)</f>
        <v>74</v>
      </c>
      <c r="E191">
        <f>VLOOKUP($B191,Sheet2!$A:$E,4,0)</f>
        <v>95.5</v>
      </c>
      <c r="F191">
        <f>VLOOKUP($B191,Sheet2!$A:$E,5,0)</f>
        <v>62</v>
      </c>
      <c r="G191">
        <f>VLOOKUP($B191,Sheet2!$A:$G,7,0)</f>
        <v>69</v>
      </c>
      <c r="H191">
        <f>VLOOKUP($B191,Sheet2!$A:$G,6,0)</f>
        <v>74</v>
      </c>
    </row>
    <row r="192" spans="1:8">
      <c r="A192">
        <v>230533</v>
      </c>
      <c r="B192" t="s">
        <v>199</v>
      </c>
      <c r="C192">
        <f>VLOOKUP($B192,Sheet2!$A:$E,2,0)</f>
        <v>88</v>
      </c>
      <c r="D192">
        <f>VLOOKUP($B192,Sheet2!$A:$E,3,0)</f>
        <v>73</v>
      </c>
      <c r="E192">
        <f>VLOOKUP($B192,Sheet2!$A:$E,4,0)</f>
        <v>77.5</v>
      </c>
      <c r="F192">
        <f>VLOOKUP($B192,Sheet2!$A:$E,5,0)</f>
        <v>73</v>
      </c>
      <c r="G192">
        <f>VLOOKUP($B192,Sheet2!$A:$G,7,0)</f>
        <v>61</v>
      </c>
      <c r="H192">
        <f>VLOOKUP($B192,Sheet2!$A:$G,6,0)</f>
        <v>69</v>
      </c>
    </row>
    <row r="193" spans="1:8">
      <c r="A193">
        <v>230534</v>
      </c>
      <c r="B193" t="s">
        <v>200</v>
      </c>
      <c r="C193">
        <f>VLOOKUP($B193,Sheet2!$A:$E,2,0)</f>
        <v>82</v>
      </c>
      <c r="D193">
        <f>VLOOKUP($B193,Sheet2!$A:$E,3,0)</f>
        <v>81</v>
      </c>
      <c r="E193">
        <f>VLOOKUP($B193,Sheet2!$A:$E,4,0)</f>
        <v>62.5</v>
      </c>
      <c r="F193">
        <f>VLOOKUP($B193,Sheet2!$A:$E,5,0)</f>
        <v>78</v>
      </c>
      <c r="G193">
        <f>VLOOKUP($B193,Sheet2!$A:$G,7,0)</f>
        <v>62</v>
      </c>
      <c r="H193">
        <f>VLOOKUP($B193,Sheet2!$A:$G,6,0)</f>
        <v>70</v>
      </c>
    </row>
    <row r="194" spans="1:8">
      <c r="A194">
        <v>230535</v>
      </c>
      <c r="B194" t="s">
        <v>201</v>
      </c>
      <c r="C194" t="str">
        <f>VLOOKUP($B194,Sheet2!$A:$E,2,0)</f>
        <v>未扫，不计排名</v>
      </c>
      <c r="D194" t="str">
        <f>VLOOKUP($B194,Sheet2!$A:$E,3,0)</f>
        <v>未扫，不计排名</v>
      </c>
      <c r="E194" t="str">
        <f>VLOOKUP($B194,Sheet2!$A:$E,4,0)</f>
        <v>未扫，不计排名</v>
      </c>
      <c r="F194" t="str">
        <f>VLOOKUP($B194,Sheet2!$A:$E,5,0)</f>
        <v>未扫，不计排名</v>
      </c>
      <c r="G194" t="str">
        <f>VLOOKUP($B194,Sheet2!$A:$G,7,0)</f>
        <v>未扫，不计排名</v>
      </c>
      <c r="H194" t="str">
        <f>VLOOKUP($B194,Sheet2!$A:$G,6,0)</f>
        <v>未扫，不计排名</v>
      </c>
    </row>
    <row r="195" spans="1:8">
      <c r="A195">
        <v>230536</v>
      </c>
      <c r="B195" t="s">
        <v>202</v>
      </c>
      <c r="C195">
        <f>VLOOKUP($B195,Sheet2!$A:$E,2,0)</f>
        <v>78</v>
      </c>
      <c r="D195">
        <f>VLOOKUP($B195,Sheet2!$A:$E,3,0)</f>
        <v>74</v>
      </c>
      <c r="E195">
        <f>VLOOKUP($B195,Sheet2!$A:$E,4,0)</f>
        <v>47</v>
      </c>
      <c r="F195">
        <f>VLOOKUP($B195,Sheet2!$A:$E,5,0)</f>
        <v>43</v>
      </c>
      <c r="G195">
        <f>VLOOKUP($B195,Sheet2!$A:$G,7,0)</f>
        <v>71</v>
      </c>
      <c r="H195">
        <f>VLOOKUP($B195,Sheet2!$A:$G,6,0)</f>
        <v>78</v>
      </c>
    </row>
    <row r="196" spans="1:8">
      <c r="A196">
        <v>230537</v>
      </c>
      <c r="B196" t="s">
        <v>203</v>
      </c>
      <c r="C196">
        <f>VLOOKUP($B196,Sheet2!$A:$E,2,0)</f>
        <v>94</v>
      </c>
      <c r="D196">
        <f>VLOOKUP($B196,Sheet2!$A:$E,3,0)</f>
        <v>72</v>
      </c>
      <c r="E196">
        <f>VLOOKUP($B196,Sheet2!$A:$E,4,0)</f>
        <v>101.5</v>
      </c>
      <c r="F196">
        <f>VLOOKUP($B196,Sheet2!$A:$E,5,0)</f>
        <v>64</v>
      </c>
      <c r="G196">
        <f>VLOOKUP($B196,Sheet2!$A:$G,7,0)</f>
        <v>69</v>
      </c>
      <c r="H196">
        <f>VLOOKUP($B196,Sheet2!$A:$G,6,0)</f>
        <v>68</v>
      </c>
    </row>
    <row r="197" spans="1:8">
      <c r="A197">
        <v>230538</v>
      </c>
      <c r="B197" t="s">
        <v>204</v>
      </c>
      <c r="C197">
        <f>VLOOKUP($B197,Sheet2!$A:$E,2,0)</f>
        <v>90</v>
      </c>
      <c r="D197">
        <f>VLOOKUP($B197,Sheet2!$A:$E,3,0)</f>
        <v>64</v>
      </c>
      <c r="E197">
        <f>VLOOKUP($B197,Sheet2!$A:$E,4,0)</f>
        <v>54.5</v>
      </c>
      <c r="F197">
        <f>VLOOKUP($B197,Sheet2!$A:$E,5,0)</f>
        <v>57</v>
      </c>
      <c r="G197">
        <f>VLOOKUP($B197,Sheet2!$A:$G,7,0)</f>
        <v>70</v>
      </c>
      <c r="H197">
        <f>VLOOKUP($B197,Sheet2!$A:$G,6,0)</f>
        <v>71</v>
      </c>
    </row>
    <row r="198" spans="1:8">
      <c r="A198">
        <v>230539</v>
      </c>
      <c r="B198" t="s">
        <v>205</v>
      </c>
      <c r="C198">
        <f>VLOOKUP($B198,Sheet2!$A:$E,2,0)</f>
        <v>80</v>
      </c>
      <c r="D198">
        <f>VLOOKUP($B198,Sheet2!$A:$E,3,0)</f>
        <v>68</v>
      </c>
      <c r="E198">
        <f>VLOOKUP($B198,Sheet2!$A:$E,4,0)</f>
        <v>72.5</v>
      </c>
      <c r="F198">
        <f>VLOOKUP($B198,Sheet2!$A:$E,5,0)</f>
        <v>75</v>
      </c>
      <c r="G198">
        <f>VLOOKUP($B198,Sheet2!$A:$G,7,0)</f>
        <v>64</v>
      </c>
      <c r="H198">
        <f>VLOOKUP($B198,Sheet2!$A:$G,6,0)</f>
        <v>54</v>
      </c>
    </row>
    <row r="199" spans="1:8">
      <c r="A199">
        <v>230540</v>
      </c>
      <c r="B199" t="s">
        <v>206</v>
      </c>
      <c r="C199">
        <f>VLOOKUP($B199,Sheet2!$A:$E,2,0)</f>
        <v>94</v>
      </c>
      <c r="D199">
        <f>VLOOKUP($B199,Sheet2!$A:$E,3,0)</f>
        <v>93</v>
      </c>
      <c r="E199">
        <f>VLOOKUP($B199,Sheet2!$A:$E,4,0)</f>
        <v>106.5</v>
      </c>
      <c r="F199">
        <f>VLOOKUP($B199,Sheet2!$A:$E,5,0)</f>
        <v>80</v>
      </c>
      <c r="G199">
        <f>VLOOKUP($B199,Sheet2!$A:$G,7,0)</f>
        <v>73</v>
      </c>
      <c r="H199">
        <f>VLOOKUP($B199,Sheet2!$A:$G,6,0)</f>
        <v>72</v>
      </c>
    </row>
    <row r="200" spans="1:8">
      <c r="A200">
        <v>230541</v>
      </c>
      <c r="B200" t="s">
        <v>207</v>
      </c>
      <c r="C200" t="str">
        <f>VLOOKUP($B200,Sheet2!$A:$E,2,0)</f>
        <v>未扫，不计排名</v>
      </c>
      <c r="D200" t="str">
        <f>VLOOKUP($B200,Sheet2!$A:$E,3,0)</f>
        <v>未扫，不计排名</v>
      </c>
      <c r="E200" t="str">
        <f>VLOOKUP($B200,Sheet2!$A:$E,4,0)</f>
        <v>未扫，不计排名</v>
      </c>
      <c r="F200" t="str">
        <f>VLOOKUP($B200,Sheet2!$A:$E,5,0)</f>
        <v>未扫，不计排名</v>
      </c>
      <c r="G200" t="str">
        <f>VLOOKUP($B200,Sheet2!$A:$G,7,0)</f>
        <v>未扫，不计排名</v>
      </c>
      <c r="H200" t="str">
        <f>VLOOKUP($B200,Sheet2!$A:$G,6,0)</f>
        <v>未扫，不计排名</v>
      </c>
    </row>
    <row r="201" spans="1:8">
      <c r="A201">
        <v>230542</v>
      </c>
      <c r="B201" t="s">
        <v>208</v>
      </c>
      <c r="C201">
        <f>VLOOKUP($B201,Sheet2!$A:$E,2,0)</f>
        <v>79</v>
      </c>
      <c r="D201">
        <f>VLOOKUP($B201,Sheet2!$A:$E,3,0)</f>
        <v>80</v>
      </c>
      <c r="E201">
        <f>VLOOKUP($B201,Sheet2!$A:$E,4,0)</f>
        <v>79</v>
      </c>
      <c r="F201">
        <f>VLOOKUP($B201,Sheet2!$A:$E,5,0)</f>
        <v>87</v>
      </c>
      <c r="G201">
        <f>VLOOKUP($B201,Sheet2!$A:$G,7,0)</f>
        <v>58</v>
      </c>
      <c r="H201">
        <f>VLOOKUP($B201,Sheet2!$A:$G,6,0)</f>
        <v>60</v>
      </c>
    </row>
    <row r="202" spans="1:8">
      <c r="A202">
        <v>230543</v>
      </c>
      <c r="B202" t="s">
        <v>209</v>
      </c>
      <c r="C202">
        <f>VLOOKUP($B202,Sheet2!$A:$E,2,0)</f>
        <v>90</v>
      </c>
      <c r="D202">
        <f>VLOOKUP($B202,Sheet2!$A:$E,3,0)</f>
        <v>80</v>
      </c>
      <c r="E202">
        <f>VLOOKUP($B202,Sheet2!$A:$E,4,0)</f>
        <v>92.5</v>
      </c>
      <c r="F202">
        <f>VLOOKUP($B202,Sheet2!$A:$E,5,0)</f>
        <v>62</v>
      </c>
      <c r="G202">
        <f>VLOOKUP($B202,Sheet2!$A:$G,7,0)</f>
        <v>72</v>
      </c>
      <c r="H202">
        <f>VLOOKUP($B202,Sheet2!$A:$G,6,0)</f>
        <v>75</v>
      </c>
    </row>
    <row r="203" spans="1:8">
      <c r="A203">
        <v>230544</v>
      </c>
      <c r="B203" t="s">
        <v>210</v>
      </c>
      <c r="C203">
        <f>VLOOKUP($B203,Sheet2!$A:$E,2,0)</f>
        <v>90</v>
      </c>
      <c r="D203">
        <f>VLOOKUP($B203,Sheet2!$A:$E,3,0)</f>
        <v>77</v>
      </c>
      <c r="E203">
        <f>VLOOKUP($B203,Sheet2!$A:$E,4,0)</f>
        <v>93</v>
      </c>
      <c r="F203">
        <f>VLOOKUP($B203,Sheet2!$A:$E,5,0)</f>
        <v>64</v>
      </c>
      <c r="G203">
        <f>VLOOKUP($B203,Sheet2!$A:$G,7,0)</f>
        <v>63</v>
      </c>
      <c r="H203">
        <f>VLOOKUP($B203,Sheet2!$A:$G,6,0)</f>
        <v>79</v>
      </c>
    </row>
    <row r="204" spans="1:8">
      <c r="A204">
        <v>230601</v>
      </c>
      <c r="B204" t="s">
        <v>211</v>
      </c>
      <c r="C204">
        <f>VLOOKUP($B204,Sheet2!$A:$E,2,0)</f>
        <v>97</v>
      </c>
      <c r="D204">
        <f>VLOOKUP($B204,Sheet2!$A:$E,3,0)</f>
        <v>96</v>
      </c>
      <c r="E204">
        <f>VLOOKUP($B204,Sheet2!$A:$E,4,0)</f>
        <v>104.5</v>
      </c>
      <c r="F204">
        <f>VLOOKUP($B204,Sheet2!$A:$E,5,0)</f>
        <v>87</v>
      </c>
      <c r="G204">
        <f>VLOOKUP($B204,Sheet2!$A:$G,7,0)</f>
        <v>77</v>
      </c>
      <c r="H204">
        <f>VLOOKUP($B204,Sheet2!$A:$G,6,0)</f>
        <v>81</v>
      </c>
    </row>
    <row r="205" spans="1:8">
      <c r="A205">
        <v>230602</v>
      </c>
      <c r="B205" t="s">
        <v>212</v>
      </c>
      <c r="C205">
        <f>VLOOKUP($B205,Sheet2!$A:$E,2,0)</f>
        <v>91</v>
      </c>
      <c r="D205">
        <f>VLOOKUP($B205,Sheet2!$A:$E,3,0)</f>
        <v>92</v>
      </c>
      <c r="E205">
        <f>VLOOKUP($B205,Sheet2!$A:$E,4,0)</f>
        <v>82</v>
      </c>
      <c r="F205">
        <f>VLOOKUP($B205,Sheet2!$A:$E,5,0)</f>
        <v>86</v>
      </c>
      <c r="G205">
        <f>VLOOKUP($B205,Sheet2!$A:$G,7,0)</f>
        <v>77</v>
      </c>
      <c r="H205">
        <f>VLOOKUP($B205,Sheet2!$A:$G,6,0)</f>
        <v>69</v>
      </c>
    </row>
    <row r="206" spans="1:8">
      <c r="A206">
        <v>230603</v>
      </c>
      <c r="B206" t="s">
        <v>213</v>
      </c>
      <c r="C206">
        <f>VLOOKUP($B206,Sheet2!$A:$E,2,0)</f>
        <v>86</v>
      </c>
      <c r="D206">
        <f>VLOOKUP($B206,Sheet2!$A:$E,3,0)</f>
        <v>81</v>
      </c>
      <c r="E206">
        <f>VLOOKUP($B206,Sheet2!$A:$E,4,0)</f>
        <v>49</v>
      </c>
      <c r="F206">
        <f>VLOOKUP($B206,Sheet2!$A:$E,5,0)</f>
        <v>78</v>
      </c>
      <c r="G206">
        <f>VLOOKUP($B206,Sheet2!$A:$G,7,0)</f>
        <v>62</v>
      </c>
      <c r="H206">
        <f>VLOOKUP($B206,Sheet2!$A:$G,6,0)</f>
        <v>71</v>
      </c>
    </row>
    <row r="207" spans="1:8">
      <c r="A207">
        <v>230604</v>
      </c>
      <c r="B207" t="s">
        <v>214</v>
      </c>
      <c r="C207">
        <f>VLOOKUP($B207,Sheet2!$A:$E,2,0)</f>
        <v>81</v>
      </c>
      <c r="D207">
        <f>VLOOKUP($B207,Sheet2!$A:$E,3,0)</f>
        <v>51</v>
      </c>
      <c r="E207">
        <f>VLOOKUP($B207,Sheet2!$A:$E,4,0)</f>
        <v>77.5</v>
      </c>
      <c r="F207">
        <f>VLOOKUP($B207,Sheet2!$A:$E,5,0)</f>
        <v>41</v>
      </c>
      <c r="G207">
        <f>VLOOKUP($B207,Sheet2!$A:$G,7,0)</f>
        <v>58</v>
      </c>
      <c r="H207">
        <f>VLOOKUP($B207,Sheet2!$A:$G,6,0)</f>
        <v>53</v>
      </c>
    </row>
    <row r="208" spans="1:8">
      <c r="A208">
        <v>230605</v>
      </c>
      <c r="B208" t="s">
        <v>215</v>
      </c>
      <c r="C208">
        <f>VLOOKUP($B208,Sheet2!$A:$E,2,0)</f>
        <v>85</v>
      </c>
      <c r="D208">
        <f>VLOOKUP($B208,Sheet2!$A:$E,3,0)</f>
        <v>97</v>
      </c>
      <c r="E208">
        <f>VLOOKUP($B208,Sheet2!$A:$E,4,0)</f>
        <v>109</v>
      </c>
      <c r="F208">
        <f>VLOOKUP($B208,Sheet2!$A:$E,5,0)</f>
        <v>81</v>
      </c>
      <c r="G208">
        <f>VLOOKUP($B208,Sheet2!$A:$G,7,0)</f>
        <v>77</v>
      </c>
      <c r="H208">
        <f>VLOOKUP($B208,Sheet2!$A:$G,6,0)</f>
        <v>69</v>
      </c>
    </row>
    <row r="209" spans="1:8">
      <c r="A209">
        <v>230606</v>
      </c>
      <c r="B209" t="s">
        <v>216</v>
      </c>
      <c r="C209">
        <f>VLOOKUP($B209,Sheet2!$A:$E,2,0)</f>
        <v>88</v>
      </c>
      <c r="D209">
        <f>VLOOKUP($B209,Sheet2!$A:$E,3,0)</f>
        <v>90</v>
      </c>
      <c r="E209">
        <f>VLOOKUP($B209,Sheet2!$A:$E,4,0)</f>
        <v>101.5</v>
      </c>
      <c r="F209">
        <f>VLOOKUP($B209,Sheet2!$A:$E,5,0)</f>
        <v>86</v>
      </c>
      <c r="G209">
        <f>VLOOKUP($B209,Sheet2!$A:$G,7,0)</f>
        <v>74</v>
      </c>
      <c r="H209">
        <f>VLOOKUP($B209,Sheet2!$A:$G,6,0)</f>
        <v>77</v>
      </c>
    </row>
    <row r="210" spans="1:8">
      <c r="A210">
        <v>230607</v>
      </c>
      <c r="B210" t="s">
        <v>217</v>
      </c>
      <c r="C210">
        <f>VLOOKUP($B210,Sheet2!$A:$E,2,0)</f>
        <v>79</v>
      </c>
      <c r="D210">
        <f>VLOOKUP($B210,Sheet2!$A:$E,3,0)</f>
        <v>92</v>
      </c>
      <c r="E210">
        <f>VLOOKUP($B210,Sheet2!$A:$E,4,0)</f>
        <v>85.5</v>
      </c>
      <c r="F210">
        <f>VLOOKUP($B210,Sheet2!$A:$E,5,0)</f>
        <v>84</v>
      </c>
      <c r="G210">
        <f>VLOOKUP($B210,Sheet2!$A:$G,7,0)</f>
        <v>72</v>
      </c>
      <c r="H210">
        <f>VLOOKUP($B210,Sheet2!$A:$G,6,0)</f>
        <v>72</v>
      </c>
    </row>
    <row r="211" spans="1:8">
      <c r="A211">
        <v>230608</v>
      </c>
      <c r="B211" t="s">
        <v>218</v>
      </c>
      <c r="C211">
        <f>VLOOKUP($B211,Sheet2!$A:$E,2,0)</f>
        <v>94.5</v>
      </c>
      <c r="D211">
        <f>VLOOKUP($B211,Sheet2!$A:$E,3,0)</f>
        <v>95</v>
      </c>
      <c r="E211">
        <f>VLOOKUP($B211,Sheet2!$A:$E,4,0)</f>
        <v>107.5</v>
      </c>
      <c r="F211">
        <f>VLOOKUP($B211,Sheet2!$A:$E,5,0)</f>
        <v>84</v>
      </c>
      <c r="G211">
        <f>VLOOKUP($B211,Sheet2!$A:$G,7,0)</f>
        <v>79</v>
      </c>
      <c r="H211">
        <f>VLOOKUP($B211,Sheet2!$A:$G,6,0)</f>
        <v>79</v>
      </c>
    </row>
    <row r="212" spans="1:8">
      <c r="A212">
        <v>230609</v>
      </c>
      <c r="B212" t="s">
        <v>219</v>
      </c>
      <c r="C212">
        <f>VLOOKUP($B212,Sheet2!$A:$E,2,0)</f>
        <v>80</v>
      </c>
      <c r="D212">
        <f>VLOOKUP($B212,Sheet2!$A:$E,3,0)</f>
        <v>88</v>
      </c>
      <c r="E212">
        <f>VLOOKUP($B212,Sheet2!$A:$E,4,0)</f>
        <v>85</v>
      </c>
      <c r="F212">
        <f>VLOOKUP($B212,Sheet2!$A:$E,5,0)</f>
        <v>84</v>
      </c>
      <c r="G212">
        <f>VLOOKUP($B212,Sheet2!$A:$G,7,0)</f>
        <v>66</v>
      </c>
      <c r="H212">
        <f>VLOOKUP($B212,Sheet2!$A:$G,6,0)</f>
        <v>64</v>
      </c>
    </row>
    <row r="213" spans="1:8">
      <c r="A213">
        <v>230611</v>
      </c>
      <c r="B213" t="s">
        <v>220</v>
      </c>
      <c r="C213">
        <f>VLOOKUP($B213,Sheet2!$A:$E,2,0)</f>
        <v>97</v>
      </c>
      <c r="D213">
        <f>VLOOKUP($B213,Sheet2!$A:$E,3,0)</f>
        <v>92</v>
      </c>
      <c r="E213">
        <f>VLOOKUP($B213,Sheet2!$A:$E,4,0)</f>
        <v>101.5</v>
      </c>
      <c r="F213">
        <f>VLOOKUP($B213,Sheet2!$A:$E,5,0)</f>
        <v>84</v>
      </c>
      <c r="G213">
        <f>VLOOKUP($B213,Sheet2!$A:$G,7,0)</f>
        <v>81</v>
      </c>
      <c r="H213">
        <f>VLOOKUP($B213,Sheet2!$A:$G,6,0)</f>
        <v>80</v>
      </c>
    </row>
    <row r="214" spans="1:8">
      <c r="A214">
        <v>230612</v>
      </c>
      <c r="B214" t="s">
        <v>221</v>
      </c>
      <c r="C214">
        <f>VLOOKUP($B214,Sheet2!$A:$E,2,0)</f>
        <v>87</v>
      </c>
      <c r="D214">
        <f>VLOOKUP($B214,Sheet2!$A:$E,3,0)</f>
        <v>103</v>
      </c>
      <c r="E214">
        <f>VLOOKUP($B214,Sheet2!$A:$E,4,0)</f>
        <v>90</v>
      </c>
      <c r="F214">
        <f>VLOOKUP($B214,Sheet2!$A:$E,5,0)</f>
        <v>90</v>
      </c>
      <c r="G214">
        <f>VLOOKUP($B214,Sheet2!$A:$G,7,0)</f>
        <v>71</v>
      </c>
      <c r="H214">
        <f>VLOOKUP($B214,Sheet2!$A:$G,6,0)</f>
        <v>83</v>
      </c>
    </row>
    <row r="215" spans="1:8">
      <c r="A215">
        <v>230613</v>
      </c>
      <c r="B215" t="s">
        <v>222</v>
      </c>
      <c r="C215">
        <f>VLOOKUP($B215,Sheet2!$A:$E,2,0)</f>
        <v>95</v>
      </c>
      <c r="D215">
        <f>VLOOKUP($B215,Sheet2!$A:$E,3,0)</f>
        <v>112</v>
      </c>
      <c r="E215">
        <f>VLOOKUP($B215,Sheet2!$A:$E,4,0)</f>
        <v>115</v>
      </c>
      <c r="F215">
        <f>VLOOKUP($B215,Sheet2!$A:$E,5,0)</f>
        <v>83</v>
      </c>
      <c r="G215">
        <f>VLOOKUP($B215,Sheet2!$A:$G,7,0)</f>
        <v>77</v>
      </c>
      <c r="H215">
        <f>VLOOKUP($B215,Sheet2!$A:$G,6,0)</f>
        <v>81</v>
      </c>
    </row>
    <row r="216" spans="1:8">
      <c r="A216">
        <v>230614</v>
      </c>
      <c r="B216" t="s">
        <v>223</v>
      </c>
      <c r="C216">
        <f>VLOOKUP($B216,Sheet2!$A:$E,2,0)</f>
        <v>98</v>
      </c>
      <c r="D216">
        <f>VLOOKUP($B216,Sheet2!$A:$E,3,0)</f>
        <v>101</v>
      </c>
      <c r="E216">
        <f>VLOOKUP($B216,Sheet2!$A:$E,4,0)</f>
        <v>114</v>
      </c>
      <c r="F216">
        <f>VLOOKUP($B216,Sheet2!$A:$E,5,0)</f>
        <v>90</v>
      </c>
      <c r="G216">
        <f>VLOOKUP($B216,Sheet2!$A:$G,7,0)</f>
        <v>79</v>
      </c>
      <c r="H216">
        <f>VLOOKUP($B216,Sheet2!$A:$G,6,0)</f>
        <v>80</v>
      </c>
    </row>
    <row r="217" spans="1:8">
      <c r="A217">
        <v>230615</v>
      </c>
      <c r="B217" t="s">
        <v>224</v>
      </c>
      <c r="C217">
        <f>VLOOKUP($B217,Sheet2!$A:$E,2,0)</f>
        <v>68</v>
      </c>
      <c r="D217">
        <f>VLOOKUP($B217,Sheet2!$A:$E,3,0)</f>
        <v>77</v>
      </c>
      <c r="E217" t="str">
        <f>VLOOKUP($B217,Sheet2!$A:$E,4,0)</f>
        <v>未扫，不计排名</v>
      </c>
      <c r="F217" t="str">
        <f>VLOOKUP($B217,Sheet2!$A:$E,5,0)</f>
        <v>未扫，不计排名</v>
      </c>
      <c r="G217">
        <f>VLOOKUP($B217,Sheet2!$A:$G,7,0)</f>
        <v>69</v>
      </c>
      <c r="H217" t="str">
        <f>VLOOKUP($B217,Sheet2!$A:$G,6,0)</f>
        <v>未扫，不计排名</v>
      </c>
    </row>
    <row r="218" spans="1:8">
      <c r="A218">
        <v>230616</v>
      </c>
      <c r="B218" t="s">
        <v>225</v>
      </c>
      <c r="C218">
        <f>VLOOKUP($B218,Sheet2!$A:$E,2,0)</f>
        <v>83.5</v>
      </c>
      <c r="D218">
        <f>VLOOKUP($B218,Sheet2!$A:$E,3,0)</f>
        <v>91</v>
      </c>
      <c r="E218">
        <f>VLOOKUP($B218,Sheet2!$A:$E,4,0)</f>
        <v>87</v>
      </c>
      <c r="F218">
        <f>VLOOKUP($B218,Sheet2!$A:$E,5,0)</f>
        <v>87</v>
      </c>
      <c r="G218">
        <f>VLOOKUP($B218,Sheet2!$A:$G,7,0)</f>
        <v>77</v>
      </c>
      <c r="H218">
        <f>VLOOKUP($B218,Sheet2!$A:$G,6,0)</f>
        <v>78</v>
      </c>
    </row>
    <row r="219" spans="1:8">
      <c r="A219">
        <v>230617</v>
      </c>
      <c r="B219" t="s">
        <v>226</v>
      </c>
      <c r="C219">
        <f>VLOOKUP($B219,Sheet2!$A:$E,2,0)</f>
        <v>88</v>
      </c>
      <c r="D219">
        <f>VLOOKUP($B219,Sheet2!$A:$E,3,0)</f>
        <v>98</v>
      </c>
      <c r="E219">
        <f>VLOOKUP($B219,Sheet2!$A:$E,4,0)</f>
        <v>68</v>
      </c>
      <c r="F219">
        <f>VLOOKUP($B219,Sheet2!$A:$E,5,0)</f>
        <v>88</v>
      </c>
      <c r="G219">
        <f>VLOOKUP($B219,Sheet2!$A:$G,7,0)</f>
        <v>68</v>
      </c>
      <c r="H219">
        <f>VLOOKUP($B219,Sheet2!$A:$G,6,0)</f>
        <v>68</v>
      </c>
    </row>
    <row r="220" spans="1:8">
      <c r="A220">
        <v>230618</v>
      </c>
      <c r="B220" t="s">
        <v>227</v>
      </c>
      <c r="C220">
        <f>VLOOKUP($B220,Sheet2!$A:$E,2,0)</f>
        <v>87</v>
      </c>
      <c r="D220">
        <f>VLOOKUP($B220,Sheet2!$A:$E,3,0)</f>
        <v>70</v>
      </c>
      <c r="E220">
        <f>VLOOKUP($B220,Sheet2!$A:$E,4,0)</f>
        <v>47</v>
      </c>
      <c r="F220">
        <f>VLOOKUP($B220,Sheet2!$A:$E,5,0)</f>
        <v>61</v>
      </c>
      <c r="G220">
        <f>VLOOKUP($B220,Sheet2!$A:$G,7,0)</f>
        <v>68</v>
      </c>
      <c r="H220">
        <f>VLOOKUP($B220,Sheet2!$A:$G,6,0)</f>
        <v>67</v>
      </c>
    </row>
    <row r="221" spans="1:8">
      <c r="A221">
        <v>230619</v>
      </c>
      <c r="B221" t="s">
        <v>228</v>
      </c>
      <c r="C221">
        <f>VLOOKUP($B221,Sheet2!$A:$E,2,0)</f>
        <v>97</v>
      </c>
      <c r="D221">
        <f>VLOOKUP($B221,Sheet2!$A:$E,3,0)</f>
        <v>87</v>
      </c>
      <c r="E221">
        <f>VLOOKUP($B221,Sheet2!$A:$E,4,0)</f>
        <v>104.5</v>
      </c>
      <c r="F221">
        <f>VLOOKUP($B221,Sheet2!$A:$E,5,0)</f>
        <v>84</v>
      </c>
      <c r="G221">
        <f>VLOOKUP($B221,Sheet2!$A:$G,7,0)</f>
        <v>81</v>
      </c>
      <c r="H221">
        <f>VLOOKUP($B221,Sheet2!$A:$G,6,0)</f>
        <v>70</v>
      </c>
    </row>
    <row r="222" spans="1:8">
      <c r="A222">
        <v>230620</v>
      </c>
      <c r="B222" t="s">
        <v>229</v>
      </c>
      <c r="C222">
        <f>VLOOKUP($B222,Sheet2!$A:$E,2,0)</f>
        <v>74</v>
      </c>
      <c r="D222">
        <f>VLOOKUP($B222,Sheet2!$A:$E,3,0)</f>
        <v>85</v>
      </c>
      <c r="E222">
        <f>VLOOKUP($B222,Sheet2!$A:$E,4,0)</f>
        <v>71</v>
      </c>
      <c r="F222">
        <f>VLOOKUP($B222,Sheet2!$A:$E,5,0)</f>
        <v>87</v>
      </c>
      <c r="G222">
        <f>VLOOKUP($B222,Sheet2!$A:$G,7,0)</f>
        <v>71</v>
      </c>
      <c r="H222">
        <f>VLOOKUP($B222,Sheet2!$A:$G,6,0)</f>
        <v>74</v>
      </c>
    </row>
    <row r="223" spans="1:8">
      <c r="A223">
        <v>230621</v>
      </c>
      <c r="B223" t="s">
        <v>230</v>
      </c>
      <c r="C223">
        <f>VLOOKUP($B223,Sheet2!$A:$E,2,0)</f>
        <v>92</v>
      </c>
      <c r="D223">
        <f>VLOOKUP($B223,Sheet2!$A:$E,3,0)</f>
        <v>92</v>
      </c>
      <c r="E223">
        <f>VLOOKUP($B223,Sheet2!$A:$E,4,0)</f>
        <v>106.5</v>
      </c>
      <c r="F223">
        <f>VLOOKUP($B223,Sheet2!$A:$E,5,0)</f>
        <v>86</v>
      </c>
      <c r="G223">
        <f>VLOOKUP($B223,Sheet2!$A:$G,7,0)</f>
        <v>76</v>
      </c>
      <c r="H223">
        <f>VLOOKUP($B223,Sheet2!$A:$G,6,0)</f>
        <v>85</v>
      </c>
    </row>
    <row r="224" spans="1:8">
      <c r="A224">
        <v>230622</v>
      </c>
      <c r="B224" t="s">
        <v>231</v>
      </c>
      <c r="C224">
        <f>VLOOKUP($B224,Sheet2!$A:$E,2,0)</f>
        <v>97</v>
      </c>
      <c r="D224">
        <f>VLOOKUP($B224,Sheet2!$A:$E,3,0)</f>
        <v>91</v>
      </c>
      <c r="E224">
        <f>VLOOKUP($B224,Sheet2!$A:$E,4,0)</f>
        <v>92.5</v>
      </c>
      <c r="F224">
        <f>VLOOKUP($B224,Sheet2!$A:$E,5,0)</f>
        <v>85</v>
      </c>
      <c r="G224">
        <f>VLOOKUP($B224,Sheet2!$A:$G,7,0)</f>
        <v>73</v>
      </c>
      <c r="H224">
        <f>VLOOKUP($B224,Sheet2!$A:$G,6,0)</f>
        <v>80</v>
      </c>
    </row>
    <row r="225" spans="1:8">
      <c r="A225">
        <v>230623</v>
      </c>
      <c r="B225" t="s">
        <v>232</v>
      </c>
      <c r="C225">
        <f>VLOOKUP($B225,Sheet2!$A:$E,2,0)</f>
        <v>93</v>
      </c>
      <c r="D225">
        <f>VLOOKUP($B225,Sheet2!$A:$E,3,0)</f>
        <v>86</v>
      </c>
      <c r="E225">
        <f>VLOOKUP($B225,Sheet2!$A:$E,4,0)</f>
        <v>88.5</v>
      </c>
      <c r="F225">
        <f>VLOOKUP($B225,Sheet2!$A:$E,5,0)</f>
        <v>90</v>
      </c>
      <c r="G225">
        <f>VLOOKUP($B225,Sheet2!$A:$G,7,0)</f>
        <v>74</v>
      </c>
      <c r="H225">
        <f>VLOOKUP($B225,Sheet2!$A:$G,6,0)</f>
        <v>69</v>
      </c>
    </row>
    <row r="226" spans="1:8">
      <c r="A226">
        <v>230624</v>
      </c>
      <c r="B226" t="s">
        <v>233</v>
      </c>
      <c r="C226">
        <f>VLOOKUP($B226,Sheet2!$A:$E,2,0)</f>
        <v>83.5</v>
      </c>
      <c r="D226">
        <f>VLOOKUP($B226,Sheet2!$A:$E,3,0)</f>
        <v>94</v>
      </c>
      <c r="E226">
        <f>VLOOKUP($B226,Sheet2!$A:$E,4,0)</f>
        <v>63.5</v>
      </c>
      <c r="F226">
        <f>VLOOKUP($B226,Sheet2!$A:$E,5,0)</f>
        <v>85</v>
      </c>
      <c r="G226">
        <f>VLOOKUP($B226,Sheet2!$A:$G,7,0)</f>
        <v>75</v>
      </c>
      <c r="H226">
        <f>VLOOKUP($B226,Sheet2!$A:$G,6,0)</f>
        <v>72</v>
      </c>
    </row>
    <row r="227" spans="1:8">
      <c r="A227">
        <v>230625</v>
      </c>
      <c r="B227" t="s">
        <v>234</v>
      </c>
      <c r="C227">
        <f>VLOOKUP($B227,Sheet2!$A:$E,2,0)</f>
        <v>84</v>
      </c>
      <c r="D227">
        <f>VLOOKUP($B227,Sheet2!$A:$E,3,0)</f>
        <v>82</v>
      </c>
      <c r="E227">
        <f>VLOOKUP($B227,Sheet2!$A:$E,4,0)</f>
        <v>104.5</v>
      </c>
      <c r="F227">
        <f>VLOOKUP($B227,Sheet2!$A:$E,5,0)</f>
        <v>85</v>
      </c>
      <c r="G227">
        <f>VLOOKUP($B227,Sheet2!$A:$G,7,0)</f>
        <v>77</v>
      </c>
      <c r="H227">
        <f>VLOOKUP($B227,Sheet2!$A:$G,6,0)</f>
        <v>73</v>
      </c>
    </row>
    <row r="228" spans="1:8">
      <c r="A228">
        <v>230626</v>
      </c>
      <c r="B228" t="s">
        <v>235</v>
      </c>
      <c r="C228">
        <f>VLOOKUP($B228,Sheet2!$A:$E,2,0)</f>
        <v>97</v>
      </c>
      <c r="D228">
        <f>VLOOKUP($B228,Sheet2!$A:$E,3,0)</f>
        <v>96</v>
      </c>
      <c r="E228">
        <f>VLOOKUP($B228,Sheet2!$A:$E,4,0)</f>
        <v>79.5</v>
      </c>
      <c r="F228">
        <f>VLOOKUP($B228,Sheet2!$A:$E,5,0)</f>
        <v>82</v>
      </c>
      <c r="G228">
        <f>VLOOKUP($B228,Sheet2!$A:$G,7,0)</f>
        <v>71</v>
      </c>
      <c r="H228">
        <f>VLOOKUP($B228,Sheet2!$A:$G,6,0)</f>
        <v>83</v>
      </c>
    </row>
    <row r="229" spans="1:8">
      <c r="A229">
        <v>230627</v>
      </c>
      <c r="B229" t="s">
        <v>236</v>
      </c>
      <c r="C229">
        <f>VLOOKUP($B229,Sheet2!$A:$E,2,0)</f>
        <v>80</v>
      </c>
      <c r="D229">
        <f>VLOOKUP($B229,Sheet2!$A:$E,3,0)</f>
        <v>86</v>
      </c>
      <c r="E229">
        <f>VLOOKUP($B229,Sheet2!$A:$E,4,0)</f>
        <v>74</v>
      </c>
      <c r="F229">
        <f>VLOOKUP($B229,Sheet2!$A:$E,5,0)</f>
        <v>82</v>
      </c>
      <c r="G229">
        <f>VLOOKUP($B229,Sheet2!$A:$G,7,0)</f>
        <v>69</v>
      </c>
      <c r="H229">
        <f>VLOOKUP($B229,Sheet2!$A:$G,6,0)</f>
        <v>63</v>
      </c>
    </row>
    <row r="230" spans="1:8">
      <c r="A230">
        <v>230628</v>
      </c>
      <c r="B230" t="s">
        <v>237</v>
      </c>
      <c r="C230">
        <f>VLOOKUP($B230,Sheet2!$A:$E,2,0)</f>
        <v>96</v>
      </c>
      <c r="D230">
        <f>VLOOKUP($B230,Sheet2!$A:$E,3,0)</f>
        <v>109</v>
      </c>
      <c r="E230">
        <f>VLOOKUP($B230,Sheet2!$A:$E,4,0)</f>
        <v>110</v>
      </c>
      <c r="F230">
        <f>VLOOKUP($B230,Sheet2!$A:$E,5,0)</f>
        <v>87</v>
      </c>
      <c r="G230">
        <f>VLOOKUP($B230,Sheet2!$A:$G,7,0)</f>
        <v>88</v>
      </c>
      <c r="H230">
        <f>VLOOKUP($B230,Sheet2!$A:$G,6,0)</f>
        <v>78</v>
      </c>
    </row>
    <row r="231" spans="1:8">
      <c r="A231">
        <v>230629</v>
      </c>
      <c r="B231" t="s">
        <v>238</v>
      </c>
      <c r="C231">
        <f>VLOOKUP($B231,Sheet2!$A:$E,2,0)</f>
        <v>91</v>
      </c>
      <c r="D231">
        <f>VLOOKUP($B231,Sheet2!$A:$E,3,0)</f>
        <v>96</v>
      </c>
      <c r="E231">
        <f>VLOOKUP($B231,Sheet2!$A:$E,4,0)</f>
        <v>102</v>
      </c>
      <c r="F231">
        <f>VLOOKUP($B231,Sheet2!$A:$E,5,0)</f>
        <v>86</v>
      </c>
      <c r="G231">
        <f>VLOOKUP($B231,Sheet2!$A:$G,7,0)</f>
        <v>74</v>
      </c>
      <c r="H231">
        <f>VLOOKUP($B231,Sheet2!$A:$G,6,0)</f>
        <v>82</v>
      </c>
    </row>
    <row r="232" spans="1:8">
      <c r="A232">
        <v>230630</v>
      </c>
      <c r="B232" t="s">
        <v>239</v>
      </c>
      <c r="C232">
        <f>VLOOKUP($B232,Sheet2!$A:$E,2,0)</f>
        <v>90</v>
      </c>
      <c r="D232">
        <f>VLOOKUP($B232,Sheet2!$A:$E,3,0)</f>
        <v>100</v>
      </c>
      <c r="E232">
        <f>VLOOKUP($B232,Sheet2!$A:$E,4,0)</f>
        <v>82.5</v>
      </c>
      <c r="F232">
        <f>VLOOKUP($B232,Sheet2!$A:$E,5,0)</f>
        <v>86</v>
      </c>
      <c r="G232">
        <f>VLOOKUP($B232,Sheet2!$A:$G,7,0)</f>
        <v>78</v>
      </c>
      <c r="H232">
        <f>VLOOKUP($B232,Sheet2!$A:$G,6,0)</f>
        <v>67</v>
      </c>
    </row>
    <row r="233" spans="1:8">
      <c r="A233">
        <v>230631</v>
      </c>
      <c r="B233" t="s">
        <v>240</v>
      </c>
      <c r="C233">
        <f>VLOOKUP($B233,Sheet2!$A:$E,2,0)</f>
        <v>106.5</v>
      </c>
      <c r="D233">
        <f>VLOOKUP($B233,Sheet2!$A:$E,3,0)</f>
        <v>114</v>
      </c>
      <c r="E233">
        <f>VLOOKUP($B233,Sheet2!$A:$E,4,0)</f>
        <v>86.5</v>
      </c>
      <c r="F233">
        <f>VLOOKUP($B233,Sheet2!$A:$E,5,0)</f>
        <v>87</v>
      </c>
      <c r="G233">
        <f>VLOOKUP($B233,Sheet2!$A:$G,7,0)</f>
        <v>80</v>
      </c>
      <c r="H233">
        <f>VLOOKUP($B233,Sheet2!$A:$G,6,0)</f>
        <v>86</v>
      </c>
    </row>
    <row r="234" spans="1:8">
      <c r="A234">
        <v>230632</v>
      </c>
      <c r="B234" t="s">
        <v>241</v>
      </c>
      <c r="C234">
        <f>VLOOKUP($B234,Sheet2!$A:$E,2,0)</f>
        <v>94.5</v>
      </c>
      <c r="D234">
        <f>VLOOKUP($B234,Sheet2!$A:$E,3,0)</f>
        <v>109</v>
      </c>
      <c r="E234">
        <f>VLOOKUP($B234,Sheet2!$A:$E,4,0)</f>
        <v>112</v>
      </c>
      <c r="F234">
        <f>VLOOKUP($B234,Sheet2!$A:$E,5,0)</f>
        <v>88</v>
      </c>
      <c r="G234">
        <f>VLOOKUP($B234,Sheet2!$A:$G,7,0)</f>
        <v>81</v>
      </c>
      <c r="H234">
        <f>VLOOKUP($B234,Sheet2!$A:$G,6,0)</f>
        <v>85</v>
      </c>
    </row>
    <row r="235" spans="1:8">
      <c r="A235">
        <v>230633</v>
      </c>
      <c r="B235" t="s">
        <v>242</v>
      </c>
      <c r="C235">
        <f>VLOOKUP($B235,Sheet2!$A:$E,2,0)</f>
        <v>89</v>
      </c>
      <c r="D235">
        <f>VLOOKUP($B235,Sheet2!$A:$E,3,0)</f>
        <v>96</v>
      </c>
      <c r="E235">
        <f>VLOOKUP($B235,Sheet2!$A:$E,4,0)</f>
        <v>95.5</v>
      </c>
      <c r="F235">
        <f>VLOOKUP($B235,Sheet2!$A:$E,5,0)</f>
        <v>82</v>
      </c>
      <c r="G235">
        <f>VLOOKUP($B235,Sheet2!$A:$G,7,0)</f>
        <v>70</v>
      </c>
      <c r="H235">
        <f>VLOOKUP($B235,Sheet2!$A:$G,6,0)</f>
        <v>81</v>
      </c>
    </row>
    <row r="236" spans="1:8">
      <c r="A236">
        <v>230634</v>
      </c>
      <c r="B236" t="s">
        <v>243</v>
      </c>
      <c r="C236">
        <f>VLOOKUP($B236,Sheet2!$A:$E,2,0)</f>
        <v>85</v>
      </c>
      <c r="D236">
        <f>VLOOKUP($B236,Sheet2!$A:$E,3,0)</f>
        <v>95</v>
      </c>
      <c r="E236">
        <f>VLOOKUP($B236,Sheet2!$A:$E,4,0)</f>
        <v>104.5</v>
      </c>
      <c r="F236">
        <f>VLOOKUP($B236,Sheet2!$A:$E,5,0)</f>
        <v>84</v>
      </c>
      <c r="G236">
        <f>VLOOKUP($B236,Sheet2!$A:$G,7,0)</f>
        <v>74</v>
      </c>
      <c r="H236">
        <f>VLOOKUP($B236,Sheet2!$A:$G,6,0)</f>
        <v>77</v>
      </c>
    </row>
    <row r="237" spans="1:8">
      <c r="A237">
        <v>230635</v>
      </c>
      <c r="B237" t="s">
        <v>244</v>
      </c>
      <c r="C237">
        <f>VLOOKUP($B237,Sheet2!$A:$E,2,0)</f>
        <v>75</v>
      </c>
      <c r="D237">
        <f>VLOOKUP($B237,Sheet2!$A:$E,3,0)</f>
        <v>54</v>
      </c>
      <c r="E237">
        <f>VLOOKUP($B237,Sheet2!$A:$E,4,0)</f>
        <v>86</v>
      </c>
      <c r="F237">
        <f>VLOOKUP($B237,Sheet2!$A:$E,5,0)</f>
        <v>56</v>
      </c>
      <c r="G237">
        <f>VLOOKUP($B237,Sheet2!$A:$G,7,0)</f>
        <v>69</v>
      </c>
      <c r="H237">
        <f>VLOOKUP($B237,Sheet2!$A:$G,6,0)</f>
        <v>57</v>
      </c>
    </row>
    <row r="238" spans="1:8">
      <c r="A238">
        <v>230636</v>
      </c>
      <c r="B238" t="s">
        <v>245</v>
      </c>
      <c r="C238">
        <f>VLOOKUP($B238,Sheet2!$A:$E,2,0)</f>
        <v>83</v>
      </c>
      <c r="D238">
        <f>VLOOKUP($B238,Sheet2!$A:$E,3,0)</f>
        <v>112</v>
      </c>
      <c r="E238">
        <f>VLOOKUP($B238,Sheet2!$A:$E,4,0)</f>
        <v>87.5</v>
      </c>
      <c r="F238">
        <f>VLOOKUP($B238,Sheet2!$A:$E,5,0)</f>
        <v>89</v>
      </c>
      <c r="G238">
        <f>VLOOKUP($B238,Sheet2!$A:$G,7,0)</f>
        <v>80</v>
      </c>
      <c r="H238">
        <f>VLOOKUP($B238,Sheet2!$A:$G,6,0)</f>
        <v>80</v>
      </c>
    </row>
    <row r="239" spans="1:8">
      <c r="A239">
        <v>230637</v>
      </c>
      <c r="B239" t="s">
        <v>246</v>
      </c>
      <c r="C239">
        <f>VLOOKUP($B239,Sheet2!$A:$E,2,0)</f>
        <v>79</v>
      </c>
      <c r="D239">
        <f>VLOOKUP($B239,Sheet2!$A:$E,3,0)</f>
        <v>99</v>
      </c>
      <c r="E239">
        <f>VLOOKUP($B239,Sheet2!$A:$E,4,0)</f>
        <v>83.5</v>
      </c>
      <c r="F239">
        <f>VLOOKUP($B239,Sheet2!$A:$E,5,0)</f>
        <v>80</v>
      </c>
      <c r="G239">
        <f>VLOOKUP($B239,Sheet2!$A:$G,7,0)</f>
        <v>60</v>
      </c>
      <c r="H239">
        <f>VLOOKUP($B239,Sheet2!$A:$G,6,0)</f>
        <v>63</v>
      </c>
    </row>
    <row r="240" spans="1:8">
      <c r="A240">
        <v>230638</v>
      </c>
      <c r="B240" t="s">
        <v>247</v>
      </c>
      <c r="C240">
        <f>VLOOKUP($B240,Sheet2!$A:$E,2,0)</f>
        <v>103</v>
      </c>
      <c r="D240">
        <f>VLOOKUP($B240,Sheet2!$A:$E,3,0)</f>
        <v>109</v>
      </c>
      <c r="E240">
        <f>VLOOKUP($B240,Sheet2!$A:$E,4,0)</f>
        <v>113</v>
      </c>
      <c r="F240">
        <f>VLOOKUP($B240,Sheet2!$A:$E,5,0)</f>
        <v>87</v>
      </c>
      <c r="G240">
        <f>VLOOKUP($B240,Sheet2!$A:$G,7,0)</f>
        <v>77</v>
      </c>
      <c r="H240">
        <f>VLOOKUP($B240,Sheet2!$A:$G,6,0)</f>
        <v>82</v>
      </c>
    </row>
    <row r="241" spans="1:8">
      <c r="A241">
        <v>230639</v>
      </c>
      <c r="B241" t="s">
        <v>248</v>
      </c>
      <c r="C241">
        <f>VLOOKUP($B241,Sheet2!$A:$E,2,0)</f>
        <v>99</v>
      </c>
      <c r="D241">
        <f>VLOOKUP($B241,Sheet2!$A:$E,3,0)</f>
        <v>100</v>
      </c>
      <c r="E241">
        <f>VLOOKUP($B241,Sheet2!$A:$E,4,0)</f>
        <v>101.5</v>
      </c>
      <c r="F241">
        <f>VLOOKUP($B241,Sheet2!$A:$E,5,0)</f>
        <v>88</v>
      </c>
      <c r="G241">
        <f>VLOOKUP($B241,Sheet2!$A:$G,7,0)</f>
        <v>84</v>
      </c>
      <c r="H241">
        <f>VLOOKUP($B241,Sheet2!$A:$G,6,0)</f>
        <v>82</v>
      </c>
    </row>
    <row r="242" spans="1:8">
      <c r="A242">
        <v>230640</v>
      </c>
      <c r="B242" t="s">
        <v>249</v>
      </c>
      <c r="C242">
        <f>VLOOKUP($B242,Sheet2!$A:$E,2,0)</f>
        <v>95</v>
      </c>
      <c r="D242">
        <f>VLOOKUP($B242,Sheet2!$A:$E,3,0)</f>
        <v>93</v>
      </c>
      <c r="E242">
        <f>VLOOKUP($B242,Sheet2!$A:$E,4,0)</f>
        <v>85</v>
      </c>
      <c r="F242">
        <f>VLOOKUP($B242,Sheet2!$A:$E,5,0)</f>
        <v>81</v>
      </c>
      <c r="G242">
        <f>VLOOKUP($B242,Sheet2!$A:$G,7,0)</f>
        <v>79</v>
      </c>
      <c r="H242">
        <f>VLOOKUP($B242,Sheet2!$A:$G,6,0)</f>
        <v>78</v>
      </c>
    </row>
    <row r="243" spans="1:8">
      <c r="A243">
        <v>230641</v>
      </c>
      <c r="B243" t="s">
        <v>250</v>
      </c>
      <c r="C243">
        <f>VLOOKUP($B243,Sheet2!$A:$E,2,0)</f>
        <v>90</v>
      </c>
      <c r="D243">
        <f>VLOOKUP($B243,Sheet2!$A:$E,3,0)</f>
        <v>92</v>
      </c>
      <c r="E243">
        <f>VLOOKUP($B243,Sheet2!$A:$E,4,0)</f>
        <v>98</v>
      </c>
      <c r="F243">
        <f>VLOOKUP($B243,Sheet2!$A:$E,5,0)</f>
        <v>86</v>
      </c>
      <c r="G243">
        <f>VLOOKUP($B243,Sheet2!$A:$G,7,0)</f>
        <v>78</v>
      </c>
      <c r="H243">
        <f>VLOOKUP($B243,Sheet2!$A:$G,6,0)</f>
        <v>77</v>
      </c>
    </row>
    <row r="244" spans="1:8">
      <c r="A244">
        <v>230642</v>
      </c>
      <c r="B244" t="s">
        <v>251</v>
      </c>
      <c r="C244">
        <f>VLOOKUP($B244,Sheet2!$A:$E,2,0)</f>
        <v>80</v>
      </c>
      <c r="D244">
        <f>VLOOKUP($B244,Sheet2!$A:$E,3,0)</f>
        <v>85</v>
      </c>
      <c r="E244">
        <f>VLOOKUP($B244,Sheet2!$A:$E,4,0)</f>
        <v>76</v>
      </c>
      <c r="F244">
        <f>VLOOKUP($B244,Sheet2!$A:$E,5,0)</f>
        <v>87</v>
      </c>
      <c r="G244">
        <f>VLOOKUP($B244,Sheet2!$A:$G,7,0)</f>
        <v>72</v>
      </c>
      <c r="H244">
        <f>VLOOKUP($B244,Sheet2!$A:$G,6,0)</f>
        <v>70</v>
      </c>
    </row>
    <row r="245" spans="1:8">
      <c r="A245">
        <v>230643</v>
      </c>
      <c r="B245" t="s">
        <v>252</v>
      </c>
      <c r="C245">
        <f>VLOOKUP($B245,Sheet2!$A:$E,2,0)</f>
        <v>80</v>
      </c>
      <c r="D245">
        <f>VLOOKUP($B245,Sheet2!$A:$E,3,0)</f>
        <v>91</v>
      </c>
      <c r="E245">
        <f>VLOOKUP($B245,Sheet2!$A:$E,4,0)</f>
        <v>99</v>
      </c>
      <c r="F245">
        <f>VLOOKUP($B245,Sheet2!$A:$E,5,0)</f>
        <v>86</v>
      </c>
      <c r="G245">
        <f>VLOOKUP($B245,Sheet2!$A:$G,7,0)</f>
        <v>73</v>
      </c>
      <c r="H245">
        <f>VLOOKUP($B245,Sheet2!$A:$G,6,0)</f>
        <v>71</v>
      </c>
    </row>
    <row r="246" spans="1:8">
      <c r="A246">
        <v>230644</v>
      </c>
      <c r="B246" t="s">
        <v>253</v>
      </c>
      <c r="C246">
        <f>VLOOKUP($B246,Sheet2!$A:$E,2,0)</f>
        <v>89</v>
      </c>
      <c r="D246">
        <f>VLOOKUP($B246,Sheet2!$A:$E,3,0)</f>
        <v>78</v>
      </c>
      <c r="E246">
        <f>VLOOKUP($B246,Sheet2!$A:$E,4,0)</f>
        <v>89.5</v>
      </c>
      <c r="F246">
        <f>VLOOKUP($B246,Sheet2!$A:$E,5,0)</f>
        <v>79</v>
      </c>
      <c r="G246">
        <f>VLOOKUP($B246,Sheet2!$A:$G,7,0)</f>
        <v>72</v>
      </c>
      <c r="H246">
        <f>VLOOKUP($B246,Sheet2!$A:$G,6,0)</f>
        <v>73</v>
      </c>
    </row>
    <row r="247" spans="1:8">
      <c r="A247">
        <v>230645</v>
      </c>
      <c r="B247" t="s">
        <v>254</v>
      </c>
      <c r="C247">
        <f>VLOOKUP($B247,Sheet2!$A:$E,2,0)</f>
        <v>83</v>
      </c>
      <c r="D247">
        <f>VLOOKUP($B247,Sheet2!$A:$E,3,0)</f>
        <v>83</v>
      </c>
      <c r="E247">
        <f>VLOOKUP($B247,Sheet2!$A:$E,4,0)</f>
        <v>93.5</v>
      </c>
      <c r="F247">
        <f>VLOOKUP($B247,Sheet2!$A:$E,5,0)</f>
        <v>86</v>
      </c>
      <c r="G247">
        <f>VLOOKUP($B247,Sheet2!$A:$G,7,0)</f>
        <v>69</v>
      </c>
      <c r="H247">
        <f>VLOOKUP($B247,Sheet2!$A:$G,6,0)</f>
        <v>74</v>
      </c>
    </row>
    <row r="248" spans="1:8">
      <c r="A248">
        <v>230646</v>
      </c>
      <c r="B248" t="s">
        <v>255</v>
      </c>
      <c r="C248">
        <f>VLOOKUP($B248,Sheet2!$A:$E,2,0)</f>
        <v>75</v>
      </c>
      <c r="D248">
        <f>VLOOKUP($B248,Sheet2!$A:$E,3,0)</f>
        <v>65</v>
      </c>
      <c r="E248">
        <f>VLOOKUP($B248,Sheet2!$A:$E,4,0)</f>
        <v>82</v>
      </c>
      <c r="F248">
        <f>VLOOKUP($B248,Sheet2!$A:$E,5,0)</f>
        <v>67</v>
      </c>
      <c r="G248">
        <f>VLOOKUP($B248,Sheet2!$A:$G,7,0)</f>
        <v>71</v>
      </c>
      <c r="H248">
        <f>VLOOKUP($B248,Sheet2!$A:$G,6,0)</f>
        <v>62</v>
      </c>
    </row>
    <row r="249" spans="1:8">
      <c r="A249">
        <v>230701</v>
      </c>
      <c r="B249" t="s">
        <v>256</v>
      </c>
      <c r="C249">
        <f>VLOOKUP($B249,Sheet2!$A:$E,2,0)</f>
        <v>79.5</v>
      </c>
      <c r="D249">
        <f>VLOOKUP($B249,Sheet2!$A:$E,3,0)</f>
        <v>92</v>
      </c>
      <c r="E249">
        <f>VLOOKUP($B249,Sheet2!$A:$E,4,0)</f>
        <v>98</v>
      </c>
      <c r="F249">
        <f>VLOOKUP($B249,Sheet2!$A:$E,5,0)</f>
        <v>86</v>
      </c>
      <c r="G249">
        <f>VLOOKUP($B249,Sheet2!$A:$G,7,0)</f>
        <v>74</v>
      </c>
      <c r="H249">
        <f>VLOOKUP($B249,Sheet2!$A:$G,6,0)</f>
        <v>75</v>
      </c>
    </row>
    <row r="250" spans="1:8">
      <c r="A250">
        <v>230702</v>
      </c>
      <c r="B250" t="s">
        <v>257</v>
      </c>
      <c r="C250">
        <f>VLOOKUP($B250,Sheet2!$A:$E,2,0)</f>
        <v>88</v>
      </c>
      <c r="D250">
        <f>VLOOKUP($B250,Sheet2!$A:$E,3,0)</f>
        <v>80</v>
      </c>
      <c r="E250">
        <f>VLOOKUP($B250,Sheet2!$A:$E,4,0)</f>
        <v>90</v>
      </c>
      <c r="F250">
        <f>VLOOKUP($B250,Sheet2!$A:$E,5,0)</f>
        <v>72</v>
      </c>
      <c r="G250">
        <f>VLOOKUP($B250,Sheet2!$A:$G,7,0)</f>
        <v>75</v>
      </c>
      <c r="H250">
        <f>VLOOKUP($B250,Sheet2!$A:$G,6,0)</f>
        <v>66</v>
      </c>
    </row>
    <row r="251" spans="1:8">
      <c r="A251">
        <v>230703</v>
      </c>
      <c r="B251" t="s">
        <v>258</v>
      </c>
      <c r="C251">
        <f>VLOOKUP($B251,Sheet2!$A:$E,2,0)</f>
        <v>96</v>
      </c>
      <c r="D251">
        <f>VLOOKUP($B251,Sheet2!$A:$E,3,0)</f>
        <v>92</v>
      </c>
      <c r="E251">
        <f>VLOOKUP($B251,Sheet2!$A:$E,4,0)</f>
        <v>107.5</v>
      </c>
      <c r="F251">
        <f>VLOOKUP($B251,Sheet2!$A:$E,5,0)</f>
        <v>84</v>
      </c>
      <c r="G251">
        <f>VLOOKUP($B251,Sheet2!$A:$G,7,0)</f>
        <v>79</v>
      </c>
      <c r="H251">
        <f>VLOOKUP($B251,Sheet2!$A:$G,6,0)</f>
        <v>68</v>
      </c>
    </row>
    <row r="252" spans="1:8">
      <c r="A252">
        <v>230704</v>
      </c>
      <c r="B252" t="s">
        <v>259</v>
      </c>
      <c r="C252">
        <f>VLOOKUP($B252,Sheet2!$A:$E,2,0)</f>
        <v>78</v>
      </c>
      <c r="D252">
        <f>VLOOKUP($B252,Sheet2!$A:$E,3,0)</f>
        <v>95</v>
      </c>
      <c r="E252">
        <f>VLOOKUP($B252,Sheet2!$A:$E,4,0)</f>
        <v>73.5</v>
      </c>
      <c r="F252">
        <f>VLOOKUP($B252,Sheet2!$A:$E,5,0)</f>
        <v>89</v>
      </c>
      <c r="G252">
        <f>VLOOKUP($B252,Sheet2!$A:$G,7,0)</f>
        <v>73</v>
      </c>
      <c r="H252">
        <f>VLOOKUP($B252,Sheet2!$A:$G,6,0)</f>
        <v>81</v>
      </c>
    </row>
    <row r="253" spans="1:8">
      <c r="A253">
        <v>230705</v>
      </c>
      <c r="B253" t="s">
        <v>260</v>
      </c>
      <c r="C253">
        <f>VLOOKUP($B253,Sheet2!$A:$E,2,0)</f>
        <v>89</v>
      </c>
      <c r="D253">
        <f>VLOOKUP($B253,Sheet2!$A:$E,3,0)</f>
        <v>95</v>
      </c>
      <c r="E253">
        <f>VLOOKUP($B253,Sheet2!$A:$E,4,0)</f>
        <v>100.5</v>
      </c>
      <c r="F253">
        <f>VLOOKUP($B253,Sheet2!$A:$E,5,0)</f>
        <v>83</v>
      </c>
      <c r="G253">
        <f>VLOOKUP($B253,Sheet2!$A:$G,7,0)</f>
        <v>78</v>
      </c>
      <c r="H253">
        <f>VLOOKUP($B253,Sheet2!$A:$G,6,0)</f>
        <v>76</v>
      </c>
    </row>
    <row r="254" spans="1:8">
      <c r="A254">
        <v>230706</v>
      </c>
      <c r="B254" t="s">
        <v>261</v>
      </c>
      <c r="C254">
        <f>VLOOKUP($B254,Sheet2!$A:$E,2,0)</f>
        <v>97</v>
      </c>
      <c r="D254">
        <f>VLOOKUP($B254,Sheet2!$A:$E,3,0)</f>
        <v>102</v>
      </c>
      <c r="E254">
        <f>VLOOKUP($B254,Sheet2!$A:$E,4,0)</f>
        <v>98</v>
      </c>
      <c r="F254">
        <f>VLOOKUP($B254,Sheet2!$A:$E,5,0)</f>
        <v>82</v>
      </c>
      <c r="G254">
        <f>VLOOKUP($B254,Sheet2!$A:$G,7,0)</f>
        <v>74</v>
      </c>
      <c r="H254">
        <f>VLOOKUP($B254,Sheet2!$A:$G,6,0)</f>
        <v>70</v>
      </c>
    </row>
    <row r="255" spans="1:8">
      <c r="A255">
        <v>230707</v>
      </c>
      <c r="B255" t="s">
        <v>262</v>
      </c>
      <c r="C255">
        <f>VLOOKUP($B255,Sheet2!$A:$E,2,0)</f>
        <v>78</v>
      </c>
      <c r="D255">
        <f>VLOOKUP($B255,Sheet2!$A:$E,3,0)</f>
        <v>92</v>
      </c>
      <c r="E255">
        <f>VLOOKUP($B255,Sheet2!$A:$E,4,0)</f>
        <v>84.5</v>
      </c>
      <c r="F255">
        <f>VLOOKUP($B255,Sheet2!$A:$E,5,0)</f>
        <v>70</v>
      </c>
      <c r="G255">
        <f>VLOOKUP($B255,Sheet2!$A:$G,7,0)</f>
        <v>67</v>
      </c>
      <c r="H255">
        <f>VLOOKUP($B255,Sheet2!$A:$G,6,0)</f>
        <v>79</v>
      </c>
    </row>
    <row r="256" spans="1:8">
      <c r="A256">
        <v>230708</v>
      </c>
      <c r="B256" t="s">
        <v>263</v>
      </c>
      <c r="C256">
        <f>VLOOKUP($B256,Sheet2!$A:$E,2,0)</f>
        <v>86</v>
      </c>
      <c r="D256">
        <f>VLOOKUP($B256,Sheet2!$A:$E,3,0)</f>
        <v>98</v>
      </c>
      <c r="E256" t="str">
        <f>VLOOKUP($B256,Sheet2!$A:$E,4,0)</f>
        <v>未扫，不计排名</v>
      </c>
      <c r="F256" t="str">
        <f>VLOOKUP($B256,Sheet2!$A:$E,5,0)</f>
        <v>未扫，不计排名</v>
      </c>
      <c r="G256">
        <f>VLOOKUP($B256,Sheet2!$A:$G,7,0)</f>
        <v>82</v>
      </c>
      <c r="H256" t="str">
        <f>VLOOKUP($B256,Sheet2!$A:$G,6,0)</f>
        <v>未扫，不计排名</v>
      </c>
    </row>
    <row r="257" spans="1:8">
      <c r="A257">
        <v>230709</v>
      </c>
      <c r="B257" t="s">
        <v>264</v>
      </c>
      <c r="C257">
        <f>VLOOKUP($B257,Sheet2!$A:$E,2,0)</f>
        <v>97</v>
      </c>
      <c r="D257">
        <f>VLOOKUP($B257,Sheet2!$A:$E,3,0)</f>
        <v>85</v>
      </c>
      <c r="E257">
        <f>VLOOKUP($B257,Sheet2!$A:$E,4,0)</f>
        <v>109</v>
      </c>
      <c r="F257">
        <f>VLOOKUP($B257,Sheet2!$A:$E,5,0)</f>
        <v>79</v>
      </c>
      <c r="G257">
        <f>VLOOKUP($B257,Sheet2!$A:$G,7,0)</f>
        <v>77</v>
      </c>
      <c r="H257">
        <f>VLOOKUP($B257,Sheet2!$A:$G,6,0)</f>
        <v>77</v>
      </c>
    </row>
    <row r="258" spans="1:8">
      <c r="A258">
        <v>230710</v>
      </c>
      <c r="B258" t="s">
        <v>265</v>
      </c>
      <c r="C258">
        <f>VLOOKUP($B258,Sheet2!$A:$E,2,0)</f>
        <v>89</v>
      </c>
      <c r="D258">
        <f>VLOOKUP($B258,Sheet2!$A:$E,3,0)</f>
        <v>83</v>
      </c>
      <c r="E258">
        <f>VLOOKUP($B258,Sheet2!$A:$E,4,0)</f>
        <v>98.5</v>
      </c>
      <c r="F258">
        <f>VLOOKUP($B258,Sheet2!$A:$E,5,0)</f>
        <v>80</v>
      </c>
      <c r="G258">
        <f>VLOOKUP($B258,Sheet2!$A:$G,7,0)</f>
        <v>77</v>
      </c>
      <c r="H258">
        <f>VLOOKUP($B258,Sheet2!$A:$G,6,0)</f>
        <v>81</v>
      </c>
    </row>
    <row r="259" spans="1:8">
      <c r="A259">
        <v>230711</v>
      </c>
      <c r="B259" t="s">
        <v>266</v>
      </c>
      <c r="C259">
        <f>VLOOKUP($B259,Sheet2!$A:$E,2,0)</f>
        <v>87</v>
      </c>
      <c r="D259">
        <f>VLOOKUP($B259,Sheet2!$A:$E,3,0)</f>
        <v>86</v>
      </c>
      <c r="E259">
        <f>VLOOKUP($B259,Sheet2!$A:$E,4,0)</f>
        <v>98</v>
      </c>
      <c r="F259">
        <f>VLOOKUP($B259,Sheet2!$A:$E,5,0)</f>
        <v>86</v>
      </c>
      <c r="G259">
        <f>VLOOKUP($B259,Sheet2!$A:$G,7,0)</f>
        <v>71</v>
      </c>
      <c r="H259">
        <f>VLOOKUP($B259,Sheet2!$A:$G,6,0)</f>
        <v>76</v>
      </c>
    </row>
    <row r="260" spans="1:8">
      <c r="A260">
        <v>230712</v>
      </c>
      <c r="B260" t="s">
        <v>267</v>
      </c>
      <c r="C260">
        <f>VLOOKUP($B260,Sheet2!$A:$E,2,0)</f>
        <v>87</v>
      </c>
      <c r="D260">
        <f>VLOOKUP($B260,Sheet2!$A:$E,3,0)</f>
        <v>93</v>
      </c>
      <c r="E260">
        <f>VLOOKUP($B260,Sheet2!$A:$E,4,0)</f>
        <v>94.5</v>
      </c>
      <c r="F260">
        <f>VLOOKUP($B260,Sheet2!$A:$E,5,0)</f>
        <v>85</v>
      </c>
      <c r="G260">
        <f>VLOOKUP($B260,Sheet2!$A:$G,7,0)</f>
        <v>78</v>
      </c>
      <c r="H260">
        <f>VLOOKUP($B260,Sheet2!$A:$G,6,0)</f>
        <v>71</v>
      </c>
    </row>
    <row r="261" spans="1:8">
      <c r="A261">
        <v>230713</v>
      </c>
      <c r="B261" t="s">
        <v>268</v>
      </c>
      <c r="C261">
        <f>VLOOKUP($B261,Sheet2!$A:$E,2,0)</f>
        <v>78</v>
      </c>
      <c r="D261">
        <f>VLOOKUP($B261,Sheet2!$A:$E,3,0)</f>
        <v>91</v>
      </c>
      <c r="E261">
        <f>VLOOKUP($B261,Sheet2!$A:$E,4,0)</f>
        <v>85.5</v>
      </c>
      <c r="F261">
        <f>VLOOKUP($B261,Sheet2!$A:$E,5,0)</f>
        <v>85</v>
      </c>
      <c r="G261">
        <f>VLOOKUP($B261,Sheet2!$A:$G,7,0)</f>
        <v>57</v>
      </c>
      <c r="H261">
        <f>VLOOKUP($B261,Sheet2!$A:$G,6,0)</f>
        <v>74</v>
      </c>
    </row>
    <row r="262" spans="1:8">
      <c r="A262">
        <v>230714</v>
      </c>
      <c r="B262" t="s">
        <v>269</v>
      </c>
      <c r="C262">
        <f>VLOOKUP($B262,Sheet2!$A:$E,2,0)</f>
        <v>89</v>
      </c>
      <c r="D262">
        <f>VLOOKUP($B262,Sheet2!$A:$E,3,0)</f>
        <v>110</v>
      </c>
      <c r="E262">
        <f>VLOOKUP($B262,Sheet2!$A:$E,4,0)</f>
        <v>111.5</v>
      </c>
      <c r="F262">
        <f>VLOOKUP($B262,Sheet2!$A:$E,5,0)</f>
        <v>85</v>
      </c>
      <c r="G262">
        <f>VLOOKUP($B262,Sheet2!$A:$G,7,0)</f>
        <v>79</v>
      </c>
      <c r="H262">
        <f>VLOOKUP($B262,Sheet2!$A:$G,6,0)</f>
        <v>82</v>
      </c>
    </row>
    <row r="263" spans="1:8">
      <c r="A263">
        <v>230715</v>
      </c>
      <c r="B263" t="s">
        <v>270</v>
      </c>
      <c r="C263">
        <f>VLOOKUP($B263,Sheet2!$A:$E,2,0)</f>
        <v>91</v>
      </c>
      <c r="D263">
        <f>VLOOKUP($B263,Sheet2!$A:$E,3,0)</f>
        <v>101</v>
      </c>
      <c r="E263">
        <f>VLOOKUP($B263,Sheet2!$A:$E,4,0)</f>
        <v>99</v>
      </c>
      <c r="F263">
        <f>VLOOKUP($B263,Sheet2!$A:$E,5,0)</f>
        <v>82</v>
      </c>
      <c r="G263">
        <f>VLOOKUP($B263,Sheet2!$A:$G,7,0)</f>
        <v>76</v>
      </c>
      <c r="H263">
        <f>VLOOKUP($B263,Sheet2!$A:$G,6,0)</f>
        <v>78</v>
      </c>
    </row>
    <row r="264" spans="1:8">
      <c r="A264">
        <v>230716</v>
      </c>
      <c r="B264" t="s">
        <v>271</v>
      </c>
      <c r="C264">
        <f>VLOOKUP($B264,Sheet2!$A:$E,2,0)</f>
        <v>96</v>
      </c>
      <c r="D264">
        <f>VLOOKUP($B264,Sheet2!$A:$E,3,0)</f>
        <v>89</v>
      </c>
      <c r="E264">
        <f>VLOOKUP($B264,Sheet2!$A:$E,4,0)</f>
        <v>102.5</v>
      </c>
      <c r="F264">
        <f>VLOOKUP($B264,Sheet2!$A:$E,5,0)</f>
        <v>87</v>
      </c>
      <c r="G264">
        <f>VLOOKUP($B264,Sheet2!$A:$G,7,0)</f>
        <v>70</v>
      </c>
      <c r="H264">
        <f>VLOOKUP($B264,Sheet2!$A:$G,6,0)</f>
        <v>83</v>
      </c>
    </row>
    <row r="265" spans="1:8">
      <c r="A265">
        <v>230717</v>
      </c>
      <c r="B265" t="s">
        <v>272</v>
      </c>
      <c r="C265">
        <f>VLOOKUP($B265,Sheet2!$A:$E,2,0)</f>
        <v>85</v>
      </c>
      <c r="D265">
        <f>VLOOKUP($B265,Sheet2!$A:$E,3,0)</f>
        <v>78</v>
      </c>
      <c r="E265">
        <f>VLOOKUP($B265,Sheet2!$A:$E,4,0)</f>
        <v>93.5</v>
      </c>
      <c r="F265">
        <f>VLOOKUP($B265,Sheet2!$A:$E,5,0)</f>
        <v>80</v>
      </c>
      <c r="G265">
        <f>VLOOKUP($B265,Sheet2!$A:$G,7,0)</f>
        <v>65</v>
      </c>
      <c r="H265">
        <f>VLOOKUP($B265,Sheet2!$A:$G,6,0)</f>
        <v>71</v>
      </c>
    </row>
    <row r="266" spans="1:8">
      <c r="A266">
        <v>230718</v>
      </c>
      <c r="B266" t="s">
        <v>273</v>
      </c>
      <c r="C266">
        <f>VLOOKUP($B266,Sheet2!$A:$E,2,0)</f>
        <v>107.5</v>
      </c>
      <c r="D266">
        <f>VLOOKUP($B266,Sheet2!$A:$E,3,0)</f>
        <v>88</v>
      </c>
      <c r="E266">
        <f>VLOOKUP($B266,Sheet2!$A:$E,4,0)</f>
        <v>109.5</v>
      </c>
      <c r="F266">
        <f>VLOOKUP($B266,Sheet2!$A:$E,5,0)</f>
        <v>86</v>
      </c>
      <c r="G266">
        <f>VLOOKUP($B266,Sheet2!$A:$G,7,0)</f>
        <v>85</v>
      </c>
      <c r="H266">
        <f>VLOOKUP($B266,Sheet2!$A:$G,6,0)</f>
        <v>79</v>
      </c>
    </row>
    <row r="267" spans="1:8">
      <c r="A267">
        <v>230719</v>
      </c>
      <c r="B267" t="s">
        <v>274</v>
      </c>
      <c r="C267">
        <f>VLOOKUP($B267,Sheet2!$A:$E,2,0)</f>
        <v>101</v>
      </c>
      <c r="D267">
        <f>VLOOKUP($B267,Sheet2!$A:$E,3,0)</f>
        <v>99</v>
      </c>
      <c r="E267">
        <f>VLOOKUP($B267,Sheet2!$A:$E,4,0)</f>
        <v>87.5</v>
      </c>
      <c r="F267">
        <f>VLOOKUP($B267,Sheet2!$A:$E,5,0)</f>
        <v>88</v>
      </c>
      <c r="G267">
        <f>VLOOKUP($B267,Sheet2!$A:$G,7,0)</f>
        <v>76</v>
      </c>
      <c r="H267">
        <f>VLOOKUP($B267,Sheet2!$A:$G,6,0)</f>
        <v>84</v>
      </c>
    </row>
    <row r="268" spans="1:8">
      <c r="A268">
        <v>230720</v>
      </c>
      <c r="B268" t="s">
        <v>275</v>
      </c>
      <c r="C268">
        <f>VLOOKUP($B268,Sheet2!$A:$E,2,0)</f>
        <v>88</v>
      </c>
      <c r="D268">
        <f>VLOOKUP($B268,Sheet2!$A:$E,3,0)</f>
        <v>89</v>
      </c>
      <c r="E268">
        <f>VLOOKUP($B268,Sheet2!$A:$E,4,0)</f>
        <v>94</v>
      </c>
      <c r="F268">
        <f>VLOOKUP($B268,Sheet2!$A:$E,5,0)</f>
        <v>80</v>
      </c>
      <c r="G268">
        <f>VLOOKUP($B268,Sheet2!$A:$G,7,0)</f>
        <v>77</v>
      </c>
      <c r="H268">
        <f>VLOOKUP($B268,Sheet2!$A:$G,6,0)</f>
        <v>75</v>
      </c>
    </row>
    <row r="269" spans="1:8">
      <c r="A269">
        <v>230722</v>
      </c>
      <c r="B269" t="s">
        <v>276</v>
      </c>
      <c r="C269">
        <f>VLOOKUP($B269,Sheet2!$A:$E,2,0)</f>
        <v>93</v>
      </c>
      <c r="D269">
        <f>VLOOKUP($B269,Sheet2!$A:$E,3,0)</f>
        <v>101</v>
      </c>
      <c r="E269">
        <f>VLOOKUP($B269,Sheet2!$A:$E,4,0)</f>
        <v>104</v>
      </c>
      <c r="F269">
        <f>VLOOKUP($B269,Sheet2!$A:$E,5,0)</f>
        <v>85</v>
      </c>
      <c r="G269">
        <f>VLOOKUP($B269,Sheet2!$A:$G,7,0)</f>
        <v>78</v>
      </c>
      <c r="H269">
        <f>VLOOKUP($B269,Sheet2!$A:$G,6,0)</f>
        <v>78</v>
      </c>
    </row>
    <row r="270" spans="1:8">
      <c r="A270">
        <v>230723</v>
      </c>
      <c r="B270" t="s">
        <v>277</v>
      </c>
      <c r="C270">
        <f>VLOOKUP($B270,Sheet2!$A:$E,2,0)</f>
        <v>95</v>
      </c>
      <c r="D270">
        <f>VLOOKUP($B270,Sheet2!$A:$E,3,0)</f>
        <v>101</v>
      </c>
      <c r="E270">
        <f>VLOOKUP($B270,Sheet2!$A:$E,4,0)</f>
        <v>96</v>
      </c>
      <c r="F270">
        <f>VLOOKUP($B270,Sheet2!$A:$E,5,0)</f>
        <v>86</v>
      </c>
      <c r="G270">
        <f>VLOOKUP($B270,Sheet2!$A:$G,7,0)</f>
        <v>83</v>
      </c>
      <c r="H270">
        <f>VLOOKUP($B270,Sheet2!$A:$G,6,0)</f>
        <v>72</v>
      </c>
    </row>
    <row r="271" spans="1:8">
      <c r="A271">
        <v>230724</v>
      </c>
      <c r="B271" t="s">
        <v>278</v>
      </c>
      <c r="C271">
        <f>VLOOKUP($B271,Sheet2!$A:$E,2,0)</f>
        <v>81</v>
      </c>
      <c r="D271">
        <f>VLOOKUP($B271,Sheet2!$A:$E,3,0)</f>
        <v>89</v>
      </c>
      <c r="E271">
        <f>VLOOKUP($B271,Sheet2!$A:$E,4,0)</f>
        <v>86</v>
      </c>
      <c r="F271">
        <f>VLOOKUP($B271,Sheet2!$A:$E,5,0)</f>
        <v>87</v>
      </c>
      <c r="G271">
        <f>VLOOKUP($B271,Sheet2!$A:$G,7,0)</f>
        <v>68</v>
      </c>
      <c r="H271">
        <f>VLOOKUP($B271,Sheet2!$A:$G,6,0)</f>
        <v>71</v>
      </c>
    </row>
    <row r="272" spans="1:8">
      <c r="A272">
        <v>230725</v>
      </c>
      <c r="B272" t="s">
        <v>279</v>
      </c>
      <c r="C272">
        <f>VLOOKUP($B272,Sheet2!$A:$E,2,0)</f>
        <v>89</v>
      </c>
      <c r="D272">
        <f>VLOOKUP($B272,Sheet2!$A:$E,3,0)</f>
        <v>93</v>
      </c>
      <c r="E272">
        <f>VLOOKUP($B272,Sheet2!$A:$E,4,0)</f>
        <v>92.5</v>
      </c>
      <c r="F272">
        <f>VLOOKUP($B272,Sheet2!$A:$E,5,0)</f>
        <v>87</v>
      </c>
      <c r="G272">
        <f>VLOOKUP($B272,Sheet2!$A:$G,7,0)</f>
        <v>75</v>
      </c>
      <c r="H272">
        <f>VLOOKUP($B272,Sheet2!$A:$G,6,0)</f>
        <v>72</v>
      </c>
    </row>
    <row r="273" spans="1:8">
      <c r="A273">
        <v>230726</v>
      </c>
      <c r="B273" t="s">
        <v>280</v>
      </c>
      <c r="C273">
        <f>VLOOKUP($B273,Sheet2!$A:$E,2,0)</f>
        <v>94</v>
      </c>
      <c r="D273">
        <f>VLOOKUP($B273,Sheet2!$A:$E,3,0)</f>
        <v>92</v>
      </c>
      <c r="E273">
        <f>VLOOKUP($B273,Sheet2!$A:$E,4,0)</f>
        <v>82</v>
      </c>
      <c r="F273">
        <f>VLOOKUP($B273,Sheet2!$A:$E,5,0)</f>
        <v>84</v>
      </c>
      <c r="G273">
        <f>VLOOKUP($B273,Sheet2!$A:$G,7,0)</f>
        <v>66</v>
      </c>
      <c r="H273">
        <f>VLOOKUP($B273,Sheet2!$A:$G,6,0)</f>
        <v>70</v>
      </c>
    </row>
    <row r="274" spans="1:8">
      <c r="A274">
        <v>230727</v>
      </c>
      <c r="B274" t="s">
        <v>281</v>
      </c>
      <c r="C274">
        <f>VLOOKUP($B274,Sheet2!$A:$E,2,0)</f>
        <v>83</v>
      </c>
      <c r="D274">
        <f>VLOOKUP($B274,Sheet2!$A:$E,3,0)</f>
        <v>101</v>
      </c>
      <c r="E274">
        <f>VLOOKUP($B274,Sheet2!$A:$E,4,0)</f>
        <v>85</v>
      </c>
      <c r="F274">
        <f>VLOOKUP($B274,Sheet2!$A:$E,5,0)</f>
        <v>86</v>
      </c>
      <c r="G274">
        <f>VLOOKUP($B274,Sheet2!$A:$G,7,0)</f>
        <v>72</v>
      </c>
      <c r="H274">
        <f>VLOOKUP($B274,Sheet2!$A:$G,6,0)</f>
        <v>74</v>
      </c>
    </row>
    <row r="275" spans="1:8">
      <c r="A275">
        <v>230728</v>
      </c>
      <c r="B275" t="s">
        <v>282</v>
      </c>
      <c r="C275">
        <f>VLOOKUP($B275,Sheet2!$A:$E,2,0)</f>
        <v>92.5</v>
      </c>
      <c r="D275">
        <f>VLOOKUP($B275,Sheet2!$A:$E,3,0)</f>
        <v>77</v>
      </c>
      <c r="E275">
        <f>VLOOKUP($B275,Sheet2!$A:$E,4,0)</f>
        <v>89</v>
      </c>
      <c r="F275">
        <f>VLOOKUP($B275,Sheet2!$A:$E,5,0)</f>
        <v>76</v>
      </c>
      <c r="G275">
        <f>VLOOKUP($B275,Sheet2!$A:$G,7,0)</f>
        <v>69</v>
      </c>
      <c r="H275">
        <f>VLOOKUP($B275,Sheet2!$A:$G,6,0)</f>
        <v>68</v>
      </c>
    </row>
    <row r="276" spans="1:8">
      <c r="A276">
        <v>230729</v>
      </c>
      <c r="B276" t="s">
        <v>283</v>
      </c>
      <c r="C276">
        <f>VLOOKUP($B276,Sheet2!$A:$E,2,0)</f>
        <v>84</v>
      </c>
      <c r="D276">
        <f>VLOOKUP($B276,Sheet2!$A:$E,3,0)</f>
        <v>97</v>
      </c>
      <c r="E276">
        <f>VLOOKUP($B276,Sheet2!$A:$E,4,0)</f>
        <v>103.5</v>
      </c>
      <c r="F276">
        <f>VLOOKUP($B276,Sheet2!$A:$E,5,0)</f>
        <v>87</v>
      </c>
      <c r="G276">
        <f>VLOOKUP($B276,Sheet2!$A:$G,7,0)</f>
        <v>77</v>
      </c>
      <c r="H276">
        <f>VLOOKUP($B276,Sheet2!$A:$G,6,0)</f>
        <v>70</v>
      </c>
    </row>
    <row r="277" spans="1:8">
      <c r="A277">
        <v>230730</v>
      </c>
      <c r="B277" t="s">
        <v>284</v>
      </c>
      <c r="C277">
        <f>VLOOKUP($B277,Sheet2!$A:$E,2,0)</f>
        <v>111</v>
      </c>
      <c r="D277">
        <f>VLOOKUP($B277,Sheet2!$A:$E,3,0)</f>
        <v>104</v>
      </c>
      <c r="E277">
        <f>VLOOKUP($B277,Sheet2!$A:$E,4,0)</f>
        <v>107</v>
      </c>
      <c r="F277">
        <f>VLOOKUP($B277,Sheet2!$A:$E,5,0)</f>
        <v>89</v>
      </c>
      <c r="G277">
        <f>VLOOKUP($B277,Sheet2!$A:$G,7,0)</f>
        <v>86</v>
      </c>
      <c r="H277">
        <f>VLOOKUP($B277,Sheet2!$A:$G,6,0)</f>
        <v>87</v>
      </c>
    </row>
    <row r="278" spans="1:8">
      <c r="A278">
        <v>230731</v>
      </c>
      <c r="B278" t="s">
        <v>285</v>
      </c>
      <c r="C278">
        <f>VLOOKUP($B278,Sheet2!$A:$E,2,0)</f>
        <v>92</v>
      </c>
      <c r="D278">
        <f>VLOOKUP($B278,Sheet2!$A:$E,3,0)</f>
        <v>96</v>
      </c>
      <c r="E278">
        <f>VLOOKUP($B278,Sheet2!$A:$E,4,0)</f>
        <v>92</v>
      </c>
      <c r="F278">
        <f>VLOOKUP($B278,Sheet2!$A:$E,5,0)</f>
        <v>85</v>
      </c>
      <c r="G278">
        <f>VLOOKUP($B278,Sheet2!$A:$G,7,0)</f>
        <v>75</v>
      </c>
      <c r="H278">
        <f>VLOOKUP($B278,Sheet2!$A:$G,6,0)</f>
        <v>74</v>
      </c>
    </row>
    <row r="279" spans="1:8">
      <c r="A279">
        <v>230732</v>
      </c>
      <c r="B279" t="s">
        <v>286</v>
      </c>
      <c r="C279">
        <f>VLOOKUP($B279,Sheet2!$A:$E,2,0)</f>
        <v>89</v>
      </c>
      <c r="D279">
        <f>VLOOKUP($B279,Sheet2!$A:$E,3,0)</f>
        <v>88</v>
      </c>
      <c r="E279">
        <f>VLOOKUP($B279,Sheet2!$A:$E,4,0)</f>
        <v>100.5</v>
      </c>
      <c r="F279">
        <f>VLOOKUP($B279,Sheet2!$A:$E,5,0)</f>
        <v>86</v>
      </c>
      <c r="G279">
        <f>VLOOKUP($B279,Sheet2!$A:$G,7,0)</f>
        <v>80</v>
      </c>
      <c r="H279">
        <f>VLOOKUP($B279,Sheet2!$A:$G,6,0)</f>
        <v>81</v>
      </c>
    </row>
    <row r="280" spans="1:8">
      <c r="A280">
        <v>230733</v>
      </c>
      <c r="B280" t="s">
        <v>287</v>
      </c>
      <c r="C280">
        <f>VLOOKUP($B280,Sheet2!$A:$E,2,0)</f>
        <v>80</v>
      </c>
      <c r="D280">
        <f>VLOOKUP($B280,Sheet2!$A:$E,3,0)</f>
        <v>90</v>
      </c>
      <c r="E280">
        <f>VLOOKUP($B280,Sheet2!$A:$E,4,0)</f>
        <v>84</v>
      </c>
      <c r="F280">
        <f>VLOOKUP($B280,Sheet2!$A:$E,5,0)</f>
        <v>73</v>
      </c>
      <c r="G280">
        <f>VLOOKUP($B280,Sheet2!$A:$G,7,0)</f>
        <v>55</v>
      </c>
      <c r="H280">
        <f>VLOOKUP($B280,Sheet2!$A:$G,6,0)</f>
        <v>70</v>
      </c>
    </row>
    <row r="281" spans="1:8">
      <c r="A281">
        <v>230734</v>
      </c>
      <c r="B281" t="s">
        <v>288</v>
      </c>
      <c r="C281">
        <f>VLOOKUP($B281,Sheet2!$A:$E,2,0)</f>
        <v>95</v>
      </c>
      <c r="D281">
        <f>VLOOKUP($B281,Sheet2!$A:$E,3,0)</f>
        <v>93</v>
      </c>
      <c r="E281">
        <f>VLOOKUP($B281,Sheet2!$A:$E,4,0)</f>
        <v>104.5</v>
      </c>
      <c r="F281">
        <f>VLOOKUP($B281,Sheet2!$A:$E,5,0)</f>
        <v>87</v>
      </c>
      <c r="G281">
        <f>VLOOKUP($B281,Sheet2!$A:$G,7,0)</f>
        <v>80</v>
      </c>
      <c r="H281">
        <f>VLOOKUP($B281,Sheet2!$A:$G,6,0)</f>
        <v>89</v>
      </c>
    </row>
    <row r="282" spans="1:8">
      <c r="A282">
        <v>230735</v>
      </c>
      <c r="B282" t="s">
        <v>289</v>
      </c>
      <c r="C282">
        <f>VLOOKUP($B282,Sheet2!$A:$E,2,0)</f>
        <v>79</v>
      </c>
      <c r="D282">
        <f>VLOOKUP($B282,Sheet2!$A:$E,3,0)</f>
        <v>89</v>
      </c>
      <c r="E282">
        <f>VLOOKUP($B282,Sheet2!$A:$E,4,0)</f>
        <v>90.5</v>
      </c>
      <c r="F282">
        <f>VLOOKUP($B282,Sheet2!$A:$E,5,0)</f>
        <v>81</v>
      </c>
      <c r="G282">
        <f>VLOOKUP($B282,Sheet2!$A:$G,7,0)</f>
        <v>66</v>
      </c>
      <c r="H282">
        <f>VLOOKUP($B282,Sheet2!$A:$G,6,0)</f>
        <v>72</v>
      </c>
    </row>
    <row r="283" spans="1:8">
      <c r="A283">
        <v>230736</v>
      </c>
      <c r="B283" t="s">
        <v>290</v>
      </c>
      <c r="C283">
        <f>VLOOKUP($B283,Sheet2!$A:$E,2,0)</f>
        <v>101</v>
      </c>
      <c r="D283">
        <f>VLOOKUP($B283,Sheet2!$A:$E,3,0)</f>
        <v>98</v>
      </c>
      <c r="E283">
        <f>VLOOKUP($B283,Sheet2!$A:$E,4,0)</f>
        <v>115.5</v>
      </c>
      <c r="F283">
        <f>VLOOKUP($B283,Sheet2!$A:$E,5,0)</f>
        <v>84</v>
      </c>
      <c r="G283">
        <f>VLOOKUP($B283,Sheet2!$A:$G,7,0)</f>
        <v>80</v>
      </c>
      <c r="H283">
        <f>VLOOKUP($B283,Sheet2!$A:$G,6,0)</f>
        <v>79</v>
      </c>
    </row>
    <row r="284" spans="1:8">
      <c r="A284">
        <v>230737</v>
      </c>
      <c r="B284" t="s">
        <v>291</v>
      </c>
      <c r="C284">
        <f>VLOOKUP($B284,Sheet2!$A:$E,2,0)</f>
        <v>88</v>
      </c>
      <c r="D284">
        <f>VLOOKUP($B284,Sheet2!$A:$E,3,0)</f>
        <v>83</v>
      </c>
      <c r="E284">
        <f>VLOOKUP($B284,Sheet2!$A:$E,4,0)</f>
        <v>101.5</v>
      </c>
      <c r="F284">
        <f>VLOOKUP($B284,Sheet2!$A:$E,5,0)</f>
        <v>82</v>
      </c>
      <c r="G284">
        <f>VLOOKUP($B284,Sheet2!$A:$G,7,0)</f>
        <v>75</v>
      </c>
      <c r="H284">
        <f>VLOOKUP($B284,Sheet2!$A:$G,6,0)</f>
        <v>79</v>
      </c>
    </row>
    <row r="285" spans="1:8">
      <c r="A285">
        <v>230738</v>
      </c>
      <c r="B285" t="s">
        <v>292</v>
      </c>
      <c r="C285">
        <f>VLOOKUP($B285,Sheet2!$A:$E,2,0)</f>
        <v>77</v>
      </c>
      <c r="D285">
        <f>VLOOKUP($B285,Sheet2!$A:$E,3,0)</f>
        <v>50</v>
      </c>
      <c r="E285">
        <f>VLOOKUP($B285,Sheet2!$A:$E,4,0)</f>
        <v>46.5</v>
      </c>
      <c r="F285">
        <f>VLOOKUP($B285,Sheet2!$A:$E,5,0)</f>
        <v>66</v>
      </c>
      <c r="G285">
        <f>VLOOKUP($B285,Sheet2!$A:$G,7,0)</f>
        <v>66</v>
      </c>
      <c r="H285">
        <f>VLOOKUP($B285,Sheet2!$A:$G,6,0)</f>
        <v>69</v>
      </c>
    </row>
    <row r="286" spans="1:8">
      <c r="A286">
        <v>230739</v>
      </c>
      <c r="B286" t="s">
        <v>293</v>
      </c>
      <c r="C286">
        <f>VLOOKUP($B286,Sheet2!$A:$E,2,0)</f>
        <v>89</v>
      </c>
      <c r="D286">
        <f>VLOOKUP($B286,Sheet2!$A:$E,3,0)</f>
        <v>96</v>
      </c>
      <c r="E286">
        <f>VLOOKUP($B286,Sheet2!$A:$E,4,0)</f>
        <v>109</v>
      </c>
      <c r="F286">
        <f>VLOOKUP($B286,Sheet2!$A:$E,5,0)</f>
        <v>84</v>
      </c>
      <c r="G286">
        <f>VLOOKUP($B286,Sheet2!$A:$G,7,0)</f>
        <v>84</v>
      </c>
      <c r="H286">
        <f>VLOOKUP($B286,Sheet2!$A:$G,6,0)</f>
        <v>85</v>
      </c>
    </row>
    <row r="287" spans="1:8">
      <c r="A287">
        <v>230740</v>
      </c>
      <c r="B287" t="s">
        <v>294</v>
      </c>
      <c r="C287">
        <f>VLOOKUP($B287,Sheet2!$A:$E,2,0)</f>
        <v>89</v>
      </c>
      <c r="D287">
        <f>VLOOKUP($B287,Sheet2!$A:$E,3,0)</f>
        <v>79</v>
      </c>
      <c r="E287">
        <f>VLOOKUP($B287,Sheet2!$A:$E,4,0)</f>
        <v>104</v>
      </c>
      <c r="F287">
        <f>VLOOKUP($B287,Sheet2!$A:$E,5,0)</f>
        <v>68</v>
      </c>
      <c r="G287">
        <f>VLOOKUP($B287,Sheet2!$A:$G,7,0)</f>
        <v>76</v>
      </c>
      <c r="H287">
        <f>VLOOKUP($B287,Sheet2!$A:$G,6,0)</f>
        <v>74</v>
      </c>
    </row>
    <row r="288" spans="1:8">
      <c r="A288">
        <v>230741</v>
      </c>
      <c r="B288" t="s">
        <v>295</v>
      </c>
      <c r="C288">
        <f>VLOOKUP($B288,Sheet2!$A:$E,2,0)</f>
        <v>94</v>
      </c>
      <c r="D288">
        <f>VLOOKUP($B288,Sheet2!$A:$E,3,0)</f>
        <v>114</v>
      </c>
      <c r="E288">
        <f>VLOOKUP($B288,Sheet2!$A:$E,4,0)</f>
        <v>113</v>
      </c>
      <c r="F288">
        <f>VLOOKUP($B288,Sheet2!$A:$E,5,0)</f>
        <v>90</v>
      </c>
      <c r="G288">
        <f>VLOOKUP($B288,Sheet2!$A:$G,7,0)</f>
        <v>85</v>
      </c>
      <c r="H288">
        <f>VLOOKUP($B288,Sheet2!$A:$G,6,0)</f>
        <v>89</v>
      </c>
    </row>
    <row r="289" spans="1:8">
      <c r="A289">
        <v>230742</v>
      </c>
      <c r="B289" t="s">
        <v>296</v>
      </c>
      <c r="C289">
        <f>VLOOKUP($B289,Sheet2!$A:$E,2,0)</f>
        <v>96</v>
      </c>
      <c r="D289">
        <f>VLOOKUP($B289,Sheet2!$A:$E,3,0)</f>
        <v>115</v>
      </c>
      <c r="E289">
        <f>VLOOKUP($B289,Sheet2!$A:$E,4,0)</f>
        <v>91</v>
      </c>
      <c r="F289">
        <f>VLOOKUP($B289,Sheet2!$A:$E,5,0)</f>
        <v>83</v>
      </c>
      <c r="G289">
        <f>VLOOKUP($B289,Sheet2!$A:$G,7,0)</f>
        <v>75</v>
      </c>
      <c r="H289">
        <f>VLOOKUP($B289,Sheet2!$A:$G,6,0)</f>
        <v>71</v>
      </c>
    </row>
    <row r="290" spans="1:8">
      <c r="A290">
        <v>230743</v>
      </c>
      <c r="B290" t="s">
        <v>297</v>
      </c>
      <c r="C290">
        <f>VLOOKUP($B290,Sheet2!$A:$E,2,0)</f>
        <v>79</v>
      </c>
      <c r="D290">
        <f>VLOOKUP($B290,Sheet2!$A:$E,3,0)</f>
        <v>64</v>
      </c>
      <c r="E290">
        <f>VLOOKUP($B290,Sheet2!$A:$E,4,0)</f>
        <v>39.5</v>
      </c>
      <c r="F290">
        <f>VLOOKUP($B290,Sheet2!$A:$E,5,0)</f>
        <v>70</v>
      </c>
      <c r="G290">
        <f>VLOOKUP($B290,Sheet2!$A:$G,7,0)</f>
        <v>56</v>
      </c>
      <c r="H290">
        <f>VLOOKUP($B290,Sheet2!$A:$G,6,0)</f>
        <v>55</v>
      </c>
    </row>
    <row r="291" spans="1:8">
      <c r="A291">
        <v>230744</v>
      </c>
      <c r="B291" t="s">
        <v>298</v>
      </c>
      <c r="C291">
        <f>VLOOKUP($B291,Sheet2!$A:$E,2,0)</f>
        <v>106</v>
      </c>
      <c r="D291">
        <f>VLOOKUP($B291,Sheet2!$A:$E,3,0)</f>
        <v>105</v>
      </c>
      <c r="E291">
        <f>VLOOKUP($B291,Sheet2!$A:$E,4,0)</f>
        <v>115</v>
      </c>
      <c r="F291">
        <f>VLOOKUP($B291,Sheet2!$A:$E,5,0)</f>
        <v>85</v>
      </c>
      <c r="G291">
        <f>VLOOKUP($B291,Sheet2!$A:$G,7,0)</f>
        <v>82</v>
      </c>
      <c r="H291">
        <f>VLOOKUP($B291,Sheet2!$A:$G,6,0)</f>
        <v>80</v>
      </c>
    </row>
    <row r="292" spans="1:8">
      <c r="A292">
        <v>230745</v>
      </c>
      <c r="B292" t="s">
        <v>299</v>
      </c>
      <c r="C292">
        <f>VLOOKUP($B292,Sheet2!$A:$E,2,0)</f>
        <v>85</v>
      </c>
      <c r="D292">
        <f>VLOOKUP($B292,Sheet2!$A:$E,3,0)</f>
        <v>100</v>
      </c>
      <c r="E292">
        <f>VLOOKUP($B292,Sheet2!$A:$E,4,0)</f>
        <v>108.5</v>
      </c>
      <c r="F292">
        <f>VLOOKUP($B292,Sheet2!$A:$E,5,0)</f>
        <v>80</v>
      </c>
      <c r="G292">
        <f>VLOOKUP($B292,Sheet2!$A:$G,7,0)</f>
        <v>71</v>
      </c>
      <c r="H292">
        <f>VLOOKUP($B292,Sheet2!$A:$G,6,0)</f>
        <v>71</v>
      </c>
    </row>
    <row r="293" spans="1:8">
      <c r="A293">
        <v>230746</v>
      </c>
      <c r="B293" t="s">
        <v>300</v>
      </c>
      <c r="C293">
        <f>VLOOKUP($B293,Sheet2!$A:$E,2,0)</f>
        <v>97</v>
      </c>
      <c r="D293">
        <f>VLOOKUP($B293,Sheet2!$A:$E,3,0)</f>
        <v>96</v>
      </c>
      <c r="E293">
        <f>VLOOKUP($B293,Sheet2!$A:$E,4,0)</f>
        <v>93</v>
      </c>
      <c r="F293">
        <f>VLOOKUP($B293,Sheet2!$A:$E,5,0)</f>
        <v>86</v>
      </c>
      <c r="G293">
        <f>VLOOKUP($B293,Sheet2!$A:$G,7,0)</f>
        <v>75</v>
      </c>
      <c r="H293">
        <f>VLOOKUP($B293,Sheet2!$A:$G,6,0)</f>
        <v>83</v>
      </c>
    </row>
    <row r="294" spans="1:8">
      <c r="A294">
        <v>230801</v>
      </c>
      <c r="B294" t="s">
        <v>301</v>
      </c>
      <c r="C294">
        <f>VLOOKUP($B294,Sheet2!$A:$E,2,0)</f>
        <v>98.5</v>
      </c>
      <c r="D294">
        <f>VLOOKUP($B294,Sheet2!$A:$E,3,0)</f>
        <v>88</v>
      </c>
      <c r="E294">
        <f>VLOOKUP($B294,Sheet2!$A:$E,4,0)</f>
        <v>86.5</v>
      </c>
      <c r="F294">
        <f>VLOOKUP($B294,Sheet2!$A:$E,5,0)</f>
        <v>77</v>
      </c>
      <c r="G294">
        <f>VLOOKUP($B294,Sheet2!$A:$G,7,0)</f>
        <v>70</v>
      </c>
      <c r="H294">
        <f>VLOOKUP($B294,Sheet2!$A:$G,6,0)</f>
        <v>66</v>
      </c>
    </row>
    <row r="295" spans="1:8">
      <c r="A295">
        <v>230802</v>
      </c>
      <c r="B295" t="s">
        <v>302</v>
      </c>
      <c r="C295">
        <f>VLOOKUP($B295,Sheet2!$A:$E,2,0)</f>
        <v>100</v>
      </c>
      <c r="D295">
        <f>VLOOKUP($B295,Sheet2!$A:$E,3,0)</f>
        <v>101</v>
      </c>
      <c r="E295">
        <f>VLOOKUP($B295,Sheet2!$A:$E,4,0)</f>
        <v>110.5</v>
      </c>
      <c r="F295">
        <f>VLOOKUP($B295,Sheet2!$A:$E,5,0)</f>
        <v>85</v>
      </c>
      <c r="G295">
        <f>VLOOKUP($B295,Sheet2!$A:$G,7,0)</f>
        <v>85</v>
      </c>
      <c r="H295">
        <f>VLOOKUP($B295,Sheet2!$A:$G,6,0)</f>
        <v>82</v>
      </c>
    </row>
    <row r="296" spans="1:8">
      <c r="A296">
        <v>230803</v>
      </c>
      <c r="B296" t="s">
        <v>303</v>
      </c>
      <c r="C296">
        <f>VLOOKUP($B296,Sheet2!$A:$E,2,0)</f>
        <v>82</v>
      </c>
      <c r="D296">
        <f>VLOOKUP($B296,Sheet2!$A:$E,3,0)</f>
        <v>70</v>
      </c>
      <c r="E296">
        <f>VLOOKUP($B296,Sheet2!$A:$E,4,0)</f>
        <v>69</v>
      </c>
      <c r="F296">
        <f>VLOOKUP($B296,Sheet2!$A:$E,5,0)</f>
        <v>70</v>
      </c>
      <c r="G296">
        <f>VLOOKUP($B296,Sheet2!$A:$G,7,0)</f>
        <v>63</v>
      </c>
      <c r="H296">
        <f>VLOOKUP($B296,Sheet2!$A:$G,6,0)</f>
        <v>61</v>
      </c>
    </row>
    <row r="297" spans="1:8">
      <c r="A297">
        <v>230804</v>
      </c>
      <c r="B297" t="s">
        <v>304</v>
      </c>
      <c r="C297">
        <f>VLOOKUP($B297,Sheet2!$A:$E,2,0)</f>
        <v>81</v>
      </c>
      <c r="D297">
        <f>VLOOKUP($B297,Sheet2!$A:$E,3,0)</f>
        <v>100</v>
      </c>
      <c r="E297">
        <f>VLOOKUP($B297,Sheet2!$A:$E,4,0)</f>
        <v>75</v>
      </c>
      <c r="F297">
        <f>VLOOKUP($B297,Sheet2!$A:$E,5,0)</f>
        <v>75</v>
      </c>
      <c r="G297">
        <f>VLOOKUP($B297,Sheet2!$A:$G,7,0)</f>
        <v>54</v>
      </c>
      <c r="H297">
        <f>VLOOKUP($B297,Sheet2!$A:$G,6,0)</f>
        <v>58</v>
      </c>
    </row>
    <row r="298" spans="1:8">
      <c r="A298">
        <v>230805</v>
      </c>
      <c r="B298" t="s">
        <v>305</v>
      </c>
      <c r="C298">
        <f>VLOOKUP($B298,Sheet2!$A:$E,2,0)</f>
        <v>86</v>
      </c>
      <c r="D298">
        <f>VLOOKUP($B298,Sheet2!$A:$E,3,0)</f>
        <v>96</v>
      </c>
      <c r="E298">
        <f>VLOOKUP($B298,Sheet2!$A:$E,4,0)</f>
        <v>100.5</v>
      </c>
      <c r="F298">
        <f>VLOOKUP($B298,Sheet2!$A:$E,5,0)</f>
        <v>84</v>
      </c>
      <c r="G298">
        <f>VLOOKUP($B298,Sheet2!$A:$G,7,0)</f>
        <v>69</v>
      </c>
      <c r="H298">
        <f>VLOOKUP($B298,Sheet2!$A:$G,6,0)</f>
        <v>76</v>
      </c>
    </row>
    <row r="299" spans="1:8">
      <c r="A299">
        <v>230806</v>
      </c>
      <c r="B299" t="s">
        <v>306</v>
      </c>
      <c r="C299">
        <f>VLOOKUP($B299,Sheet2!$A:$E,2,0)</f>
        <v>96</v>
      </c>
      <c r="D299">
        <f>VLOOKUP($B299,Sheet2!$A:$E,3,0)</f>
        <v>91</v>
      </c>
      <c r="E299">
        <f>VLOOKUP($B299,Sheet2!$A:$E,4,0)</f>
        <v>102.5</v>
      </c>
      <c r="F299">
        <f>VLOOKUP($B299,Sheet2!$A:$E,5,0)</f>
        <v>85</v>
      </c>
      <c r="G299">
        <f>VLOOKUP($B299,Sheet2!$A:$G,7,0)</f>
        <v>80</v>
      </c>
      <c r="H299">
        <f>VLOOKUP($B299,Sheet2!$A:$G,6,0)</f>
        <v>81</v>
      </c>
    </row>
    <row r="300" spans="1:8">
      <c r="A300">
        <v>230808</v>
      </c>
      <c r="B300" t="s">
        <v>307</v>
      </c>
      <c r="C300">
        <f>VLOOKUP($B300,Sheet2!$A:$E,2,0)</f>
        <v>93</v>
      </c>
      <c r="D300">
        <f>VLOOKUP($B300,Sheet2!$A:$E,3,0)</f>
        <v>72</v>
      </c>
      <c r="E300">
        <f>VLOOKUP($B300,Sheet2!$A:$E,4,0)</f>
        <v>77.5</v>
      </c>
      <c r="F300">
        <f>VLOOKUP($B300,Sheet2!$A:$E,5,0)</f>
        <v>62</v>
      </c>
      <c r="G300">
        <f>VLOOKUP($B300,Sheet2!$A:$G,7,0)</f>
        <v>66</v>
      </c>
      <c r="H300">
        <f>VLOOKUP($B300,Sheet2!$A:$G,6,0)</f>
        <v>70</v>
      </c>
    </row>
    <row r="301" spans="1:8">
      <c r="A301">
        <v>230809</v>
      </c>
      <c r="B301" t="s">
        <v>308</v>
      </c>
      <c r="C301">
        <f>VLOOKUP($B301,Sheet2!$A:$E,2,0)</f>
        <v>102</v>
      </c>
      <c r="D301">
        <f>VLOOKUP($B301,Sheet2!$A:$E,3,0)</f>
        <v>84</v>
      </c>
      <c r="E301">
        <f>VLOOKUP($B301,Sheet2!$A:$E,4,0)</f>
        <v>98.5</v>
      </c>
      <c r="F301">
        <f>VLOOKUP($B301,Sheet2!$A:$E,5,0)</f>
        <v>82</v>
      </c>
      <c r="G301">
        <f>VLOOKUP($B301,Sheet2!$A:$G,7,0)</f>
        <v>71</v>
      </c>
      <c r="H301">
        <f>VLOOKUP($B301,Sheet2!$A:$G,6,0)</f>
        <v>71</v>
      </c>
    </row>
    <row r="302" spans="1:8">
      <c r="A302">
        <v>230811</v>
      </c>
      <c r="B302" t="s">
        <v>309</v>
      </c>
      <c r="C302">
        <f>VLOOKUP($B302,Sheet2!$A:$E,2,0)</f>
        <v>103</v>
      </c>
      <c r="D302">
        <f>VLOOKUP($B302,Sheet2!$A:$E,3,0)</f>
        <v>109</v>
      </c>
      <c r="E302">
        <f>VLOOKUP($B302,Sheet2!$A:$E,4,0)</f>
        <v>117</v>
      </c>
      <c r="F302">
        <f>VLOOKUP($B302,Sheet2!$A:$E,5,0)</f>
        <v>89</v>
      </c>
      <c r="G302">
        <f>VLOOKUP($B302,Sheet2!$A:$G,7,0)</f>
        <v>80</v>
      </c>
      <c r="H302">
        <f>VLOOKUP($B302,Sheet2!$A:$G,6,0)</f>
        <v>80</v>
      </c>
    </row>
    <row r="303" spans="1:8">
      <c r="A303">
        <v>230812</v>
      </c>
      <c r="B303" t="s">
        <v>310</v>
      </c>
      <c r="C303">
        <f>VLOOKUP($B303,Sheet2!$A:$E,2,0)</f>
        <v>90</v>
      </c>
      <c r="D303">
        <f>VLOOKUP($B303,Sheet2!$A:$E,3,0)</f>
        <v>102</v>
      </c>
      <c r="E303">
        <f>VLOOKUP($B303,Sheet2!$A:$E,4,0)</f>
        <v>91</v>
      </c>
      <c r="F303">
        <f>VLOOKUP($B303,Sheet2!$A:$E,5,0)</f>
        <v>86</v>
      </c>
      <c r="G303">
        <f>VLOOKUP($B303,Sheet2!$A:$G,7,0)</f>
        <v>76</v>
      </c>
      <c r="H303">
        <f>VLOOKUP($B303,Sheet2!$A:$G,6,0)</f>
        <v>74</v>
      </c>
    </row>
    <row r="304" spans="1:8">
      <c r="A304">
        <v>230814</v>
      </c>
      <c r="B304" t="s">
        <v>311</v>
      </c>
      <c r="C304">
        <f>VLOOKUP($B304,Sheet2!$A:$E,2,0)</f>
        <v>101</v>
      </c>
      <c r="D304">
        <f>VLOOKUP($B304,Sheet2!$A:$E,3,0)</f>
        <v>105</v>
      </c>
      <c r="E304">
        <f>VLOOKUP($B304,Sheet2!$A:$E,4,0)</f>
        <v>106.5</v>
      </c>
      <c r="F304">
        <f>VLOOKUP($B304,Sheet2!$A:$E,5,0)</f>
        <v>87</v>
      </c>
      <c r="G304">
        <f>VLOOKUP($B304,Sheet2!$A:$G,7,0)</f>
        <v>75</v>
      </c>
      <c r="H304">
        <f>VLOOKUP($B304,Sheet2!$A:$G,6,0)</f>
        <v>76</v>
      </c>
    </row>
    <row r="305" spans="1:8">
      <c r="A305">
        <v>230815</v>
      </c>
      <c r="B305" t="s">
        <v>312</v>
      </c>
      <c r="C305">
        <f>VLOOKUP($B305,Sheet2!$A:$E,2,0)</f>
        <v>65</v>
      </c>
      <c r="D305">
        <f>VLOOKUP($B305,Sheet2!$A:$E,3,0)</f>
        <v>91</v>
      </c>
      <c r="E305">
        <f>VLOOKUP($B305,Sheet2!$A:$E,4,0)</f>
        <v>52.5</v>
      </c>
      <c r="F305">
        <f>VLOOKUP($B305,Sheet2!$A:$E,5,0)</f>
        <v>77</v>
      </c>
      <c r="G305">
        <f>VLOOKUP($B305,Sheet2!$A:$G,7,0)</f>
        <v>53</v>
      </c>
      <c r="H305">
        <f>VLOOKUP($B305,Sheet2!$A:$G,6,0)</f>
        <v>54</v>
      </c>
    </row>
    <row r="306" spans="1:8">
      <c r="A306">
        <v>230816</v>
      </c>
      <c r="B306" t="s">
        <v>313</v>
      </c>
      <c r="C306">
        <f>VLOOKUP($B306,Sheet2!$A:$E,2,0)</f>
        <v>78</v>
      </c>
      <c r="D306">
        <f>VLOOKUP($B306,Sheet2!$A:$E,3,0)</f>
        <v>68</v>
      </c>
      <c r="E306">
        <f>VLOOKUP($B306,Sheet2!$A:$E,4,0)</f>
        <v>89.5</v>
      </c>
      <c r="F306">
        <f>VLOOKUP($B306,Sheet2!$A:$E,5,0)</f>
        <v>74</v>
      </c>
      <c r="G306">
        <f>VLOOKUP($B306,Sheet2!$A:$G,7,0)</f>
        <v>54</v>
      </c>
      <c r="H306">
        <f>VLOOKUP($B306,Sheet2!$A:$G,6,0)</f>
        <v>45</v>
      </c>
    </row>
    <row r="307" spans="1:8">
      <c r="A307">
        <v>230817</v>
      </c>
      <c r="B307" t="s">
        <v>314</v>
      </c>
      <c r="C307">
        <f>VLOOKUP($B307,Sheet2!$A:$E,2,0)</f>
        <v>97</v>
      </c>
      <c r="D307">
        <f>VLOOKUP($B307,Sheet2!$A:$E,3,0)</f>
        <v>91</v>
      </c>
      <c r="E307">
        <f>VLOOKUP($B307,Sheet2!$A:$E,4,0)</f>
        <v>99.5</v>
      </c>
      <c r="F307">
        <f>VLOOKUP($B307,Sheet2!$A:$E,5,0)</f>
        <v>71</v>
      </c>
      <c r="G307">
        <f>VLOOKUP($B307,Sheet2!$A:$G,7,0)</f>
        <v>71</v>
      </c>
      <c r="H307">
        <f>VLOOKUP($B307,Sheet2!$A:$G,6,0)</f>
        <v>59</v>
      </c>
    </row>
    <row r="308" spans="1:8">
      <c r="A308">
        <v>230818</v>
      </c>
      <c r="B308" t="s">
        <v>315</v>
      </c>
      <c r="C308">
        <f>VLOOKUP($B308,Sheet2!$A:$E,2,0)</f>
        <v>93</v>
      </c>
      <c r="D308">
        <f>VLOOKUP($B308,Sheet2!$A:$E,3,0)</f>
        <v>97</v>
      </c>
      <c r="E308">
        <f>VLOOKUP($B308,Sheet2!$A:$E,4,0)</f>
        <v>86.5</v>
      </c>
      <c r="F308">
        <f>VLOOKUP($B308,Sheet2!$A:$E,5,0)</f>
        <v>79</v>
      </c>
      <c r="G308">
        <f>VLOOKUP($B308,Sheet2!$A:$G,7,0)</f>
        <v>67</v>
      </c>
      <c r="H308">
        <f>VLOOKUP($B308,Sheet2!$A:$G,6,0)</f>
        <v>73</v>
      </c>
    </row>
    <row r="309" spans="1:8">
      <c r="A309">
        <v>230819</v>
      </c>
      <c r="B309" t="s">
        <v>316</v>
      </c>
      <c r="C309">
        <f>VLOOKUP($B309,Sheet2!$A:$E,2,0)</f>
        <v>88</v>
      </c>
      <c r="D309">
        <f>VLOOKUP($B309,Sheet2!$A:$E,3,0)</f>
        <v>97</v>
      </c>
      <c r="E309">
        <f>VLOOKUP($B309,Sheet2!$A:$E,4,0)</f>
        <v>102.5</v>
      </c>
      <c r="F309">
        <f>VLOOKUP($B309,Sheet2!$A:$E,5,0)</f>
        <v>83</v>
      </c>
      <c r="G309">
        <f>VLOOKUP($B309,Sheet2!$A:$G,7,0)</f>
        <v>73</v>
      </c>
      <c r="H309">
        <f>VLOOKUP($B309,Sheet2!$A:$G,6,0)</f>
        <v>75</v>
      </c>
    </row>
    <row r="310" spans="1:8">
      <c r="A310">
        <v>230820</v>
      </c>
      <c r="B310" t="s">
        <v>317</v>
      </c>
      <c r="C310">
        <f>VLOOKUP($B310,Sheet2!$A:$E,2,0)</f>
        <v>89</v>
      </c>
      <c r="D310">
        <f>VLOOKUP($B310,Sheet2!$A:$E,3,0)</f>
        <v>93</v>
      </c>
      <c r="E310">
        <f>VLOOKUP($B310,Sheet2!$A:$E,4,0)</f>
        <v>111</v>
      </c>
      <c r="F310">
        <f>VLOOKUP($B310,Sheet2!$A:$E,5,0)</f>
        <v>83</v>
      </c>
      <c r="G310">
        <f>VLOOKUP($B310,Sheet2!$A:$G,7,0)</f>
        <v>64</v>
      </c>
      <c r="H310">
        <f>VLOOKUP($B310,Sheet2!$A:$G,6,0)</f>
        <v>66</v>
      </c>
    </row>
    <row r="311" spans="1:8">
      <c r="A311">
        <v>230821</v>
      </c>
      <c r="B311" t="s">
        <v>318</v>
      </c>
      <c r="C311">
        <f>VLOOKUP($B311,Sheet2!$A:$E,2,0)</f>
        <v>81</v>
      </c>
      <c r="D311">
        <f>VLOOKUP($B311,Sheet2!$A:$E,3,0)</f>
        <v>85</v>
      </c>
      <c r="E311">
        <f>VLOOKUP($B311,Sheet2!$A:$E,4,0)</f>
        <v>67</v>
      </c>
      <c r="F311">
        <f>VLOOKUP($B311,Sheet2!$A:$E,5,0)</f>
        <v>73</v>
      </c>
      <c r="G311">
        <f>VLOOKUP($B311,Sheet2!$A:$G,7,0)</f>
        <v>62</v>
      </c>
      <c r="H311">
        <f>VLOOKUP($B311,Sheet2!$A:$G,6,0)</f>
        <v>70</v>
      </c>
    </row>
    <row r="312" spans="1:8">
      <c r="A312">
        <v>230822</v>
      </c>
      <c r="B312" t="s">
        <v>319</v>
      </c>
      <c r="C312">
        <f>VLOOKUP($B312,Sheet2!$A:$E,2,0)</f>
        <v>94.5</v>
      </c>
      <c r="D312">
        <f>VLOOKUP($B312,Sheet2!$A:$E,3,0)</f>
        <v>94</v>
      </c>
      <c r="E312">
        <f>VLOOKUP($B312,Sheet2!$A:$E,4,0)</f>
        <v>86</v>
      </c>
      <c r="F312">
        <f>VLOOKUP($B312,Sheet2!$A:$E,5,0)</f>
        <v>75</v>
      </c>
      <c r="G312">
        <f>VLOOKUP($B312,Sheet2!$A:$G,7,0)</f>
        <v>66</v>
      </c>
      <c r="H312">
        <f>VLOOKUP($B312,Sheet2!$A:$G,6,0)</f>
        <v>80</v>
      </c>
    </row>
    <row r="313" spans="1:8">
      <c r="A313">
        <v>230824</v>
      </c>
      <c r="B313" t="s">
        <v>320</v>
      </c>
      <c r="C313">
        <f>VLOOKUP($B313,Sheet2!$A:$E,2,0)</f>
        <v>99.5</v>
      </c>
      <c r="D313">
        <f>VLOOKUP($B313,Sheet2!$A:$E,3,0)</f>
        <v>96</v>
      </c>
      <c r="E313">
        <f>VLOOKUP($B313,Sheet2!$A:$E,4,0)</f>
        <v>105.5</v>
      </c>
      <c r="F313">
        <f>VLOOKUP($B313,Sheet2!$A:$E,5,0)</f>
        <v>84</v>
      </c>
      <c r="G313">
        <f>VLOOKUP($B313,Sheet2!$A:$G,7,0)</f>
        <v>80</v>
      </c>
      <c r="H313">
        <f>VLOOKUP($B313,Sheet2!$A:$G,6,0)</f>
        <v>63</v>
      </c>
    </row>
    <row r="314" spans="1:8">
      <c r="A314">
        <v>230825</v>
      </c>
      <c r="B314" t="s">
        <v>321</v>
      </c>
      <c r="C314">
        <f>VLOOKUP($B314,Sheet2!$A:$E,2,0)</f>
        <v>87</v>
      </c>
      <c r="D314">
        <f>VLOOKUP($B314,Sheet2!$A:$E,3,0)</f>
        <v>102</v>
      </c>
      <c r="E314">
        <f>VLOOKUP($B314,Sheet2!$A:$E,4,0)</f>
        <v>95.5</v>
      </c>
      <c r="F314">
        <f>VLOOKUP($B314,Sheet2!$A:$E,5,0)</f>
        <v>83</v>
      </c>
      <c r="G314">
        <f>VLOOKUP($B314,Sheet2!$A:$G,7,0)</f>
        <v>69</v>
      </c>
      <c r="H314">
        <f>VLOOKUP($B314,Sheet2!$A:$G,6,0)</f>
        <v>71</v>
      </c>
    </row>
    <row r="315" spans="1:8">
      <c r="A315">
        <v>230826</v>
      </c>
      <c r="B315" t="s">
        <v>322</v>
      </c>
      <c r="C315">
        <f>VLOOKUP($B315,Sheet2!$A:$E,2,0)</f>
        <v>92</v>
      </c>
      <c r="D315">
        <f>VLOOKUP($B315,Sheet2!$A:$E,3,0)</f>
        <v>75</v>
      </c>
      <c r="E315">
        <f>VLOOKUP($B315,Sheet2!$A:$E,4,0)</f>
        <v>92.5</v>
      </c>
      <c r="F315">
        <f>VLOOKUP($B315,Sheet2!$A:$E,5,0)</f>
        <v>79</v>
      </c>
      <c r="G315">
        <f>VLOOKUP($B315,Sheet2!$A:$G,7,0)</f>
        <v>69</v>
      </c>
      <c r="H315">
        <f>VLOOKUP($B315,Sheet2!$A:$G,6,0)</f>
        <v>62</v>
      </c>
    </row>
    <row r="316" spans="1:8">
      <c r="A316">
        <v>230827</v>
      </c>
      <c r="B316" t="s">
        <v>323</v>
      </c>
      <c r="C316">
        <f>VLOOKUP($B316,Sheet2!$A:$E,2,0)</f>
        <v>103</v>
      </c>
      <c r="D316">
        <f>VLOOKUP($B316,Sheet2!$A:$E,3,0)</f>
        <v>92</v>
      </c>
      <c r="E316">
        <f>VLOOKUP($B316,Sheet2!$A:$E,4,0)</f>
        <v>109</v>
      </c>
      <c r="F316">
        <f>VLOOKUP($B316,Sheet2!$A:$E,5,0)</f>
        <v>82</v>
      </c>
      <c r="G316">
        <f>VLOOKUP($B316,Sheet2!$A:$G,7,0)</f>
        <v>74</v>
      </c>
      <c r="H316">
        <f>VLOOKUP($B316,Sheet2!$A:$G,6,0)</f>
        <v>79</v>
      </c>
    </row>
    <row r="317" spans="1:8">
      <c r="A317">
        <v>230828</v>
      </c>
      <c r="B317" t="s">
        <v>324</v>
      </c>
      <c r="C317">
        <f>VLOOKUP($B317,Sheet2!$A:$E,2,0)</f>
        <v>80</v>
      </c>
      <c r="D317">
        <f>VLOOKUP($B317,Sheet2!$A:$E,3,0)</f>
        <v>57</v>
      </c>
      <c r="E317">
        <f>VLOOKUP($B317,Sheet2!$A:$E,4,0)</f>
        <v>55.5</v>
      </c>
      <c r="F317">
        <f>VLOOKUP($B317,Sheet2!$A:$E,5,0)</f>
        <v>61</v>
      </c>
      <c r="G317">
        <f>VLOOKUP($B317,Sheet2!$A:$G,7,0)</f>
        <v>71</v>
      </c>
      <c r="H317">
        <f>VLOOKUP($B317,Sheet2!$A:$G,6,0)</f>
        <v>68</v>
      </c>
    </row>
    <row r="318" spans="1:8">
      <c r="A318">
        <v>230829</v>
      </c>
      <c r="B318" t="s">
        <v>325</v>
      </c>
      <c r="C318">
        <f>VLOOKUP($B318,Sheet2!$A:$E,2,0)</f>
        <v>83</v>
      </c>
      <c r="D318">
        <f>VLOOKUP($B318,Sheet2!$A:$E,3,0)</f>
        <v>96</v>
      </c>
      <c r="E318">
        <f>VLOOKUP($B318,Sheet2!$A:$E,4,0)</f>
        <v>95.5</v>
      </c>
      <c r="F318">
        <f>VLOOKUP($B318,Sheet2!$A:$E,5,0)</f>
        <v>83</v>
      </c>
      <c r="G318">
        <f>VLOOKUP($B318,Sheet2!$A:$G,7,0)</f>
        <v>59</v>
      </c>
      <c r="H318">
        <f>VLOOKUP($B318,Sheet2!$A:$G,6,0)</f>
        <v>58</v>
      </c>
    </row>
    <row r="319" spans="1:8">
      <c r="A319">
        <v>230831</v>
      </c>
      <c r="B319" t="s">
        <v>326</v>
      </c>
      <c r="C319">
        <f>VLOOKUP($B319,Sheet2!$A:$E,2,0)</f>
        <v>68</v>
      </c>
      <c r="D319">
        <f>VLOOKUP($B319,Sheet2!$A:$E,3,0)</f>
        <v>67</v>
      </c>
      <c r="E319">
        <f>VLOOKUP($B319,Sheet2!$A:$E,4,0)</f>
        <v>50</v>
      </c>
      <c r="F319">
        <f>VLOOKUP($B319,Sheet2!$A:$E,5,0)</f>
        <v>80</v>
      </c>
      <c r="G319">
        <f>VLOOKUP($B319,Sheet2!$A:$G,7,0)</f>
        <v>66</v>
      </c>
      <c r="H319">
        <f>VLOOKUP($B319,Sheet2!$A:$G,6,0)</f>
        <v>63</v>
      </c>
    </row>
    <row r="320" spans="1:8">
      <c r="A320">
        <v>230832</v>
      </c>
      <c r="B320" t="s">
        <v>327</v>
      </c>
      <c r="C320">
        <f>VLOOKUP($B320,Sheet2!$A:$E,2,0)</f>
        <v>98</v>
      </c>
      <c r="D320">
        <f>VLOOKUP($B320,Sheet2!$A:$E,3,0)</f>
        <v>86</v>
      </c>
      <c r="E320">
        <f>VLOOKUP($B320,Sheet2!$A:$E,4,0)</f>
        <v>78</v>
      </c>
      <c r="F320">
        <f>VLOOKUP($B320,Sheet2!$A:$E,5,0)</f>
        <v>90</v>
      </c>
      <c r="G320">
        <f>VLOOKUP($B320,Sheet2!$A:$G,7,0)</f>
        <v>76</v>
      </c>
      <c r="H320">
        <f>VLOOKUP($B320,Sheet2!$A:$G,6,0)</f>
        <v>74</v>
      </c>
    </row>
    <row r="321" spans="1:8">
      <c r="A321">
        <v>230833</v>
      </c>
      <c r="B321" t="s">
        <v>328</v>
      </c>
      <c r="C321">
        <f>VLOOKUP($B321,Sheet2!$A:$E,2,0)</f>
        <v>76</v>
      </c>
      <c r="D321">
        <f>VLOOKUP($B321,Sheet2!$A:$E,3,0)</f>
        <v>65</v>
      </c>
      <c r="E321">
        <f>VLOOKUP($B321,Sheet2!$A:$E,4,0)</f>
        <v>104.5</v>
      </c>
      <c r="F321">
        <f>VLOOKUP($B321,Sheet2!$A:$E,5,0)</f>
        <v>86</v>
      </c>
      <c r="G321">
        <f>VLOOKUP($B321,Sheet2!$A:$G,7,0)</f>
        <v>68</v>
      </c>
      <c r="H321">
        <f>VLOOKUP($B321,Sheet2!$A:$G,6,0)</f>
        <v>58</v>
      </c>
    </row>
    <row r="322" spans="1:8">
      <c r="A322">
        <v>230834</v>
      </c>
      <c r="B322" t="s">
        <v>329</v>
      </c>
      <c r="C322">
        <f>VLOOKUP($B322,Sheet2!$A:$E,2,0)</f>
        <v>77</v>
      </c>
      <c r="D322">
        <f>VLOOKUP($B322,Sheet2!$A:$E,3,0)</f>
        <v>92</v>
      </c>
      <c r="E322">
        <f>VLOOKUP($B322,Sheet2!$A:$E,4,0)</f>
        <v>108</v>
      </c>
      <c r="F322">
        <f>VLOOKUP($B322,Sheet2!$A:$E,5,0)</f>
        <v>89</v>
      </c>
      <c r="G322">
        <f>VLOOKUP($B322,Sheet2!$A:$G,7,0)</f>
        <v>74</v>
      </c>
      <c r="H322">
        <f>VLOOKUP($B322,Sheet2!$A:$G,6,0)</f>
        <v>71</v>
      </c>
    </row>
    <row r="323" spans="1:8">
      <c r="A323">
        <v>230835</v>
      </c>
      <c r="B323" t="s">
        <v>330</v>
      </c>
      <c r="C323">
        <f>VLOOKUP($B323,Sheet2!$A:$E,2,0)</f>
        <v>90</v>
      </c>
      <c r="D323">
        <f>VLOOKUP($B323,Sheet2!$A:$E,3,0)</f>
        <v>92</v>
      </c>
      <c r="E323">
        <f>VLOOKUP($B323,Sheet2!$A:$E,4,0)</f>
        <v>78.5</v>
      </c>
      <c r="F323">
        <f>VLOOKUP($B323,Sheet2!$A:$E,5,0)</f>
        <v>81</v>
      </c>
      <c r="G323">
        <f>VLOOKUP($B323,Sheet2!$A:$G,7,0)</f>
        <v>67</v>
      </c>
      <c r="H323">
        <f>VLOOKUP($B323,Sheet2!$A:$G,6,0)</f>
        <v>71</v>
      </c>
    </row>
    <row r="324" spans="1:8">
      <c r="A324">
        <v>230836</v>
      </c>
      <c r="B324" t="s">
        <v>331</v>
      </c>
      <c r="C324">
        <f>VLOOKUP($B324,Sheet2!$A:$E,2,0)</f>
        <v>78</v>
      </c>
      <c r="D324">
        <f>VLOOKUP($B324,Sheet2!$A:$E,3,0)</f>
        <v>85</v>
      </c>
      <c r="E324">
        <f>VLOOKUP($B324,Sheet2!$A:$E,4,0)</f>
        <v>95.5</v>
      </c>
      <c r="F324">
        <f>VLOOKUP($B324,Sheet2!$A:$E,5,0)</f>
        <v>81</v>
      </c>
      <c r="G324">
        <f>VLOOKUP($B324,Sheet2!$A:$G,7,0)</f>
        <v>76</v>
      </c>
      <c r="H324">
        <f>VLOOKUP($B324,Sheet2!$A:$G,6,0)</f>
        <v>57</v>
      </c>
    </row>
    <row r="325" spans="1:8">
      <c r="A325">
        <v>230837</v>
      </c>
      <c r="B325" t="s">
        <v>332</v>
      </c>
      <c r="C325">
        <f>VLOOKUP($B325,Sheet2!$A:$E,2,0)</f>
        <v>94.5</v>
      </c>
      <c r="D325">
        <f>VLOOKUP($B325,Sheet2!$A:$E,3,0)</f>
        <v>85</v>
      </c>
      <c r="E325">
        <f>VLOOKUP($B325,Sheet2!$A:$E,4,0)</f>
        <v>98.5</v>
      </c>
      <c r="F325">
        <f>VLOOKUP($B325,Sheet2!$A:$E,5,0)</f>
        <v>82</v>
      </c>
      <c r="G325">
        <f>VLOOKUP($B325,Sheet2!$A:$G,7,0)</f>
        <v>71</v>
      </c>
      <c r="H325">
        <f>VLOOKUP($B325,Sheet2!$A:$G,6,0)</f>
        <v>75</v>
      </c>
    </row>
    <row r="326" spans="1:8">
      <c r="A326">
        <v>230838</v>
      </c>
      <c r="B326" t="s">
        <v>333</v>
      </c>
      <c r="C326">
        <f>VLOOKUP($B326,Sheet2!$A:$E,2,0)</f>
        <v>97</v>
      </c>
      <c r="D326">
        <f>VLOOKUP($B326,Sheet2!$A:$E,3,0)</f>
        <v>88</v>
      </c>
      <c r="E326">
        <f>VLOOKUP($B326,Sheet2!$A:$E,4,0)</f>
        <v>113</v>
      </c>
      <c r="F326">
        <f>VLOOKUP($B326,Sheet2!$A:$E,5,0)</f>
        <v>85</v>
      </c>
      <c r="G326">
        <f>VLOOKUP($B326,Sheet2!$A:$G,7,0)</f>
        <v>70</v>
      </c>
      <c r="H326">
        <f>VLOOKUP($B326,Sheet2!$A:$G,6,0)</f>
        <v>73</v>
      </c>
    </row>
    <row r="327" spans="1:8">
      <c r="A327">
        <v>230839</v>
      </c>
      <c r="B327" t="s">
        <v>334</v>
      </c>
      <c r="C327">
        <f>VLOOKUP($B327,Sheet2!$A:$E,2,0)</f>
        <v>81</v>
      </c>
      <c r="D327">
        <f>VLOOKUP($B327,Sheet2!$A:$E,3,0)</f>
        <v>85</v>
      </c>
      <c r="E327">
        <f>VLOOKUP($B327,Sheet2!$A:$E,4,0)</f>
        <v>103</v>
      </c>
      <c r="F327">
        <f>VLOOKUP($B327,Sheet2!$A:$E,5,0)</f>
        <v>74</v>
      </c>
      <c r="G327">
        <f>VLOOKUP($B327,Sheet2!$A:$G,7,0)</f>
        <v>72</v>
      </c>
      <c r="H327">
        <f>VLOOKUP($B327,Sheet2!$A:$G,6,0)</f>
        <v>61</v>
      </c>
    </row>
    <row r="328" spans="1:8">
      <c r="A328">
        <v>230840</v>
      </c>
      <c r="B328" t="s">
        <v>335</v>
      </c>
      <c r="C328">
        <f>VLOOKUP($B328,Sheet2!$A:$E,2,0)</f>
        <v>97</v>
      </c>
      <c r="D328">
        <f>VLOOKUP($B328,Sheet2!$A:$E,3,0)</f>
        <v>74</v>
      </c>
      <c r="E328">
        <f>VLOOKUP($B328,Sheet2!$A:$E,4,0)</f>
        <v>73.5</v>
      </c>
      <c r="F328">
        <f>VLOOKUP($B328,Sheet2!$A:$E,5,0)</f>
        <v>88</v>
      </c>
      <c r="G328">
        <f>VLOOKUP($B328,Sheet2!$A:$G,7,0)</f>
        <v>68</v>
      </c>
      <c r="H328">
        <f>VLOOKUP($B328,Sheet2!$A:$G,6,0)</f>
        <v>65</v>
      </c>
    </row>
    <row r="329" spans="1:8">
      <c r="A329">
        <v>230841</v>
      </c>
      <c r="B329" t="s">
        <v>336</v>
      </c>
      <c r="C329">
        <f>VLOOKUP($B329,Sheet2!$A:$E,2,0)</f>
        <v>93</v>
      </c>
      <c r="D329">
        <f>VLOOKUP($B329,Sheet2!$A:$E,3,0)</f>
        <v>90</v>
      </c>
      <c r="E329">
        <f>VLOOKUP($B329,Sheet2!$A:$E,4,0)</f>
        <v>98</v>
      </c>
      <c r="F329">
        <f>VLOOKUP($B329,Sheet2!$A:$E,5,0)</f>
        <v>59</v>
      </c>
      <c r="G329">
        <f>VLOOKUP($B329,Sheet2!$A:$G,7,0)</f>
        <v>60</v>
      </c>
      <c r="H329">
        <f>VLOOKUP($B329,Sheet2!$A:$G,6,0)</f>
        <v>59</v>
      </c>
    </row>
    <row r="330" spans="1:8">
      <c r="A330">
        <v>230842</v>
      </c>
      <c r="B330" t="s">
        <v>337</v>
      </c>
      <c r="C330">
        <f>VLOOKUP($B330,Sheet2!$A:$E,2,0)</f>
        <v>98</v>
      </c>
      <c r="D330">
        <f>VLOOKUP($B330,Sheet2!$A:$E,3,0)</f>
        <v>104</v>
      </c>
      <c r="E330">
        <f>VLOOKUP($B330,Sheet2!$A:$E,4,0)</f>
        <v>98.5</v>
      </c>
      <c r="F330">
        <f>VLOOKUP($B330,Sheet2!$A:$E,5,0)</f>
        <v>88</v>
      </c>
      <c r="G330">
        <f>VLOOKUP($B330,Sheet2!$A:$G,7,0)</f>
        <v>72</v>
      </c>
      <c r="H330">
        <f>VLOOKUP($B330,Sheet2!$A:$G,6,0)</f>
        <v>72</v>
      </c>
    </row>
    <row r="331" spans="1:8">
      <c r="A331">
        <v>230843</v>
      </c>
      <c r="B331" t="s">
        <v>338</v>
      </c>
      <c r="C331">
        <f>VLOOKUP($B331,Sheet2!$A:$E,2,0)</f>
        <v>97</v>
      </c>
      <c r="D331">
        <f>VLOOKUP($B331,Sheet2!$A:$E,3,0)</f>
        <v>92</v>
      </c>
      <c r="E331">
        <f>VLOOKUP($B331,Sheet2!$A:$E,4,0)</f>
        <v>107</v>
      </c>
      <c r="F331">
        <f>VLOOKUP($B331,Sheet2!$A:$E,5,0)</f>
        <v>80</v>
      </c>
      <c r="G331">
        <f>VLOOKUP($B331,Sheet2!$A:$G,7,0)</f>
        <v>84</v>
      </c>
      <c r="H331">
        <f>VLOOKUP($B331,Sheet2!$A:$G,6,0)</f>
        <v>78</v>
      </c>
    </row>
    <row r="332" spans="1:8">
      <c r="A332">
        <v>230844</v>
      </c>
      <c r="B332" t="s">
        <v>339</v>
      </c>
      <c r="C332">
        <f>VLOOKUP($B332,Sheet2!$A:$E,2,0)</f>
        <v>90</v>
      </c>
      <c r="D332">
        <f>VLOOKUP($B332,Sheet2!$A:$E,3,0)</f>
        <v>101</v>
      </c>
      <c r="E332">
        <f>VLOOKUP($B332,Sheet2!$A:$E,4,0)</f>
        <v>106</v>
      </c>
      <c r="F332">
        <f>VLOOKUP($B332,Sheet2!$A:$E,5,0)</f>
        <v>90</v>
      </c>
      <c r="G332">
        <f>VLOOKUP($B332,Sheet2!$A:$G,7,0)</f>
        <v>77</v>
      </c>
      <c r="H332">
        <f>VLOOKUP($B332,Sheet2!$A:$G,6,0)</f>
        <v>83</v>
      </c>
    </row>
    <row r="333" spans="1:8">
      <c r="A333">
        <v>230845</v>
      </c>
      <c r="B333" t="s">
        <v>340</v>
      </c>
      <c r="C333">
        <f>VLOOKUP($B333,Sheet2!$A:$E,2,0)</f>
        <v>104</v>
      </c>
      <c r="D333">
        <f>VLOOKUP($B333,Sheet2!$A:$E,3,0)</f>
        <v>90</v>
      </c>
      <c r="E333">
        <f>VLOOKUP($B333,Sheet2!$A:$E,4,0)</f>
        <v>101.5</v>
      </c>
      <c r="F333">
        <f>VLOOKUP($B333,Sheet2!$A:$E,5,0)</f>
        <v>87</v>
      </c>
      <c r="G333">
        <f>VLOOKUP($B333,Sheet2!$A:$G,7,0)</f>
        <v>71</v>
      </c>
      <c r="H333">
        <f>VLOOKUP($B333,Sheet2!$A:$G,6,0)</f>
        <v>79</v>
      </c>
    </row>
    <row r="334" spans="1:8">
      <c r="A334">
        <v>230846</v>
      </c>
      <c r="B334" t="s">
        <v>341</v>
      </c>
      <c r="C334">
        <f>VLOOKUP($B334,Sheet2!$A:$E,2,0)</f>
        <v>81</v>
      </c>
      <c r="D334">
        <f>VLOOKUP($B334,Sheet2!$A:$E,3,0)</f>
        <v>92</v>
      </c>
      <c r="E334">
        <f>VLOOKUP($B334,Sheet2!$A:$E,4,0)</f>
        <v>95</v>
      </c>
      <c r="F334">
        <f>VLOOKUP($B334,Sheet2!$A:$E,5,0)</f>
        <v>82</v>
      </c>
      <c r="G334">
        <f>VLOOKUP($B334,Sheet2!$A:$G,7,0)</f>
        <v>64</v>
      </c>
      <c r="H334">
        <f>VLOOKUP($B334,Sheet2!$A:$G,6,0)</f>
        <v>73</v>
      </c>
    </row>
    <row r="335" spans="1:8">
      <c r="A335">
        <v>230901</v>
      </c>
      <c r="B335" t="s">
        <v>342</v>
      </c>
      <c r="C335">
        <f>VLOOKUP($B335,Sheet2!$A:$E,2,0)</f>
        <v>96.5</v>
      </c>
      <c r="D335">
        <f>VLOOKUP($B335,Sheet2!$A:$E,3,0)</f>
        <v>82</v>
      </c>
      <c r="E335">
        <f>VLOOKUP($B335,Sheet2!$A:$E,4,0)</f>
        <v>87.5</v>
      </c>
      <c r="F335">
        <f>VLOOKUP($B335,Sheet2!$A:$E,5,0)</f>
        <v>83</v>
      </c>
      <c r="G335">
        <f>VLOOKUP($B335,Sheet2!$A:$G,7,0)</f>
        <v>78</v>
      </c>
      <c r="H335">
        <f>VLOOKUP($B335,Sheet2!$A:$G,6,0)</f>
        <v>74</v>
      </c>
    </row>
    <row r="336" spans="1:8">
      <c r="A336">
        <v>230902</v>
      </c>
      <c r="B336" t="s">
        <v>343</v>
      </c>
      <c r="C336">
        <f>VLOOKUP($B336,Sheet2!$A:$E,2,0)</f>
        <v>112</v>
      </c>
      <c r="D336">
        <f>VLOOKUP($B336,Sheet2!$A:$E,3,0)</f>
        <v>97</v>
      </c>
      <c r="E336">
        <f>VLOOKUP($B336,Sheet2!$A:$E,4,0)</f>
        <v>105.5</v>
      </c>
      <c r="F336">
        <f>VLOOKUP($B336,Sheet2!$A:$E,5,0)</f>
        <v>88</v>
      </c>
      <c r="G336">
        <f>VLOOKUP($B336,Sheet2!$A:$G,7,0)</f>
        <v>80</v>
      </c>
      <c r="H336">
        <f>VLOOKUP($B336,Sheet2!$A:$G,6,0)</f>
        <v>81</v>
      </c>
    </row>
    <row r="337" spans="1:8">
      <c r="A337">
        <v>230903</v>
      </c>
      <c r="B337" t="s">
        <v>344</v>
      </c>
      <c r="C337">
        <f>VLOOKUP($B337,Sheet2!$A:$E,2,0)</f>
        <v>86</v>
      </c>
      <c r="D337">
        <f>VLOOKUP($B337,Sheet2!$A:$E,3,0)</f>
        <v>86</v>
      </c>
      <c r="E337">
        <f>VLOOKUP($B337,Sheet2!$A:$E,4,0)</f>
        <v>89</v>
      </c>
      <c r="F337">
        <f>VLOOKUP($B337,Sheet2!$A:$E,5,0)</f>
        <v>80</v>
      </c>
      <c r="G337">
        <f>VLOOKUP($B337,Sheet2!$A:$G,7,0)</f>
        <v>73</v>
      </c>
      <c r="H337">
        <f>VLOOKUP($B337,Sheet2!$A:$G,6,0)</f>
        <v>79</v>
      </c>
    </row>
    <row r="338" spans="1:8">
      <c r="A338">
        <v>230904</v>
      </c>
      <c r="B338" t="s">
        <v>345</v>
      </c>
      <c r="C338">
        <f>VLOOKUP($B338,Sheet2!$A:$E,2,0)</f>
        <v>90</v>
      </c>
      <c r="D338">
        <f>VLOOKUP($B338,Sheet2!$A:$E,3,0)</f>
        <v>92</v>
      </c>
      <c r="E338">
        <f>VLOOKUP($B338,Sheet2!$A:$E,4,0)</f>
        <v>96.5</v>
      </c>
      <c r="F338">
        <f>VLOOKUP($B338,Sheet2!$A:$E,5,0)</f>
        <v>85</v>
      </c>
      <c r="G338">
        <f>VLOOKUP($B338,Sheet2!$A:$G,7,0)</f>
        <v>70</v>
      </c>
      <c r="H338">
        <f>VLOOKUP($B338,Sheet2!$A:$G,6,0)</f>
        <v>71</v>
      </c>
    </row>
    <row r="339" spans="1:8">
      <c r="A339">
        <v>230905</v>
      </c>
      <c r="B339" t="s">
        <v>346</v>
      </c>
      <c r="C339">
        <f>VLOOKUP($B339,Sheet2!$A:$E,2,0)</f>
        <v>93.5</v>
      </c>
      <c r="D339">
        <f>VLOOKUP($B339,Sheet2!$A:$E,3,0)</f>
        <v>93</v>
      </c>
      <c r="E339">
        <f>VLOOKUP($B339,Sheet2!$A:$E,4,0)</f>
        <v>107.5</v>
      </c>
      <c r="F339">
        <f>VLOOKUP($B339,Sheet2!$A:$E,5,0)</f>
        <v>86</v>
      </c>
      <c r="G339">
        <f>VLOOKUP($B339,Sheet2!$A:$G,7,0)</f>
        <v>74</v>
      </c>
      <c r="H339">
        <f>VLOOKUP($B339,Sheet2!$A:$G,6,0)</f>
        <v>82</v>
      </c>
    </row>
    <row r="340" spans="1:8">
      <c r="A340">
        <v>230906</v>
      </c>
      <c r="B340" t="s">
        <v>347</v>
      </c>
      <c r="C340">
        <f>VLOOKUP($B340,Sheet2!$A:$E,2,0)</f>
        <v>85</v>
      </c>
      <c r="D340">
        <f>VLOOKUP($B340,Sheet2!$A:$E,3,0)</f>
        <v>89</v>
      </c>
      <c r="E340">
        <f>VLOOKUP($B340,Sheet2!$A:$E,4,0)</f>
        <v>94</v>
      </c>
      <c r="F340">
        <f>VLOOKUP($B340,Sheet2!$A:$E,5,0)</f>
        <v>79</v>
      </c>
      <c r="G340">
        <f>VLOOKUP($B340,Sheet2!$A:$G,7,0)</f>
        <v>75</v>
      </c>
      <c r="H340">
        <f>VLOOKUP($B340,Sheet2!$A:$G,6,0)</f>
        <v>69</v>
      </c>
    </row>
    <row r="341" spans="1:8">
      <c r="A341">
        <v>230907</v>
      </c>
      <c r="B341" t="s">
        <v>348</v>
      </c>
      <c r="C341">
        <f>VLOOKUP($B341,Sheet2!$A:$E,2,0)</f>
        <v>96</v>
      </c>
      <c r="D341">
        <f>VLOOKUP($B341,Sheet2!$A:$E,3,0)</f>
        <v>86</v>
      </c>
      <c r="E341">
        <f>VLOOKUP($B341,Sheet2!$A:$E,4,0)</f>
        <v>102.5</v>
      </c>
      <c r="F341">
        <f>VLOOKUP($B341,Sheet2!$A:$E,5,0)</f>
        <v>86</v>
      </c>
      <c r="G341">
        <f>VLOOKUP($B341,Sheet2!$A:$G,7,0)</f>
        <v>80</v>
      </c>
      <c r="H341">
        <f>VLOOKUP($B341,Sheet2!$A:$G,6,0)</f>
        <v>86</v>
      </c>
    </row>
    <row r="342" spans="1:8">
      <c r="A342">
        <v>230908</v>
      </c>
      <c r="B342" t="s">
        <v>349</v>
      </c>
      <c r="C342">
        <f>VLOOKUP($B342,Sheet2!$A:$E,2,0)</f>
        <v>94</v>
      </c>
      <c r="D342">
        <f>VLOOKUP($B342,Sheet2!$A:$E,3,0)</f>
        <v>64</v>
      </c>
      <c r="E342">
        <f>VLOOKUP($B342,Sheet2!$A:$E,4,0)</f>
        <v>91.5</v>
      </c>
      <c r="F342">
        <f>VLOOKUP($B342,Sheet2!$A:$E,5,0)</f>
        <v>73</v>
      </c>
      <c r="G342">
        <f>VLOOKUP($B342,Sheet2!$A:$G,7,0)</f>
        <v>72</v>
      </c>
      <c r="H342">
        <f>VLOOKUP($B342,Sheet2!$A:$G,6,0)</f>
        <v>66</v>
      </c>
    </row>
    <row r="343" spans="1:8">
      <c r="A343">
        <v>230909</v>
      </c>
      <c r="B343" t="s">
        <v>350</v>
      </c>
      <c r="C343">
        <f>VLOOKUP($B343,Sheet2!$A:$E,2,0)</f>
        <v>67</v>
      </c>
      <c r="D343">
        <f>VLOOKUP($B343,Sheet2!$A:$E,3,0)</f>
        <v>59</v>
      </c>
      <c r="E343">
        <f>VLOOKUP($B343,Sheet2!$A:$E,4,0)</f>
        <v>62.5</v>
      </c>
      <c r="F343">
        <f>VLOOKUP($B343,Sheet2!$A:$E,5,0)</f>
        <v>56</v>
      </c>
      <c r="G343">
        <f>VLOOKUP($B343,Sheet2!$A:$G,7,0)</f>
        <v>65</v>
      </c>
      <c r="H343">
        <f>VLOOKUP($B343,Sheet2!$A:$G,6,0)</f>
        <v>59</v>
      </c>
    </row>
    <row r="344" spans="1:8">
      <c r="A344">
        <v>230910</v>
      </c>
      <c r="B344" t="s">
        <v>351</v>
      </c>
      <c r="C344">
        <f>VLOOKUP($B344,Sheet2!$A:$E,2,0)</f>
        <v>62</v>
      </c>
      <c r="D344">
        <f>VLOOKUP($B344,Sheet2!$A:$E,3,0)</f>
        <v>49</v>
      </c>
      <c r="E344">
        <f>VLOOKUP($B344,Sheet2!$A:$E,4,0)</f>
        <v>42.5</v>
      </c>
      <c r="F344">
        <f>VLOOKUP($B344,Sheet2!$A:$E,5,0)</f>
        <v>67</v>
      </c>
      <c r="G344">
        <f>VLOOKUP($B344,Sheet2!$A:$G,7,0)</f>
        <v>55</v>
      </c>
      <c r="H344">
        <f>VLOOKUP($B344,Sheet2!$A:$G,6,0)</f>
        <v>52</v>
      </c>
    </row>
    <row r="345" spans="1:8">
      <c r="A345">
        <v>230911</v>
      </c>
      <c r="B345" t="s">
        <v>352</v>
      </c>
      <c r="C345">
        <f>VLOOKUP($B345,Sheet2!$A:$E,2,0)</f>
        <v>81.5</v>
      </c>
      <c r="D345">
        <f>VLOOKUP($B345,Sheet2!$A:$E,3,0)</f>
        <v>66</v>
      </c>
      <c r="E345">
        <f>VLOOKUP($B345,Sheet2!$A:$E,4,0)</f>
        <v>96</v>
      </c>
      <c r="F345">
        <f>VLOOKUP($B345,Sheet2!$A:$E,5,0)</f>
        <v>82</v>
      </c>
      <c r="G345">
        <f>VLOOKUP($B345,Sheet2!$A:$G,7,0)</f>
        <v>63</v>
      </c>
      <c r="H345">
        <f>VLOOKUP($B345,Sheet2!$A:$G,6,0)</f>
        <v>62</v>
      </c>
    </row>
    <row r="346" spans="1:8">
      <c r="A346">
        <v>230912</v>
      </c>
      <c r="B346" t="s">
        <v>353</v>
      </c>
      <c r="C346">
        <f>VLOOKUP($B346,Sheet2!$A:$E,2,0)</f>
        <v>92</v>
      </c>
      <c r="D346">
        <f>VLOOKUP($B346,Sheet2!$A:$E,3,0)</f>
        <v>84</v>
      </c>
      <c r="E346">
        <f>VLOOKUP($B346,Sheet2!$A:$E,4,0)</f>
        <v>94.5</v>
      </c>
      <c r="F346">
        <f>VLOOKUP($B346,Sheet2!$A:$E,5,0)</f>
        <v>84</v>
      </c>
      <c r="G346">
        <f>VLOOKUP($B346,Sheet2!$A:$G,7,0)</f>
        <v>72</v>
      </c>
      <c r="H346">
        <f>VLOOKUP($B346,Sheet2!$A:$G,6,0)</f>
        <v>65</v>
      </c>
    </row>
    <row r="347" spans="1:8">
      <c r="A347">
        <v>230913</v>
      </c>
      <c r="B347" t="s">
        <v>354</v>
      </c>
      <c r="C347">
        <f>VLOOKUP($B347,Sheet2!$A:$E,2,0)</f>
        <v>99</v>
      </c>
      <c r="D347">
        <f>VLOOKUP($B347,Sheet2!$A:$E,3,0)</f>
        <v>92</v>
      </c>
      <c r="E347">
        <f>VLOOKUP($B347,Sheet2!$A:$E,4,0)</f>
        <v>102.5</v>
      </c>
      <c r="F347">
        <f>VLOOKUP($B347,Sheet2!$A:$E,5,0)</f>
        <v>85</v>
      </c>
      <c r="G347">
        <f>VLOOKUP($B347,Sheet2!$A:$G,7,0)</f>
        <v>78</v>
      </c>
      <c r="H347">
        <f>VLOOKUP($B347,Sheet2!$A:$G,6,0)</f>
        <v>74</v>
      </c>
    </row>
    <row r="348" spans="1:8">
      <c r="A348">
        <v>230914</v>
      </c>
      <c r="B348" t="s">
        <v>355</v>
      </c>
      <c r="C348">
        <f>VLOOKUP($B348,Sheet2!$A:$E,2,0)</f>
        <v>80</v>
      </c>
      <c r="D348">
        <f>VLOOKUP($B348,Sheet2!$A:$E,3,0)</f>
        <v>78</v>
      </c>
      <c r="E348">
        <f>VLOOKUP($B348,Sheet2!$A:$E,4,0)</f>
        <v>85</v>
      </c>
      <c r="F348">
        <f>VLOOKUP($B348,Sheet2!$A:$E,5,0)</f>
        <v>84</v>
      </c>
      <c r="G348">
        <f>VLOOKUP($B348,Sheet2!$A:$G,7,0)</f>
        <v>60</v>
      </c>
      <c r="H348">
        <f>VLOOKUP($B348,Sheet2!$A:$G,6,0)</f>
        <v>58</v>
      </c>
    </row>
    <row r="349" spans="1:8">
      <c r="A349">
        <v>230915</v>
      </c>
      <c r="B349" t="s">
        <v>356</v>
      </c>
      <c r="C349">
        <f>VLOOKUP($B349,Sheet2!$A:$E,2,0)</f>
        <v>91</v>
      </c>
      <c r="D349">
        <f>VLOOKUP($B349,Sheet2!$A:$E,3,0)</f>
        <v>62</v>
      </c>
      <c r="E349">
        <f>VLOOKUP($B349,Sheet2!$A:$E,4,0)</f>
        <v>99</v>
      </c>
      <c r="F349">
        <f>VLOOKUP($B349,Sheet2!$A:$E,5,0)</f>
        <v>80</v>
      </c>
      <c r="G349">
        <f>VLOOKUP($B349,Sheet2!$A:$G,7,0)</f>
        <v>72</v>
      </c>
      <c r="H349">
        <f>VLOOKUP($B349,Sheet2!$A:$G,6,0)</f>
        <v>74</v>
      </c>
    </row>
    <row r="350" spans="1:8">
      <c r="A350">
        <v>230916</v>
      </c>
      <c r="B350" t="s">
        <v>357</v>
      </c>
      <c r="C350">
        <f>VLOOKUP($B350,Sheet2!$A:$E,2,0)</f>
        <v>101</v>
      </c>
      <c r="D350">
        <f>VLOOKUP($B350,Sheet2!$A:$E,3,0)</f>
        <v>99</v>
      </c>
      <c r="E350">
        <f>VLOOKUP($B350,Sheet2!$A:$E,4,0)</f>
        <v>107</v>
      </c>
      <c r="F350">
        <f>VLOOKUP($B350,Sheet2!$A:$E,5,0)</f>
        <v>80</v>
      </c>
      <c r="G350">
        <f>VLOOKUP($B350,Sheet2!$A:$G,7,0)</f>
        <v>70</v>
      </c>
      <c r="H350">
        <f>VLOOKUP($B350,Sheet2!$A:$G,6,0)</f>
        <v>75</v>
      </c>
    </row>
    <row r="351" spans="1:8">
      <c r="A351">
        <v>230917</v>
      </c>
      <c r="B351" t="s">
        <v>358</v>
      </c>
      <c r="C351">
        <f>VLOOKUP($B351,Sheet2!$A:$E,2,0)</f>
        <v>95</v>
      </c>
      <c r="D351">
        <f>VLOOKUP($B351,Sheet2!$A:$E,3,0)</f>
        <v>87</v>
      </c>
      <c r="E351">
        <f>VLOOKUP($B351,Sheet2!$A:$E,4,0)</f>
        <v>91</v>
      </c>
      <c r="F351">
        <f>VLOOKUP($B351,Sheet2!$A:$E,5,0)</f>
        <v>81</v>
      </c>
      <c r="G351">
        <f>VLOOKUP($B351,Sheet2!$A:$G,7,0)</f>
        <v>70</v>
      </c>
      <c r="H351">
        <f>VLOOKUP($B351,Sheet2!$A:$G,6,0)</f>
        <v>73</v>
      </c>
    </row>
    <row r="352" spans="1:8">
      <c r="A352">
        <v>230918</v>
      </c>
      <c r="B352" t="s">
        <v>359</v>
      </c>
      <c r="C352">
        <f>VLOOKUP($B352,Sheet2!$A:$E,2,0)</f>
        <v>102</v>
      </c>
      <c r="D352">
        <f>VLOOKUP($B352,Sheet2!$A:$E,3,0)</f>
        <v>89</v>
      </c>
      <c r="E352">
        <f>VLOOKUP($B352,Sheet2!$A:$E,4,0)</f>
        <v>107</v>
      </c>
      <c r="F352">
        <f>VLOOKUP($B352,Sheet2!$A:$E,5,0)</f>
        <v>82</v>
      </c>
      <c r="G352">
        <f>VLOOKUP($B352,Sheet2!$A:$G,7,0)</f>
        <v>73</v>
      </c>
      <c r="H352">
        <f>VLOOKUP($B352,Sheet2!$A:$G,6,0)</f>
        <v>81</v>
      </c>
    </row>
    <row r="353" spans="1:8">
      <c r="A353">
        <v>230919</v>
      </c>
      <c r="B353" t="s">
        <v>360</v>
      </c>
      <c r="C353">
        <f>VLOOKUP($B353,Sheet2!$A:$E,2,0)</f>
        <v>74.5</v>
      </c>
      <c r="D353">
        <f>VLOOKUP($B353,Sheet2!$A:$E,3,0)</f>
        <v>58</v>
      </c>
      <c r="E353">
        <f>VLOOKUP($B353,Sheet2!$A:$E,4,0)</f>
        <v>62.5</v>
      </c>
      <c r="F353">
        <f>VLOOKUP($B353,Sheet2!$A:$E,5,0)</f>
        <v>64</v>
      </c>
      <c r="G353">
        <f>VLOOKUP($B353,Sheet2!$A:$G,7,0)</f>
        <v>47</v>
      </c>
      <c r="H353">
        <f>VLOOKUP($B353,Sheet2!$A:$G,6,0)</f>
        <v>66</v>
      </c>
    </row>
    <row r="354" spans="1:8">
      <c r="A354">
        <v>230920</v>
      </c>
      <c r="B354" t="s">
        <v>361</v>
      </c>
      <c r="C354">
        <f>VLOOKUP($B354,Sheet2!$A:$E,2,0)</f>
        <v>91</v>
      </c>
      <c r="D354">
        <f>VLOOKUP($B354,Sheet2!$A:$E,3,0)</f>
        <v>104</v>
      </c>
      <c r="E354">
        <f>VLOOKUP($B354,Sheet2!$A:$E,4,0)</f>
        <v>89.5</v>
      </c>
      <c r="F354">
        <f>VLOOKUP($B354,Sheet2!$A:$E,5,0)</f>
        <v>85</v>
      </c>
      <c r="G354">
        <f>VLOOKUP($B354,Sheet2!$A:$G,7,0)</f>
        <v>61</v>
      </c>
      <c r="H354">
        <f>VLOOKUP($B354,Sheet2!$A:$G,6,0)</f>
        <v>69</v>
      </c>
    </row>
    <row r="355" spans="1:8">
      <c r="A355">
        <v>230921</v>
      </c>
      <c r="B355" t="s">
        <v>362</v>
      </c>
      <c r="C355">
        <f>VLOOKUP($B355,Sheet2!$A:$E,2,0)</f>
        <v>100</v>
      </c>
      <c r="D355">
        <f>VLOOKUP($B355,Sheet2!$A:$E,3,0)</f>
        <v>95</v>
      </c>
      <c r="E355">
        <f>VLOOKUP($B355,Sheet2!$A:$E,4,0)</f>
        <v>88.5</v>
      </c>
      <c r="F355">
        <f>VLOOKUP($B355,Sheet2!$A:$E,5,0)</f>
        <v>81</v>
      </c>
      <c r="G355">
        <f>VLOOKUP($B355,Sheet2!$A:$G,7,0)</f>
        <v>79</v>
      </c>
      <c r="H355">
        <f>VLOOKUP($B355,Sheet2!$A:$G,6,0)</f>
        <v>83</v>
      </c>
    </row>
    <row r="356" spans="1:8">
      <c r="A356">
        <v>230923</v>
      </c>
      <c r="B356" t="s">
        <v>363</v>
      </c>
      <c r="C356">
        <f>VLOOKUP($B356,Sheet2!$A:$E,2,0)</f>
        <v>97</v>
      </c>
      <c r="D356">
        <f>VLOOKUP($B356,Sheet2!$A:$E,3,0)</f>
        <v>97</v>
      </c>
      <c r="E356">
        <f>VLOOKUP($B356,Sheet2!$A:$E,4,0)</f>
        <v>99.5</v>
      </c>
      <c r="F356">
        <f>VLOOKUP($B356,Sheet2!$A:$E,5,0)</f>
        <v>85</v>
      </c>
      <c r="G356">
        <f>VLOOKUP($B356,Sheet2!$A:$G,7,0)</f>
        <v>71</v>
      </c>
      <c r="H356">
        <f>VLOOKUP($B356,Sheet2!$A:$G,6,0)</f>
        <v>74</v>
      </c>
    </row>
    <row r="357" spans="1:8">
      <c r="A357">
        <v>230924</v>
      </c>
      <c r="B357" t="s">
        <v>364</v>
      </c>
      <c r="C357">
        <f>VLOOKUP($B357,Sheet2!$A:$E,2,0)</f>
        <v>83.5</v>
      </c>
      <c r="D357">
        <f>VLOOKUP($B357,Sheet2!$A:$E,3,0)</f>
        <v>94</v>
      </c>
      <c r="E357">
        <f>VLOOKUP($B357,Sheet2!$A:$E,4,0)</f>
        <v>101.5</v>
      </c>
      <c r="F357">
        <f>VLOOKUP($B357,Sheet2!$A:$E,5,0)</f>
        <v>83</v>
      </c>
      <c r="G357">
        <f>VLOOKUP($B357,Sheet2!$A:$G,7,0)</f>
        <v>66</v>
      </c>
      <c r="H357">
        <f>VLOOKUP($B357,Sheet2!$A:$G,6,0)</f>
        <v>56</v>
      </c>
    </row>
    <row r="358" spans="1:8">
      <c r="A358">
        <v>230925</v>
      </c>
      <c r="B358" t="s">
        <v>365</v>
      </c>
      <c r="C358">
        <f>VLOOKUP($B358,Sheet2!$A:$E,2,0)</f>
        <v>93</v>
      </c>
      <c r="D358">
        <f>VLOOKUP($B358,Sheet2!$A:$E,3,0)</f>
        <v>98</v>
      </c>
      <c r="E358">
        <f>VLOOKUP($B358,Sheet2!$A:$E,4,0)</f>
        <v>115</v>
      </c>
      <c r="F358">
        <f>VLOOKUP($B358,Sheet2!$A:$E,5,0)</f>
        <v>82</v>
      </c>
      <c r="G358">
        <f>VLOOKUP($B358,Sheet2!$A:$G,7,0)</f>
        <v>69</v>
      </c>
      <c r="H358">
        <f>VLOOKUP($B358,Sheet2!$A:$G,6,0)</f>
        <v>56</v>
      </c>
    </row>
    <row r="359" spans="1:8">
      <c r="A359">
        <v>230926</v>
      </c>
      <c r="B359" t="s">
        <v>366</v>
      </c>
      <c r="C359">
        <f>VLOOKUP($B359,Sheet2!$A:$E,2,0)</f>
        <v>93</v>
      </c>
      <c r="D359">
        <f>VLOOKUP($B359,Sheet2!$A:$E,3,0)</f>
        <v>69</v>
      </c>
      <c r="E359">
        <f>VLOOKUP($B359,Sheet2!$A:$E,4,0)</f>
        <v>108.5</v>
      </c>
      <c r="F359">
        <f>VLOOKUP($B359,Sheet2!$A:$E,5,0)</f>
        <v>65</v>
      </c>
      <c r="G359">
        <f>VLOOKUP($B359,Sheet2!$A:$G,7,0)</f>
        <v>67</v>
      </c>
      <c r="H359">
        <f>VLOOKUP($B359,Sheet2!$A:$G,6,0)</f>
        <v>75</v>
      </c>
    </row>
    <row r="360" spans="1:8">
      <c r="A360">
        <v>230927</v>
      </c>
      <c r="B360" t="s">
        <v>367</v>
      </c>
      <c r="C360">
        <f>VLOOKUP($B360,Sheet2!$A:$E,2,0)</f>
        <v>98</v>
      </c>
      <c r="D360">
        <f>VLOOKUP($B360,Sheet2!$A:$E,3,0)</f>
        <v>88</v>
      </c>
      <c r="E360">
        <f>VLOOKUP($B360,Sheet2!$A:$E,4,0)</f>
        <v>98</v>
      </c>
      <c r="F360">
        <f>VLOOKUP($B360,Sheet2!$A:$E,5,0)</f>
        <v>83</v>
      </c>
      <c r="G360">
        <f>VLOOKUP($B360,Sheet2!$A:$G,7,0)</f>
        <v>81</v>
      </c>
      <c r="H360">
        <f>VLOOKUP($B360,Sheet2!$A:$G,6,0)</f>
        <v>72</v>
      </c>
    </row>
    <row r="361" spans="1:8">
      <c r="A361">
        <v>230928</v>
      </c>
      <c r="B361" t="s">
        <v>368</v>
      </c>
      <c r="C361">
        <f>VLOOKUP($B361,Sheet2!$A:$E,2,0)</f>
        <v>85</v>
      </c>
      <c r="D361">
        <f>VLOOKUP($B361,Sheet2!$A:$E,3,0)</f>
        <v>84</v>
      </c>
      <c r="E361">
        <f>VLOOKUP($B361,Sheet2!$A:$E,4,0)</f>
        <v>93</v>
      </c>
      <c r="F361">
        <f>VLOOKUP($B361,Sheet2!$A:$E,5,0)</f>
        <v>70</v>
      </c>
      <c r="G361">
        <f>VLOOKUP($B361,Sheet2!$A:$G,7,0)</f>
        <v>71</v>
      </c>
      <c r="H361">
        <f>VLOOKUP($B361,Sheet2!$A:$G,6,0)</f>
        <v>57</v>
      </c>
    </row>
    <row r="362" spans="1:8">
      <c r="A362">
        <v>230929</v>
      </c>
      <c r="B362" t="s">
        <v>369</v>
      </c>
      <c r="C362">
        <f>VLOOKUP($B362,Sheet2!$A:$E,2,0)</f>
        <v>93</v>
      </c>
      <c r="D362">
        <f>VLOOKUP($B362,Sheet2!$A:$E,3,0)</f>
        <v>96</v>
      </c>
      <c r="E362">
        <f>VLOOKUP($B362,Sheet2!$A:$E,4,0)</f>
        <v>98.5</v>
      </c>
      <c r="F362">
        <f>VLOOKUP($B362,Sheet2!$A:$E,5,0)</f>
        <v>82</v>
      </c>
      <c r="G362">
        <f>VLOOKUP($B362,Sheet2!$A:$G,7,0)</f>
        <v>73</v>
      </c>
      <c r="H362">
        <f>VLOOKUP($B362,Sheet2!$A:$G,6,0)</f>
        <v>72</v>
      </c>
    </row>
    <row r="363" spans="1:8">
      <c r="A363">
        <v>230930</v>
      </c>
      <c r="B363" t="s">
        <v>370</v>
      </c>
      <c r="C363">
        <f>VLOOKUP($B363,Sheet2!$A:$E,2,0)</f>
        <v>87</v>
      </c>
      <c r="D363">
        <f>VLOOKUP($B363,Sheet2!$A:$E,3,0)</f>
        <v>94</v>
      </c>
      <c r="E363">
        <f>VLOOKUP($B363,Sheet2!$A:$E,4,0)</f>
        <v>88.5</v>
      </c>
      <c r="F363">
        <f>VLOOKUP($B363,Sheet2!$A:$E,5,0)</f>
        <v>76</v>
      </c>
      <c r="G363">
        <f>VLOOKUP($B363,Sheet2!$A:$G,7,0)</f>
        <v>74</v>
      </c>
      <c r="H363">
        <f>VLOOKUP($B363,Sheet2!$A:$G,6,0)</f>
        <v>69</v>
      </c>
    </row>
    <row r="364" spans="1:8">
      <c r="A364">
        <v>230931</v>
      </c>
      <c r="B364" t="s">
        <v>371</v>
      </c>
      <c r="C364">
        <f>VLOOKUP($B364,Sheet2!$A:$E,2,0)</f>
        <v>88</v>
      </c>
      <c r="D364">
        <f>VLOOKUP($B364,Sheet2!$A:$E,3,0)</f>
        <v>75</v>
      </c>
      <c r="E364">
        <f>VLOOKUP($B364,Sheet2!$A:$E,4,0)</f>
        <v>78.5</v>
      </c>
      <c r="F364">
        <f>VLOOKUP($B364,Sheet2!$A:$E,5,0)</f>
        <v>72</v>
      </c>
      <c r="G364">
        <f>VLOOKUP($B364,Sheet2!$A:$G,7,0)</f>
        <v>71</v>
      </c>
      <c r="H364">
        <f>VLOOKUP($B364,Sheet2!$A:$G,6,0)</f>
        <v>59</v>
      </c>
    </row>
    <row r="365" spans="1:8">
      <c r="A365">
        <v>230932</v>
      </c>
      <c r="B365" t="s">
        <v>372</v>
      </c>
      <c r="C365">
        <f>VLOOKUP($B365,Sheet2!$A:$E,2,0)</f>
        <v>79</v>
      </c>
      <c r="D365">
        <f>VLOOKUP($B365,Sheet2!$A:$E,3,0)</f>
        <v>86</v>
      </c>
      <c r="E365">
        <f>VLOOKUP($B365,Sheet2!$A:$E,4,0)</f>
        <v>89</v>
      </c>
      <c r="F365">
        <f>VLOOKUP($B365,Sheet2!$A:$E,5,0)</f>
        <v>69</v>
      </c>
      <c r="G365">
        <f>VLOOKUP($B365,Sheet2!$A:$G,7,0)</f>
        <v>67</v>
      </c>
      <c r="H365">
        <f>VLOOKUP($B365,Sheet2!$A:$G,6,0)</f>
        <v>70</v>
      </c>
    </row>
    <row r="366" spans="1:8">
      <c r="A366">
        <v>230933</v>
      </c>
      <c r="B366" t="s">
        <v>373</v>
      </c>
      <c r="C366">
        <f>VLOOKUP($B366,Sheet2!$A:$E,2,0)</f>
        <v>70.5</v>
      </c>
      <c r="D366">
        <f>VLOOKUP($B366,Sheet2!$A:$E,3,0)</f>
        <v>57</v>
      </c>
      <c r="E366">
        <f>VLOOKUP($B366,Sheet2!$A:$E,4,0)</f>
        <v>77.5</v>
      </c>
      <c r="F366">
        <f>VLOOKUP($B366,Sheet2!$A:$E,5,0)</f>
        <v>74</v>
      </c>
      <c r="G366">
        <f>VLOOKUP($B366,Sheet2!$A:$G,7,0)</f>
        <v>58</v>
      </c>
      <c r="H366">
        <f>VLOOKUP($B366,Sheet2!$A:$G,6,0)</f>
        <v>60</v>
      </c>
    </row>
    <row r="367" spans="1:8">
      <c r="A367">
        <v>230934</v>
      </c>
      <c r="B367" t="s">
        <v>374</v>
      </c>
      <c r="C367">
        <f>VLOOKUP($B367,Sheet2!$A:$E,2,0)</f>
        <v>98</v>
      </c>
      <c r="D367">
        <f>VLOOKUP($B367,Sheet2!$A:$E,3,0)</f>
        <v>89</v>
      </c>
      <c r="E367">
        <f>VLOOKUP($B367,Sheet2!$A:$E,4,0)</f>
        <v>110.5</v>
      </c>
      <c r="F367">
        <f>VLOOKUP($B367,Sheet2!$A:$E,5,0)</f>
        <v>86</v>
      </c>
      <c r="G367">
        <f>VLOOKUP($B367,Sheet2!$A:$G,7,0)</f>
        <v>78</v>
      </c>
      <c r="H367">
        <f>VLOOKUP($B367,Sheet2!$A:$G,6,0)</f>
        <v>77</v>
      </c>
    </row>
    <row r="368" spans="1:8">
      <c r="A368">
        <v>230935</v>
      </c>
      <c r="B368" t="s">
        <v>375</v>
      </c>
      <c r="C368">
        <f>VLOOKUP($B368,Sheet2!$A:$E,2,0)</f>
        <v>89</v>
      </c>
      <c r="D368">
        <f>VLOOKUP($B368,Sheet2!$A:$E,3,0)</f>
        <v>88</v>
      </c>
      <c r="E368">
        <f>VLOOKUP($B368,Sheet2!$A:$E,4,0)</f>
        <v>93.5</v>
      </c>
      <c r="F368">
        <f>VLOOKUP($B368,Sheet2!$A:$E,5,0)</f>
        <v>81</v>
      </c>
      <c r="G368">
        <f>VLOOKUP($B368,Sheet2!$A:$G,7,0)</f>
        <v>76</v>
      </c>
      <c r="H368">
        <f>VLOOKUP($B368,Sheet2!$A:$G,6,0)</f>
        <v>80</v>
      </c>
    </row>
    <row r="369" spans="1:8">
      <c r="A369">
        <v>230936</v>
      </c>
      <c r="B369" t="s">
        <v>376</v>
      </c>
      <c r="C369">
        <f>VLOOKUP($B369,Sheet2!$A:$E,2,0)</f>
        <v>101</v>
      </c>
      <c r="D369">
        <f>VLOOKUP($B369,Sheet2!$A:$E,3,0)</f>
        <v>95</v>
      </c>
      <c r="E369">
        <f>VLOOKUP($B369,Sheet2!$A:$E,4,0)</f>
        <v>99.5</v>
      </c>
      <c r="F369">
        <f>VLOOKUP($B369,Sheet2!$A:$E,5,0)</f>
        <v>78</v>
      </c>
      <c r="G369">
        <f>VLOOKUP($B369,Sheet2!$A:$G,7,0)</f>
        <v>76</v>
      </c>
      <c r="H369">
        <f>VLOOKUP($B369,Sheet2!$A:$G,6,0)</f>
        <v>79</v>
      </c>
    </row>
    <row r="370" spans="1:8">
      <c r="A370">
        <v>230937</v>
      </c>
      <c r="B370" t="s">
        <v>377</v>
      </c>
      <c r="C370">
        <f>VLOOKUP($B370,Sheet2!$A:$E,2,0)</f>
        <v>75</v>
      </c>
      <c r="D370">
        <f>VLOOKUP($B370,Sheet2!$A:$E,3,0)</f>
        <v>84</v>
      </c>
      <c r="E370">
        <f>VLOOKUP($B370,Sheet2!$A:$E,4,0)</f>
        <v>92</v>
      </c>
      <c r="F370">
        <f>VLOOKUP($B370,Sheet2!$A:$E,5,0)</f>
        <v>76</v>
      </c>
      <c r="G370">
        <f>VLOOKUP($B370,Sheet2!$A:$G,7,0)</f>
        <v>74</v>
      </c>
      <c r="H370">
        <f>VLOOKUP($B370,Sheet2!$A:$G,6,0)</f>
        <v>71</v>
      </c>
    </row>
    <row r="371" spans="1:8">
      <c r="A371">
        <v>230938</v>
      </c>
      <c r="B371" t="s">
        <v>378</v>
      </c>
      <c r="C371">
        <f>VLOOKUP($B371,Sheet2!$A:$E,2,0)</f>
        <v>90</v>
      </c>
      <c r="D371">
        <f>VLOOKUP($B371,Sheet2!$A:$E,3,0)</f>
        <v>107</v>
      </c>
      <c r="E371">
        <f>VLOOKUP($B371,Sheet2!$A:$E,4,0)</f>
        <v>96</v>
      </c>
      <c r="F371">
        <f>VLOOKUP($B371,Sheet2!$A:$E,5,0)</f>
        <v>89</v>
      </c>
      <c r="G371">
        <f>VLOOKUP($B371,Sheet2!$A:$G,7,0)</f>
        <v>71</v>
      </c>
      <c r="H371">
        <f>VLOOKUP($B371,Sheet2!$A:$G,6,0)</f>
        <v>77</v>
      </c>
    </row>
    <row r="372" spans="1:8">
      <c r="A372">
        <v>230939</v>
      </c>
      <c r="B372" t="s">
        <v>379</v>
      </c>
      <c r="C372">
        <f>VLOOKUP($B372,Sheet2!$A:$E,2,0)</f>
        <v>77</v>
      </c>
      <c r="D372">
        <f>VLOOKUP($B372,Sheet2!$A:$E,3,0)</f>
        <v>80</v>
      </c>
      <c r="E372">
        <f>VLOOKUP($B372,Sheet2!$A:$E,4,0)</f>
        <v>86</v>
      </c>
      <c r="F372">
        <f>VLOOKUP($B372,Sheet2!$A:$E,5,0)</f>
        <v>60</v>
      </c>
      <c r="G372">
        <f>VLOOKUP($B372,Sheet2!$A:$G,7,0)</f>
        <v>62</v>
      </c>
      <c r="H372">
        <f>VLOOKUP($B372,Sheet2!$A:$G,6,0)</f>
        <v>69</v>
      </c>
    </row>
    <row r="373" spans="1:8">
      <c r="A373">
        <v>230940</v>
      </c>
      <c r="B373" t="s">
        <v>380</v>
      </c>
      <c r="C373">
        <f>VLOOKUP($B373,Sheet2!$A:$E,2,0)</f>
        <v>73</v>
      </c>
      <c r="D373">
        <f>VLOOKUP($B373,Sheet2!$A:$E,3,0)</f>
        <v>72</v>
      </c>
      <c r="E373">
        <f>VLOOKUP($B373,Sheet2!$A:$E,4,0)</f>
        <v>95.5</v>
      </c>
      <c r="F373">
        <f>VLOOKUP($B373,Sheet2!$A:$E,5,0)</f>
        <v>71</v>
      </c>
      <c r="G373">
        <f>VLOOKUP($B373,Sheet2!$A:$G,7,0)</f>
        <v>69</v>
      </c>
      <c r="H373">
        <f>VLOOKUP($B373,Sheet2!$A:$G,6,0)</f>
        <v>62</v>
      </c>
    </row>
    <row r="374" spans="1:8">
      <c r="A374">
        <v>230941</v>
      </c>
      <c r="B374" t="s">
        <v>381</v>
      </c>
      <c r="C374">
        <f>VLOOKUP($B374,Sheet2!$A:$E,2,0)</f>
        <v>90</v>
      </c>
      <c r="D374">
        <f>VLOOKUP($B374,Sheet2!$A:$E,3,0)</f>
        <v>94</v>
      </c>
      <c r="E374">
        <f>VLOOKUP($B374,Sheet2!$A:$E,4,0)</f>
        <v>97.5</v>
      </c>
      <c r="F374">
        <f>VLOOKUP($B374,Sheet2!$A:$E,5,0)</f>
        <v>71</v>
      </c>
      <c r="G374">
        <f>VLOOKUP($B374,Sheet2!$A:$G,7,0)</f>
        <v>61</v>
      </c>
      <c r="H374">
        <f>VLOOKUP($B374,Sheet2!$A:$G,6,0)</f>
        <v>78</v>
      </c>
    </row>
    <row r="375" spans="1:8">
      <c r="A375">
        <v>230942</v>
      </c>
      <c r="B375" t="s">
        <v>382</v>
      </c>
      <c r="C375">
        <f>VLOOKUP($B375,Sheet2!$A:$E,2,0)</f>
        <v>83</v>
      </c>
      <c r="D375">
        <f>VLOOKUP($B375,Sheet2!$A:$E,3,0)</f>
        <v>94</v>
      </c>
      <c r="E375">
        <f>VLOOKUP($B375,Sheet2!$A:$E,4,0)</f>
        <v>96</v>
      </c>
      <c r="F375">
        <f>VLOOKUP($B375,Sheet2!$A:$E,5,0)</f>
        <v>76</v>
      </c>
      <c r="G375">
        <f>VLOOKUP($B375,Sheet2!$A:$G,7,0)</f>
        <v>76</v>
      </c>
      <c r="H375">
        <f>VLOOKUP($B375,Sheet2!$A:$G,6,0)</f>
        <v>74</v>
      </c>
    </row>
    <row r="376" spans="1:8">
      <c r="A376">
        <v>230943</v>
      </c>
      <c r="B376" t="s">
        <v>383</v>
      </c>
      <c r="C376">
        <f>VLOOKUP($B376,Sheet2!$A:$E,2,0)</f>
        <v>96</v>
      </c>
      <c r="D376">
        <f>VLOOKUP($B376,Sheet2!$A:$E,3,0)</f>
        <v>92</v>
      </c>
      <c r="E376">
        <f>VLOOKUP($B376,Sheet2!$A:$E,4,0)</f>
        <v>81</v>
      </c>
      <c r="F376">
        <f>VLOOKUP($B376,Sheet2!$A:$E,5,0)</f>
        <v>80</v>
      </c>
      <c r="G376">
        <f>VLOOKUP($B376,Sheet2!$A:$G,7,0)</f>
        <v>74</v>
      </c>
      <c r="H376">
        <f>VLOOKUP($B376,Sheet2!$A:$G,6,0)</f>
        <v>78</v>
      </c>
    </row>
    <row r="377" spans="1:8">
      <c r="A377">
        <v>230944</v>
      </c>
      <c r="B377" t="s">
        <v>384</v>
      </c>
      <c r="C377">
        <f>VLOOKUP($B377,Sheet2!$A:$E,2,0)</f>
        <v>93</v>
      </c>
      <c r="D377">
        <f>VLOOKUP($B377,Sheet2!$A:$E,3,0)</f>
        <v>81</v>
      </c>
      <c r="E377">
        <f>VLOOKUP($B377,Sheet2!$A:$E,4,0)</f>
        <v>99</v>
      </c>
      <c r="F377">
        <f>VLOOKUP($B377,Sheet2!$A:$E,5,0)</f>
        <v>77</v>
      </c>
      <c r="G377">
        <f>VLOOKUP($B377,Sheet2!$A:$G,7,0)</f>
        <v>70</v>
      </c>
      <c r="H377">
        <f>VLOOKUP($B377,Sheet2!$A:$G,6,0)</f>
        <v>61</v>
      </c>
    </row>
    <row r="378" spans="1:8">
      <c r="A378">
        <v>230945</v>
      </c>
      <c r="B378" t="s">
        <v>385</v>
      </c>
      <c r="C378">
        <f>VLOOKUP($B378,Sheet2!$A:$E,2,0)</f>
        <v>87.5</v>
      </c>
      <c r="D378">
        <f>VLOOKUP($B378,Sheet2!$A:$E,3,0)</f>
        <v>96</v>
      </c>
      <c r="E378">
        <f>VLOOKUP($B378,Sheet2!$A:$E,4,0)</f>
        <v>99.5</v>
      </c>
      <c r="F378">
        <f>VLOOKUP($B378,Sheet2!$A:$E,5,0)</f>
        <v>81</v>
      </c>
      <c r="G378">
        <f>VLOOKUP($B378,Sheet2!$A:$G,7,0)</f>
        <v>71</v>
      </c>
      <c r="H378">
        <f>VLOOKUP($B378,Sheet2!$A:$G,6,0)</f>
        <v>85</v>
      </c>
    </row>
    <row r="379" spans="1:8">
      <c r="A379">
        <v>230946</v>
      </c>
      <c r="B379" t="s">
        <v>386</v>
      </c>
      <c r="C379">
        <f>VLOOKUP($B379,Sheet2!$A:$E,2,0)</f>
        <v>86</v>
      </c>
      <c r="D379">
        <f>VLOOKUP($B379,Sheet2!$A:$E,3,0)</f>
        <v>78</v>
      </c>
      <c r="E379">
        <f>VLOOKUP($B379,Sheet2!$A:$E,4,0)</f>
        <v>103</v>
      </c>
      <c r="F379">
        <f>VLOOKUP($B379,Sheet2!$A:$E,5,0)</f>
        <v>73</v>
      </c>
      <c r="G379">
        <f>VLOOKUP($B379,Sheet2!$A:$G,7,0)</f>
        <v>59</v>
      </c>
      <c r="H379">
        <f>VLOOKUP($B379,Sheet2!$A:$G,6,0)</f>
        <v>63</v>
      </c>
    </row>
    <row r="380" spans="1:8">
      <c r="A380">
        <v>231001</v>
      </c>
      <c r="B380" t="s">
        <v>387</v>
      </c>
      <c r="C380">
        <f>VLOOKUP($B380,Sheet2!$A:$E,2,0)</f>
        <v>96</v>
      </c>
      <c r="D380">
        <f>VLOOKUP($B380,Sheet2!$A:$E,3,0)</f>
        <v>103</v>
      </c>
      <c r="E380">
        <f>VLOOKUP($B380,Sheet2!$A:$E,4,0)</f>
        <v>105</v>
      </c>
      <c r="F380">
        <f>VLOOKUP($B380,Sheet2!$A:$E,5,0)</f>
        <v>80</v>
      </c>
      <c r="G380">
        <f>VLOOKUP($B380,Sheet2!$A:$G,7,0)</f>
        <v>74</v>
      </c>
      <c r="H380">
        <f>VLOOKUP($B380,Sheet2!$A:$G,6,0)</f>
        <v>81</v>
      </c>
    </row>
    <row r="381" spans="1:8">
      <c r="A381">
        <v>231003</v>
      </c>
      <c r="B381" t="s">
        <v>388</v>
      </c>
      <c r="C381">
        <f>VLOOKUP($B381,Sheet2!$A:$E,2,0)</f>
        <v>104</v>
      </c>
      <c r="D381">
        <f>VLOOKUP($B381,Sheet2!$A:$E,3,0)</f>
        <v>102</v>
      </c>
      <c r="E381">
        <f>VLOOKUP($B381,Sheet2!$A:$E,4,0)</f>
        <v>106.5</v>
      </c>
      <c r="F381">
        <f>VLOOKUP($B381,Sheet2!$A:$E,5,0)</f>
        <v>88</v>
      </c>
      <c r="G381">
        <f>VLOOKUP($B381,Sheet2!$A:$G,7,0)</f>
        <v>74</v>
      </c>
      <c r="H381">
        <f>VLOOKUP($B381,Sheet2!$A:$G,6,0)</f>
        <v>81</v>
      </c>
    </row>
    <row r="382" spans="1:8">
      <c r="A382">
        <v>231004</v>
      </c>
      <c r="B382" t="s">
        <v>389</v>
      </c>
      <c r="C382">
        <f>VLOOKUP($B382,Sheet2!$A:$E,2,0)</f>
        <v>93</v>
      </c>
      <c r="D382">
        <f>VLOOKUP($B382,Sheet2!$A:$E,3,0)</f>
        <v>109</v>
      </c>
      <c r="E382">
        <f>VLOOKUP($B382,Sheet2!$A:$E,4,0)</f>
        <v>108</v>
      </c>
      <c r="F382">
        <f>VLOOKUP($B382,Sheet2!$A:$E,5,0)</f>
        <v>83</v>
      </c>
      <c r="G382">
        <f>VLOOKUP($B382,Sheet2!$A:$G,7,0)</f>
        <v>83</v>
      </c>
      <c r="H382">
        <f>VLOOKUP($B382,Sheet2!$A:$G,6,0)</f>
        <v>76</v>
      </c>
    </row>
    <row r="383" spans="1:8">
      <c r="A383">
        <v>231005</v>
      </c>
      <c r="B383" t="s">
        <v>390</v>
      </c>
      <c r="C383">
        <f>VLOOKUP($B383,Sheet2!$A:$E,2,0)</f>
        <v>109</v>
      </c>
      <c r="D383">
        <f>VLOOKUP($B383,Sheet2!$A:$E,3,0)</f>
        <v>95</v>
      </c>
      <c r="E383">
        <f>VLOOKUP($B383,Sheet2!$A:$E,4,0)</f>
        <v>106</v>
      </c>
      <c r="F383">
        <f>VLOOKUP($B383,Sheet2!$A:$E,5,0)</f>
        <v>87</v>
      </c>
      <c r="G383">
        <f>VLOOKUP($B383,Sheet2!$A:$G,7,0)</f>
        <v>80</v>
      </c>
      <c r="H383">
        <f>VLOOKUP($B383,Sheet2!$A:$G,6,0)</f>
        <v>88</v>
      </c>
    </row>
    <row r="384" spans="1:8">
      <c r="A384">
        <v>231006</v>
      </c>
      <c r="B384" t="s">
        <v>391</v>
      </c>
      <c r="C384">
        <f>VLOOKUP($B384,Sheet2!$A:$E,2,0)</f>
        <v>88</v>
      </c>
      <c r="D384">
        <f>VLOOKUP($B384,Sheet2!$A:$E,3,0)</f>
        <v>98</v>
      </c>
      <c r="E384">
        <f>VLOOKUP($B384,Sheet2!$A:$E,4,0)</f>
        <v>91</v>
      </c>
      <c r="F384">
        <f>VLOOKUP($B384,Sheet2!$A:$E,5,0)</f>
        <v>84</v>
      </c>
      <c r="G384">
        <f>VLOOKUP($B384,Sheet2!$A:$G,7,0)</f>
        <v>79</v>
      </c>
      <c r="H384">
        <f>VLOOKUP($B384,Sheet2!$A:$G,6,0)</f>
        <v>72</v>
      </c>
    </row>
    <row r="385" spans="1:8">
      <c r="A385">
        <v>231008</v>
      </c>
      <c r="B385" t="s">
        <v>392</v>
      </c>
      <c r="C385">
        <f>VLOOKUP($B385,Sheet2!$A:$E,2,0)</f>
        <v>96</v>
      </c>
      <c r="D385">
        <f>VLOOKUP($B385,Sheet2!$A:$E,3,0)</f>
        <v>106</v>
      </c>
      <c r="E385">
        <f>VLOOKUP($B385,Sheet2!$A:$E,4,0)</f>
        <v>112.5</v>
      </c>
      <c r="F385">
        <f>VLOOKUP($B385,Sheet2!$A:$E,5,0)</f>
        <v>78</v>
      </c>
      <c r="G385">
        <f>VLOOKUP($B385,Sheet2!$A:$G,7,0)</f>
        <v>72</v>
      </c>
      <c r="H385">
        <f>VLOOKUP($B385,Sheet2!$A:$G,6,0)</f>
        <v>69</v>
      </c>
    </row>
    <row r="386" spans="1:8">
      <c r="A386">
        <v>231010</v>
      </c>
      <c r="B386" t="s">
        <v>393</v>
      </c>
      <c r="C386">
        <f>VLOOKUP($B386,Sheet2!$A:$E,2,0)</f>
        <v>91</v>
      </c>
      <c r="D386">
        <f>VLOOKUP($B386,Sheet2!$A:$E,3,0)</f>
        <v>97</v>
      </c>
      <c r="E386">
        <f>VLOOKUP($B386,Sheet2!$A:$E,4,0)</f>
        <v>87.5</v>
      </c>
      <c r="F386">
        <f>VLOOKUP($B386,Sheet2!$A:$E,5,0)</f>
        <v>81</v>
      </c>
      <c r="G386">
        <f>VLOOKUP($B386,Sheet2!$A:$G,7,0)</f>
        <v>67</v>
      </c>
      <c r="H386">
        <f>VLOOKUP($B386,Sheet2!$A:$G,6,0)</f>
        <v>75</v>
      </c>
    </row>
    <row r="387" spans="1:8">
      <c r="A387">
        <v>231011</v>
      </c>
      <c r="B387" t="s">
        <v>394</v>
      </c>
      <c r="C387">
        <f>VLOOKUP($B387,Sheet2!$A:$E,2,0)</f>
        <v>108</v>
      </c>
      <c r="D387">
        <f>VLOOKUP($B387,Sheet2!$A:$E,3,0)</f>
        <v>91</v>
      </c>
      <c r="E387">
        <f>VLOOKUP($B387,Sheet2!$A:$E,4,0)</f>
        <v>109.5</v>
      </c>
      <c r="F387">
        <f>VLOOKUP($B387,Sheet2!$A:$E,5,0)</f>
        <v>77</v>
      </c>
      <c r="G387">
        <f>VLOOKUP($B387,Sheet2!$A:$G,7,0)</f>
        <v>64</v>
      </c>
      <c r="H387">
        <f>VLOOKUP($B387,Sheet2!$A:$G,6,0)</f>
        <v>83</v>
      </c>
    </row>
    <row r="388" spans="1:8">
      <c r="A388">
        <v>231012</v>
      </c>
      <c r="B388" t="s">
        <v>395</v>
      </c>
      <c r="C388">
        <f>VLOOKUP($B388,Sheet2!$A:$E,2,0)</f>
        <v>105</v>
      </c>
      <c r="D388">
        <f>VLOOKUP($B388,Sheet2!$A:$E,3,0)</f>
        <v>99</v>
      </c>
      <c r="E388">
        <f>VLOOKUP($B388,Sheet2!$A:$E,4,0)</f>
        <v>110</v>
      </c>
      <c r="F388">
        <f>VLOOKUP($B388,Sheet2!$A:$E,5,0)</f>
        <v>88</v>
      </c>
      <c r="G388">
        <f>VLOOKUP($B388,Sheet2!$A:$G,7,0)</f>
        <v>84</v>
      </c>
      <c r="H388">
        <f>VLOOKUP($B388,Sheet2!$A:$G,6,0)</f>
        <v>85</v>
      </c>
    </row>
    <row r="389" spans="1:8">
      <c r="A389">
        <v>231013</v>
      </c>
      <c r="B389" t="s">
        <v>396</v>
      </c>
      <c r="C389">
        <f>VLOOKUP($B389,Sheet2!$A:$E,2,0)</f>
        <v>103</v>
      </c>
      <c r="D389">
        <f>VLOOKUP($B389,Sheet2!$A:$E,3,0)</f>
        <v>105</v>
      </c>
      <c r="E389">
        <f>VLOOKUP($B389,Sheet2!$A:$E,4,0)</f>
        <v>105.5</v>
      </c>
      <c r="F389">
        <f>VLOOKUP($B389,Sheet2!$A:$E,5,0)</f>
        <v>86</v>
      </c>
      <c r="G389">
        <f>VLOOKUP($B389,Sheet2!$A:$G,7,0)</f>
        <v>68</v>
      </c>
      <c r="H389">
        <f>VLOOKUP($B389,Sheet2!$A:$G,6,0)</f>
        <v>71</v>
      </c>
    </row>
    <row r="390" spans="1:8">
      <c r="A390">
        <v>231014</v>
      </c>
      <c r="B390" t="s">
        <v>397</v>
      </c>
      <c r="C390">
        <f>VLOOKUP($B390,Sheet2!$A:$E,2,0)</f>
        <v>101</v>
      </c>
      <c r="D390">
        <f>VLOOKUP($B390,Sheet2!$A:$E,3,0)</f>
        <v>106</v>
      </c>
      <c r="E390">
        <f>VLOOKUP($B390,Sheet2!$A:$E,4,0)</f>
        <v>100</v>
      </c>
      <c r="F390">
        <f>VLOOKUP($B390,Sheet2!$A:$E,5,0)</f>
        <v>86</v>
      </c>
      <c r="G390">
        <f>VLOOKUP($B390,Sheet2!$A:$G,7,0)</f>
        <v>86</v>
      </c>
      <c r="H390">
        <f>VLOOKUP($B390,Sheet2!$A:$G,6,0)</f>
        <v>84</v>
      </c>
    </row>
    <row r="391" spans="1:8">
      <c r="A391">
        <v>231015</v>
      </c>
      <c r="B391" t="s">
        <v>398</v>
      </c>
      <c r="C391">
        <f>VLOOKUP($B391,Sheet2!$A:$E,2,0)</f>
        <v>107</v>
      </c>
      <c r="D391">
        <f>VLOOKUP($B391,Sheet2!$A:$E,3,0)</f>
        <v>113</v>
      </c>
      <c r="E391">
        <f>VLOOKUP($B391,Sheet2!$A:$E,4,0)</f>
        <v>113.5</v>
      </c>
      <c r="F391">
        <f>VLOOKUP($B391,Sheet2!$A:$E,5,0)</f>
        <v>87</v>
      </c>
      <c r="G391">
        <f>VLOOKUP($B391,Sheet2!$A:$G,7,0)</f>
        <v>83</v>
      </c>
      <c r="H391">
        <f>VLOOKUP($B391,Sheet2!$A:$G,6,0)</f>
        <v>85</v>
      </c>
    </row>
    <row r="392" spans="1:8">
      <c r="A392">
        <v>231016</v>
      </c>
      <c r="B392" t="s">
        <v>399</v>
      </c>
      <c r="C392">
        <f>VLOOKUP($B392,Sheet2!$A:$E,2,0)</f>
        <v>108</v>
      </c>
      <c r="D392">
        <f>VLOOKUP($B392,Sheet2!$A:$E,3,0)</f>
        <v>106</v>
      </c>
      <c r="E392">
        <f>VLOOKUP($B392,Sheet2!$A:$E,4,0)</f>
        <v>111.5</v>
      </c>
      <c r="F392">
        <f>VLOOKUP($B392,Sheet2!$A:$E,5,0)</f>
        <v>88</v>
      </c>
      <c r="G392">
        <f>VLOOKUP($B392,Sheet2!$A:$G,7,0)</f>
        <v>76</v>
      </c>
      <c r="H392">
        <f>VLOOKUP($B392,Sheet2!$A:$G,6,0)</f>
        <v>78</v>
      </c>
    </row>
    <row r="393" spans="1:8">
      <c r="A393">
        <v>231017</v>
      </c>
      <c r="B393" t="s">
        <v>400</v>
      </c>
      <c r="C393">
        <f>VLOOKUP($B393,Sheet2!$A:$E,2,0)</f>
        <v>102</v>
      </c>
      <c r="D393">
        <f>VLOOKUP($B393,Sheet2!$A:$E,3,0)</f>
        <v>110</v>
      </c>
      <c r="E393">
        <f>VLOOKUP($B393,Sheet2!$A:$E,4,0)</f>
        <v>105</v>
      </c>
      <c r="F393">
        <f>VLOOKUP($B393,Sheet2!$A:$E,5,0)</f>
        <v>87</v>
      </c>
      <c r="G393">
        <f>VLOOKUP($B393,Sheet2!$A:$G,7,0)</f>
        <v>81</v>
      </c>
      <c r="H393">
        <f>VLOOKUP($B393,Sheet2!$A:$G,6,0)</f>
        <v>77</v>
      </c>
    </row>
    <row r="394" spans="1:8">
      <c r="A394">
        <v>231018</v>
      </c>
      <c r="B394" t="s">
        <v>401</v>
      </c>
      <c r="C394">
        <f>VLOOKUP($B394,Sheet2!$A:$E,2,0)</f>
        <v>95</v>
      </c>
      <c r="D394">
        <f>VLOOKUP($B394,Sheet2!$A:$E,3,0)</f>
        <v>104</v>
      </c>
      <c r="E394">
        <f>VLOOKUP($B394,Sheet2!$A:$E,4,0)</f>
        <v>109.5</v>
      </c>
      <c r="F394">
        <f>VLOOKUP($B394,Sheet2!$A:$E,5,0)</f>
        <v>81</v>
      </c>
      <c r="G394">
        <f>VLOOKUP($B394,Sheet2!$A:$G,7,0)</f>
        <v>79</v>
      </c>
      <c r="H394">
        <f>VLOOKUP($B394,Sheet2!$A:$G,6,0)</f>
        <v>78</v>
      </c>
    </row>
    <row r="395" spans="1:8">
      <c r="A395">
        <v>231019</v>
      </c>
      <c r="B395" t="s">
        <v>402</v>
      </c>
      <c r="C395">
        <f>VLOOKUP($B395,Sheet2!$A:$E,2,0)</f>
        <v>101</v>
      </c>
      <c r="D395">
        <f>VLOOKUP($B395,Sheet2!$A:$E,3,0)</f>
        <v>94</v>
      </c>
      <c r="E395">
        <f>VLOOKUP($B395,Sheet2!$A:$E,4,0)</f>
        <v>110</v>
      </c>
      <c r="F395">
        <f>VLOOKUP($B395,Sheet2!$A:$E,5,0)</f>
        <v>85</v>
      </c>
      <c r="G395">
        <f>VLOOKUP($B395,Sheet2!$A:$G,7,0)</f>
        <v>75</v>
      </c>
      <c r="H395">
        <f>VLOOKUP($B395,Sheet2!$A:$G,6,0)</f>
        <v>73</v>
      </c>
    </row>
    <row r="396" spans="1:8">
      <c r="A396">
        <v>231020</v>
      </c>
      <c r="B396" t="s">
        <v>403</v>
      </c>
      <c r="C396">
        <f>VLOOKUP($B396,Sheet2!$A:$E,2,0)</f>
        <v>104</v>
      </c>
      <c r="D396">
        <f>VLOOKUP($B396,Sheet2!$A:$E,3,0)</f>
        <v>106</v>
      </c>
      <c r="E396">
        <f>VLOOKUP($B396,Sheet2!$A:$E,4,0)</f>
        <v>115.5</v>
      </c>
      <c r="F396">
        <f>VLOOKUP($B396,Sheet2!$A:$E,5,0)</f>
        <v>86</v>
      </c>
      <c r="G396">
        <f>VLOOKUP($B396,Sheet2!$A:$G,7,0)</f>
        <v>86</v>
      </c>
      <c r="H396">
        <f>VLOOKUP($B396,Sheet2!$A:$G,6,0)</f>
        <v>86</v>
      </c>
    </row>
    <row r="397" spans="1:8">
      <c r="A397">
        <v>231023</v>
      </c>
      <c r="B397" t="s">
        <v>404</v>
      </c>
      <c r="C397">
        <f>VLOOKUP($B397,Sheet2!$A:$E,2,0)</f>
        <v>105</v>
      </c>
      <c r="D397">
        <f>VLOOKUP($B397,Sheet2!$A:$E,3,0)</f>
        <v>111</v>
      </c>
      <c r="E397">
        <f>VLOOKUP($B397,Sheet2!$A:$E,4,0)</f>
        <v>115.5</v>
      </c>
      <c r="F397">
        <f>VLOOKUP($B397,Sheet2!$A:$E,5,0)</f>
        <v>87</v>
      </c>
      <c r="G397">
        <f>VLOOKUP($B397,Sheet2!$A:$G,7,0)</f>
        <v>84</v>
      </c>
      <c r="H397">
        <f>VLOOKUP($B397,Sheet2!$A:$G,6,0)</f>
        <v>84</v>
      </c>
    </row>
    <row r="398" spans="1:8">
      <c r="A398">
        <v>231024</v>
      </c>
      <c r="B398" t="s">
        <v>405</v>
      </c>
      <c r="C398">
        <f>VLOOKUP($B398,Sheet2!$A:$E,2,0)</f>
        <v>101</v>
      </c>
      <c r="D398">
        <f>VLOOKUP($B398,Sheet2!$A:$E,3,0)</f>
        <v>93</v>
      </c>
      <c r="E398">
        <f>VLOOKUP($B398,Sheet2!$A:$E,4,0)</f>
        <v>88.5</v>
      </c>
      <c r="F398">
        <f>VLOOKUP($B398,Sheet2!$A:$E,5,0)</f>
        <v>83</v>
      </c>
      <c r="G398">
        <f>VLOOKUP($B398,Sheet2!$A:$G,7,0)</f>
        <v>77</v>
      </c>
      <c r="H398">
        <f>VLOOKUP($B398,Sheet2!$A:$G,6,0)</f>
        <v>76</v>
      </c>
    </row>
    <row r="399" spans="1:8">
      <c r="A399">
        <v>231025</v>
      </c>
      <c r="B399" t="s">
        <v>406</v>
      </c>
      <c r="C399">
        <f>VLOOKUP($B399,Sheet2!$A:$E,2,0)</f>
        <v>105</v>
      </c>
      <c r="D399">
        <f>VLOOKUP($B399,Sheet2!$A:$E,3,0)</f>
        <v>91</v>
      </c>
      <c r="E399">
        <f>VLOOKUP($B399,Sheet2!$A:$E,4,0)</f>
        <v>113</v>
      </c>
      <c r="F399">
        <f>VLOOKUP($B399,Sheet2!$A:$E,5,0)</f>
        <v>86</v>
      </c>
      <c r="G399">
        <f>VLOOKUP($B399,Sheet2!$A:$G,7,0)</f>
        <v>77</v>
      </c>
      <c r="H399">
        <f>VLOOKUP($B399,Sheet2!$A:$G,6,0)</f>
        <v>82</v>
      </c>
    </row>
    <row r="400" spans="1:8">
      <c r="A400">
        <v>231026</v>
      </c>
      <c r="B400" t="s">
        <v>407</v>
      </c>
      <c r="C400">
        <f>VLOOKUP($B400,Sheet2!$A:$E,2,0)</f>
        <v>97</v>
      </c>
      <c r="D400">
        <f>VLOOKUP($B400,Sheet2!$A:$E,3,0)</f>
        <v>92</v>
      </c>
      <c r="E400">
        <f>VLOOKUP($B400,Sheet2!$A:$E,4,0)</f>
        <v>81.5</v>
      </c>
      <c r="F400">
        <f>VLOOKUP($B400,Sheet2!$A:$E,5,0)</f>
        <v>78</v>
      </c>
      <c r="G400">
        <f>VLOOKUP($B400,Sheet2!$A:$G,7,0)</f>
        <v>75</v>
      </c>
      <c r="H400">
        <f>VLOOKUP($B400,Sheet2!$A:$G,6,0)</f>
        <v>88</v>
      </c>
    </row>
    <row r="401" spans="1:8">
      <c r="A401">
        <v>231027</v>
      </c>
      <c r="B401" t="s">
        <v>408</v>
      </c>
      <c r="C401">
        <f>VLOOKUP($B401,Sheet2!$A:$E,2,0)</f>
        <v>93</v>
      </c>
      <c r="D401">
        <f>VLOOKUP($B401,Sheet2!$A:$E,3,0)</f>
        <v>93</v>
      </c>
      <c r="E401">
        <f>VLOOKUP($B401,Sheet2!$A:$E,4,0)</f>
        <v>109</v>
      </c>
      <c r="F401">
        <f>VLOOKUP($B401,Sheet2!$A:$E,5,0)</f>
        <v>85</v>
      </c>
      <c r="G401">
        <f>VLOOKUP($B401,Sheet2!$A:$G,7,0)</f>
        <v>76</v>
      </c>
      <c r="H401">
        <f>VLOOKUP($B401,Sheet2!$A:$G,6,0)</f>
        <v>75</v>
      </c>
    </row>
    <row r="402" spans="1:8">
      <c r="A402">
        <v>231028</v>
      </c>
      <c r="B402" t="s">
        <v>409</v>
      </c>
      <c r="C402">
        <f>VLOOKUP($B402,Sheet2!$A:$E,2,0)</f>
        <v>97</v>
      </c>
      <c r="D402">
        <f>VLOOKUP($B402,Sheet2!$A:$E,3,0)</f>
        <v>106</v>
      </c>
      <c r="E402">
        <f>VLOOKUP($B402,Sheet2!$A:$E,4,0)</f>
        <v>109</v>
      </c>
      <c r="F402">
        <f>VLOOKUP($B402,Sheet2!$A:$E,5,0)</f>
        <v>88</v>
      </c>
      <c r="G402">
        <f>VLOOKUP($B402,Sheet2!$A:$G,7,0)</f>
        <v>72</v>
      </c>
      <c r="H402">
        <f>VLOOKUP($B402,Sheet2!$A:$G,6,0)</f>
        <v>78</v>
      </c>
    </row>
    <row r="403" spans="1:8">
      <c r="A403">
        <v>231029</v>
      </c>
      <c r="B403" t="s">
        <v>410</v>
      </c>
      <c r="C403">
        <f>VLOOKUP($B403,Sheet2!$A:$E,2,0)</f>
        <v>99</v>
      </c>
      <c r="D403">
        <f>VLOOKUP($B403,Sheet2!$A:$E,3,0)</f>
        <v>101</v>
      </c>
      <c r="E403">
        <f>VLOOKUP($B403,Sheet2!$A:$E,4,0)</f>
        <v>110</v>
      </c>
      <c r="F403">
        <f>VLOOKUP($B403,Sheet2!$A:$E,5,0)</f>
        <v>87</v>
      </c>
      <c r="G403">
        <f>VLOOKUP($B403,Sheet2!$A:$G,7,0)</f>
        <v>80</v>
      </c>
      <c r="H403">
        <f>VLOOKUP($B403,Sheet2!$A:$G,6,0)</f>
        <v>85</v>
      </c>
    </row>
    <row r="404" spans="1:8">
      <c r="A404">
        <v>231031</v>
      </c>
      <c r="B404" t="s">
        <v>411</v>
      </c>
      <c r="C404">
        <f>VLOOKUP($B404,Sheet2!$A:$E,2,0)</f>
        <v>103</v>
      </c>
      <c r="D404">
        <f>VLOOKUP($B404,Sheet2!$A:$E,3,0)</f>
        <v>91</v>
      </c>
      <c r="E404">
        <f>VLOOKUP($B404,Sheet2!$A:$E,4,0)</f>
        <v>104.5</v>
      </c>
      <c r="F404">
        <f>VLOOKUP($B404,Sheet2!$A:$E,5,0)</f>
        <v>79</v>
      </c>
      <c r="G404">
        <f>VLOOKUP($B404,Sheet2!$A:$G,7,0)</f>
        <v>80</v>
      </c>
      <c r="H404">
        <f>VLOOKUP($B404,Sheet2!$A:$G,6,0)</f>
        <v>78</v>
      </c>
    </row>
    <row r="405" spans="1:8">
      <c r="A405">
        <v>231032</v>
      </c>
      <c r="B405" t="s">
        <v>412</v>
      </c>
      <c r="C405">
        <f>VLOOKUP($B405,Sheet2!$A:$E,2,0)</f>
        <v>99</v>
      </c>
      <c r="D405">
        <f>VLOOKUP($B405,Sheet2!$A:$E,3,0)</f>
        <v>98</v>
      </c>
      <c r="E405">
        <f>VLOOKUP($B405,Sheet2!$A:$E,4,0)</f>
        <v>106</v>
      </c>
      <c r="F405">
        <f>VLOOKUP($B405,Sheet2!$A:$E,5,0)</f>
        <v>85</v>
      </c>
      <c r="G405">
        <f>VLOOKUP($B405,Sheet2!$A:$G,7,0)</f>
        <v>80</v>
      </c>
      <c r="H405">
        <f>VLOOKUP($B405,Sheet2!$A:$G,6,0)</f>
        <v>78</v>
      </c>
    </row>
    <row r="406" spans="1:8">
      <c r="A406">
        <v>231033</v>
      </c>
      <c r="B406" t="s">
        <v>413</v>
      </c>
      <c r="C406">
        <f>VLOOKUP($B406,Sheet2!$A:$E,2,0)</f>
        <v>87</v>
      </c>
      <c r="D406">
        <f>VLOOKUP($B406,Sheet2!$A:$E,3,0)</f>
        <v>79</v>
      </c>
      <c r="E406">
        <f>VLOOKUP($B406,Sheet2!$A:$E,4,0)</f>
        <v>88.5</v>
      </c>
      <c r="F406">
        <f>VLOOKUP($B406,Sheet2!$A:$E,5,0)</f>
        <v>74</v>
      </c>
      <c r="G406">
        <f>VLOOKUP($B406,Sheet2!$A:$G,7,0)</f>
        <v>63</v>
      </c>
      <c r="H406">
        <f>VLOOKUP($B406,Sheet2!$A:$G,6,0)</f>
        <v>50</v>
      </c>
    </row>
    <row r="407" spans="1:8">
      <c r="A407">
        <v>231034</v>
      </c>
      <c r="B407" t="s">
        <v>414</v>
      </c>
      <c r="C407">
        <f>VLOOKUP($B407,Sheet2!$A:$E,2,0)</f>
        <v>96</v>
      </c>
      <c r="D407">
        <f>VLOOKUP($B407,Sheet2!$A:$E,3,0)</f>
        <v>94</v>
      </c>
      <c r="E407">
        <f>VLOOKUP($B407,Sheet2!$A:$E,4,0)</f>
        <v>106.5</v>
      </c>
      <c r="F407">
        <f>VLOOKUP($B407,Sheet2!$A:$E,5,0)</f>
        <v>77</v>
      </c>
      <c r="G407">
        <f>VLOOKUP($B407,Sheet2!$A:$G,7,0)</f>
        <v>70</v>
      </c>
      <c r="H407">
        <f>VLOOKUP($B407,Sheet2!$A:$G,6,0)</f>
        <v>73</v>
      </c>
    </row>
    <row r="408" spans="1:8">
      <c r="A408">
        <v>231035</v>
      </c>
      <c r="B408" t="s">
        <v>415</v>
      </c>
      <c r="C408">
        <f>VLOOKUP($B408,Sheet2!$A:$E,2,0)</f>
        <v>90</v>
      </c>
      <c r="D408">
        <f>VLOOKUP($B408,Sheet2!$A:$E,3,0)</f>
        <v>87</v>
      </c>
      <c r="E408">
        <f>VLOOKUP($B408,Sheet2!$A:$E,4,0)</f>
        <v>99</v>
      </c>
      <c r="F408">
        <f>VLOOKUP($B408,Sheet2!$A:$E,5,0)</f>
        <v>86</v>
      </c>
      <c r="G408">
        <f>VLOOKUP($B408,Sheet2!$A:$G,7,0)</f>
        <v>71</v>
      </c>
      <c r="H408">
        <f>VLOOKUP($B408,Sheet2!$A:$G,6,0)</f>
        <v>67</v>
      </c>
    </row>
    <row r="409" spans="1:8">
      <c r="A409">
        <v>231037</v>
      </c>
      <c r="B409" t="s">
        <v>416</v>
      </c>
      <c r="C409">
        <f>VLOOKUP($B409,Sheet2!$A:$E,2,0)</f>
        <v>101</v>
      </c>
      <c r="D409">
        <f>VLOOKUP($B409,Sheet2!$A:$E,3,0)</f>
        <v>110</v>
      </c>
      <c r="E409">
        <f>VLOOKUP($B409,Sheet2!$A:$E,4,0)</f>
        <v>107</v>
      </c>
      <c r="F409">
        <f>VLOOKUP($B409,Sheet2!$A:$E,5,0)</f>
        <v>84</v>
      </c>
      <c r="G409">
        <f>VLOOKUP($B409,Sheet2!$A:$G,7,0)</f>
        <v>83</v>
      </c>
      <c r="H409">
        <f>VLOOKUP($B409,Sheet2!$A:$G,6,0)</f>
        <v>83</v>
      </c>
    </row>
    <row r="410" spans="1:8">
      <c r="A410">
        <v>231038</v>
      </c>
      <c r="B410" t="s">
        <v>417</v>
      </c>
      <c r="C410">
        <f>VLOOKUP($B410,Sheet2!$A:$E,2,0)</f>
        <v>98</v>
      </c>
      <c r="D410">
        <f>VLOOKUP($B410,Sheet2!$A:$E,3,0)</f>
        <v>95</v>
      </c>
      <c r="E410">
        <f>VLOOKUP($B410,Sheet2!$A:$E,4,0)</f>
        <v>100.5</v>
      </c>
      <c r="F410">
        <f>VLOOKUP($B410,Sheet2!$A:$E,5,0)</f>
        <v>89</v>
      </c>
      <c r="G410">
        <f>VLOOKUP($B410,Sheet2!$A:$G,7,0)</f>
        <v>72</v>
      </c>
      <c r="H410">
        <f>VLOOKUP($B410,Sheet2!$A:$G,6,0)</f>
        <v>83</v>
      </c>
    </row>
    <row r="411" spans="1:8">
      <c r="A411">
        <v>231039</v>
      </c>
      <c r="B411" t="s">
        <v>418</v>
      </c>
      <c r="C411">
        <f>VLOOKUP($B411,Sheet2!$A:$E,2,0)</f>
        <v>96</v>
      </c>
      <c r="D411">
        <f>VLOOKUP($B411,Sheet2!$A:$E,3,0)</f>
        <v>110</v>
      </c>
      <c r="E411">
        <f>VLOOKUP($B411,Sheet2!$A:$E,4,0)</f>
        <v>102</v>
      </c>
      <c r="F411">
        <f>VLOOKUP($B411,Sheet2!$A:$E,5,0)</f>
        <v>83</v>
      </c>
      <c r="G411">
        <f>VLOOKUP($B411,Sheet2!$A:$G,7,0)</f>
        <v>81</v>
      </c>
      <c r="H411">
        <f>VLOOKUP($B411,Sheet2!$A:$G,6,0)</f>
        <v>79</v>
      </c>
    </row>
    <row r="412" spans="1:8">
      <c r="A412">
        <v>231040</v>
      </c>
      <c r="B412" t="s">
        <v>419</v>
      </c>
      <c r="C412">
        <f>VLOOKUP($B412,Sheet2!$A:$E,2,0)</f>
        <v>89</v>
      </c>
      <c r="D412">
        <f>VLOOKUP($B412,Sheet2!$A:$E,3,0)</f>
        <v>110</v>
      </c>
      <c r="E412">
        <f>VLOOKUP($B412,Sheet2!$A:$E,4,0)</f>
        <v>107</v>
      </c>
      <c r="F412">
        <f>VLOOKUP($B412,Sheet2!$A:$E,5,0)</f>
        <v>84</v>
      </c>
      <c r="G412">
        <f>VLOOKUP($B412,Sheet2!$A:$G,7,0)</f>
        <v>77</v>
      </c>
      <c r="H412">
        <f>VLOOKUP($B412,Sheet2!$A:$G,6,0)</f>
        <v>78</v>
      </c>
    </row>
    <row r="413" spans="1:8">
      <c r="A413">
        <v>231041</v>
      </c>
      <c r="B413" t="s">
        <v>420</v>
      </c>
      <c r="C413">
        <f>VLOOKUP($B413,Sheet2!$A:$E,2,0)</f>
        <v>93</v>
      </c>
      <c r="D413">
        <f>VLOOKUP($B413,Sheet2!$A:$E,3,0)</f>
        <v>100</v>
      </c>
      <c r="E413">
        <f>VLOOKUP($B413,Sheet2!$A:$E,4,0)</f>
        <v>111</v>
      </c>
      <c r="F413">
        <f>VLOOKUP($B413,Sheet2!$A:$E,5,0)</f>
        <v>86</v>
      </c>
      <c r="G413">
        <f>VLOOKUP($B413,Sheet2!$A:$G,7,0)</f>
        <v>81</v>
      </c>
      <c r="H413">
        <f>VLOOKUP($B413,Sheet2!$A:$G,6,0)</f>
        <v>84</v>
      </c>
    </row>
    <row r="414" spans="1:8">
      <c r="A414">
        <v>230130</v>
      </c>
      <c r="B414" t="s">
        <v>421</v>
      </c>
      <c r="C414">
        <f>VLOOKUP($B414,Sheet2!$A:$E,2,0)</f>
        <v>96</v>
      </c>
      <c r="D414">
        <f>VLOOKUP($B414,Sheet2!$A:$E,3,0)</f>
        <v>101</v>
      </c>
      <c r="E414">
        <f>VLOOKUP($B414,Sheet2!$A:$E,4,0)</f>
        <v>107</v>
      </c>
      <c r="F414">
        <f>VLOOKUP($B414,Sheet2!$A:$E,5,0)</f>
        <v>87</v>
      </c>
      <c r="G414">
        <f>VLOOKUP($B414,Sheet2!$A:$G,7,0)</f>
        <v>78</v>
      </c>
      <c r="H414">
        <f>VLOOKUP($B414,Sheet2!$A:$G,6,0)</f>
        <v>83</v>
      </c>
    </row>
    <row r="415" spans="1:8">
      <c r="A415">
        <v>231045</v>
      </c>
      <c r="B415" t="s">
        <v>422</v>
      </c>
      <c r="C415">
        <f>VLOOKUP($B415,Sheet2!$A:$E,2,0)</f>
        <v>106</v>
      </c>
      <c r="D415">
        <f>VLOOKUP($B415,Sheet2!$A:$E,3,0)</f>
        <v>86</v>
      </c>
      <c r="E415">
        <f>VLOOKUP($B415,Sheet2!$A:$E,4,0)</f>
        <v>107</v>
      </c>
      <c r="F415">
        <f>VLOOKUP($B415,Sheet2!$A:$E,5,0)</f>
        <v>86</v>
      </c>
      <c r="G415">
        <f>VLOOKUP($B415,Sheet2!$A:$G,7,0)</f>
        <v>80</v>
      </c>
      <c r="H415">
        <f>VLOOKUP($B415,Sheet2!$A:$G,6,0)</f>
        <v>69</v>
      </c>
    </row>
    <row r="416" spans="1:8">
      <c r="A416">
        <v>231046</v>
      </c>
      <c r="B416" t="s">
        <v>423</v>
      </c>
      <c r="C416">
        <f>VLOOKUP($B416,Sheet2!$A:$E,2,0)</f>
        <v>98</v>
      </c>
      <c r="D416">
        <f>VLOOKUP($B416,Sheet2!$A:$E,3,0)</f>
        <v>97</v>
      </c>
      <c r="E416">
        <f>VLOOKUP($B416,Sheet2!$A:$E,4,0)</f>
        <v>102</v>
      </c>
      <c r="F416">
        <f>VLOOKUP($B416,Sheet2!$A:$E,5,0)</f>
        <v>87</v>
      </c>
      <c r="G416">
        <f>VLOOKUP($B416,Sheet2!$A:$G,7,0)</f>
        <v>76</v>
      </c>
      <c r="H416">
        <f>VLOOKUP($B416,Sheet2!$A:$G,6,0)</f>
        <v>79</v>
      </c>
    </row>
    <row r="417" spans="1:8">
      <c r="A417">
        <v>231047</v>
      </c>
      <c r="B417" t="s">
        <v>424</v>
      </c>
      <c r="C417" t="e">
        <f>VLOOKUP($B417,Sheet2!$A:$E,2,0)</f>
        <v>#N/A</v>
      </c>
      <c r="D417" t="e">
        <f>VLOOKUP($B417,Sheet2!$A:$E,3,0)</f>
        <v>#N/A</v>
      </c>
      <c r="E417" t="e">
        <f>VLOOKUP($B417,Sheet2!$A:$E,4,0)</f>
        <v>#N/A</v>
      </c>
      <c r="F417" t="e">
        <f>VLOOKUP($B417,Sheet2!$A:$E,5,0)</f>
        <v>#N/A</v>
      </c>
      <c r="G417" t="e">
        <f>VLOOKUP($B417,Sheet2!$A:$G,7,0)</f>
        <v>#N/A</v>
      </c>
      <c r="H417" t="e">
        <f>VLOOKUP($B417,Sheet2!$A:$G,6,0)</f>
        <v>#N/A</v>
      </c>
    </row>
    <row r="418" spans="1:8">
      <c r="A418">
        <v>231048</v>
      </c>
      <c r="B418" t="s">
        <v>425</v>
      </c>
      <c r="C418" t="e">
        <f>VLOOKUP($B418,Sheet2!$A:$E,2,0)</f>
        <v>#N/A</v>
      </c>
      <c r="D418" t="e">
        <f>VLOOKUP($B418,Sheet2!$A:$E,3,0)</f>
        <v>#N/A</v>
      </c>
      <c r="E418" t="e">
        <f>VLOOKUP($B418,Sheet2!$A:$E,4,0)</f>
        <v>#N/A</v>
      </c>
      <c r="F418" t="e">
        <f>VLOOKUP($B418,Sheet2!$A:$E,5,0)</f>
        <v>#N/A</v>
      </c>
      <c r="G418" t="e">
        <f>VLOOKUP($B418,Sheet2!$A:$G,7,0)</f>
        <v>#N/A</v>
      </c>
      <c r="H418" t="e">
        <f>VLOOKUP($B418,Sheet2!$A:$G,6,0)</f>
        <v>#N/A</v>
      </c>
    </row>
    <row r="419" spans="1:8">
      <c r="A419">
        <v>231101</v>
      </c>
      <c r="B419" t="s">
        <v>426</v>
      </c>
      <c r="C419">
        <f>VLOOKUP($B419,Sheet2!$A:$E,2,0)</f>
        <v>108</v>
      </c>
      <c r="D419">
        <f>VLOOKUP($B419,Sheet2!$A:$E,3,0)</f>
        <v>74</v>
      </c>
      <c r="E419">
        <f>VLOOKUP($B419,Sheet2!$A:$E,4,0)</f>
        <v>95.5</v>
      </c>
      <c r="F419">
        <f>VLOOKUP($B419,Sheet2!$A:$E,5,0)</f>
        <v>84</v>
      </c>
      <c r="G419">
        <f>VLOOKUP($B419,Sheet2!$A:$G,7,0)</f>
        <v>75</v>
      </c>
      <c r="H419">
        <f>VLOOKUP($B419,Sheet2!$A:$G,6,0)</f>
        <v>82</v>
      </c>
    </row>
    <row r="420" spans="1:8">
      <c r="A420">
        <v>231102</v>
      </c>
      <c r="B420" t="s">
        <v>427</v>
      </c>
      <c r="C420">
        <f>VLOOKUP($B420,Sheet2!$A:$E,2,0)</f>
        <v>94</v>
      </c>
      <c r="D420">
        <f>VLOOKUP($B420,Sheet2!$A:$E,3,0)</f>
        <v>93</v>
      </c>
      <c r="E420">
        <f>VLOOKUP($B420,Sheet2!$A:$E,4,0)</f>
        <v>93.5</v>
      </c>
      <c r="F420">
        <f>VLOOKUP($B420,Sheet2!$A:$E,5,0)</f>
        <v>82</v>
      </c>
      <c r="G420">
        <f>VLOOKUP($B420,Sheet2!$A:$G,7,0)</f>
        <v>66</v>
      </c>
      <c r="H420">
        <f>VLOOKUP($B420,Sheet2!$A:$G,6,0)</f>
        <v>71</v>
      </c>
    </row>
    <row r="421" spans="1:8">
      <c r="A421">
        <v>231103</v>
      </c>
      <c r="B421" t="s">
        <v>428</v>
      </c>
      <c r="C421">
        <f>VLOOKUP($B421,Sheet2!$A:$E,2,0)</f>
        <v>92</v>
      </c>
      <c r="D421">
        <f>VLOOKUP($B421,Sheet2!$A:$E,3,0)</f>
        <v>94</v>
      </c>
      <c r="E421">
        <f>VLOOKUP($B421,Sheet2!$A:$E,4,0)</f>
        <v>99.5</v>
      </c>
      <c r="F421">
        <f>VLOOKUP($B421,Sheet2!$A:$E,5,0)</f>
        <v>89</v>
      </c>
      <c r="G421">
        <f>VLOOKUP($B421,Sheet2!$A:$G,7,0)</f>
        <v>76</v>
      </c>
      <c r="H421">
        <f>VLOOKUP($B421,Sheet2!$A:$G,6,0)</f>
        <v>74</v>
      </c>
    </row>
    <row r="422" spans="1:8">
      <c r="A422">
        <v>231105</v>
      </c>
      <c r="B422" t="s">
        <v>429</v>
      </c>
      <c r="C422" t="e">
        <f>VLOOKUP($B422,Sheet2!$A:$E,2,0)</f>
        <v>#N/A</v>
      </c>
      <c r="D422" t="e">
        <f>VLOOKUP($B422,Sheet2!$A:$E,3,0)</f>
        <v>#N/A</v>
      </c>
      <c r="E422" t="e">
        <f>VLOOKUP($B422,Sheet2!$A:$E,4,0)</f>
        <v>#N/A</v>
      </c>
      <c r="F422" t="e">
        <f>VLOOKUP($B422,Sheet2!$A:$E,5,0)</f>
        <v>#N/A</v>
      </c>
      <c r="G422" t="e">
        <f>VLOOKUP($B422,Sheet2!$A:$G,7,0)</f>
        <v>#N/A</v>
      </c>
      <c r="H422" t="e">
        <f>VLOOKUP($B422,Sheet2!$A:$G,6,0)</f>
        <v>#N/A</v>
      </c>
    </row>
    <row r="423" spans="1:8">
      <c r="A423">
        <v>231106</v>
      </c>
      <c r="B423" t="s">
        <v>430</v>
      </c>
      <c r="C423">
        <f>VLOOKUP($B423,Sheet2!$A:$E,2,0)</f>
        <v>89</v>
      </c>
      <c r="D423">
        <f>VLOOKUP($B423,Sheet2!$A:$E,3,0)</f>
        <v>99</v>
      </c>
      <c r="E423">
        <f>VLOOKUP($B423,Sheet2!$A:$E,4,0)</f>
        <v>95.5</v>
      </c>
      <c r="F423">
        <f>VLOOKUP($B423,Sheet2!$A:$E,5,0)</f>
        <v>75</v>
      </c>
      <c r="G423">
        <f>VLOOKUP($B423,Sheet2!$A:$G,7,0)</f>
        <v>67</v>
      </c>
      <c r="H423">
        <f>VLOOKUP($B423,Sheet2!$A:$G,6,0)</f>
        <v>73</v>
      </c>
    </row>
    <row r="424" spans="1:8">
      <c r="A424">
        <v>231108</v>
      </c>
      <c r="B424" t="s">
        <v>431</v>
      </c>
      <c r="C424">
        <f>VLOOKUP($B424,Sheet2!$A:$E,2,0)</f>
        <v>99</v>
      </c>
      <c r="D424">
        <f>VLOOKUP($B424,Sheet2!$A:$E,3,0)</f>
        <v>94</v>
      </c>
      <c r="E424">
        <f>VLOOKUP($B424,Sheet2!$A:$E,4,0)</f>
        <v>103.5</v>
      </c>
      <c r="F424">
        <f>VLOOKUP($B424,Sheet2!$A:$E,5,0)</f>
        <v>87</v>
      </c>
      <c r="G424">
        <f>VLOOKUP($B424,Sheet2!$A:$G,7,0)</f>
        <v>67</v>
      </c>
      <c r="H424">
        <f>VLOOKUP($B424,Sheet2!$A:$G,6,0)</f>
        <v>70</v>
      </c>
    </row>
    <row r="425" spans="1:8">
      <c r="A425">
        <v>231109</v>
      </c>
      <c r="B425" t="s">
        <v>432</v>
      </c>
      <c r="C425">
        <f>VLOOKUP($B425,Sheet2!$A:$E,2,0)</f>
        <v>88</v>
      </c>
      <c r="D425">
        <f>VLOOKUP($B425,Sheet2!$A:$E,3,0)</f>
        <v>88</v>
      </c>
      <c r="E425">
        <f>VLOOKUP($B425,Sheet2!$A:$E,4,0)</f>
        <v>110</v>
      </c>
      <c r="F425">
        <f>VLOOKUP($B425,Sheet2!$A:$E,5,0)</f>
        <v>73</v>
      </c>
      <c r="G425">
        <f>VLOOKUP($B425,Sheet2!$A:$G,7,0)</f>
        <v>70</v>
      </c>
      <c r="H425">
        <f>VLOOKUP($B425,Sheet2!$A:$G,6,0)</f>
        <v>73</v>
      </c>
    </row>
    <row r="426" spans="1:8">
      <c r="A426">
        <v>231110</v>
      </c>
      <c r="B426" t="s">
        <v>433</v>
      </c>
      <c r="C426">
        <f>VLOOKUP($B426,Sheet2!$A:$E,2,0)</f>
        <v>101</v>
      </c>
      <c r="D426">
        <f>VLOOKUP($B426,Sheet2!$A:$E,3,0)</f>
        <v>105</v>
      </c>
      <c r="E426">
        <f>VLOOKUP($B426,Sheet2!$A:$E,4,0)</f>
        <v>102.5</v>
      </c>
      <c r="F426">
        <f>VLOOKUP($B426,Sheet2!$A:$E,5,0)</f>
        <v>77</v>
      </c>
      <c r="G426">
        <f>VLOOKUP($B426,Sheet2!$A:$G,7,0)</f>
        <v>78</v>
      </c>
      <c r="H426">
        <f>VLOOKUP($B426,Sheet2!$A:$G,6,0)</f>
        <v>76</v>
      </c>
    </row>
    <row r="427" spans="1:8">
      <c r="A427">
        <v>231111</v>
      </c>
      <c r="B427" t="s">
        <v>434</v>
      </c>
      <c r="C427">
        <f>VLOOKUP($B427,Sheet2!$A:$E,2,0)</f>
        <v>90</v>
      </c>
      <c r="D427">
        <f>VLOOKUP($B427,Sheet2!$A:$E,3,0)</f>
        <v>89</v>
      </c>
      <c r="E427">
        <f>VLOOKUP($B427,Sheet2!$A:$E,4,0)</f>
        <v>96.5</v>
      </c>
      <c r="F427">
        <f>VLOOKUP($B427,Sheet2!$A:$E,5,0)</f>
        <v>77</v>
      </c>
      <c r="G427">
        <f>VLOOKUP($B427,Sheet2!$A:$G,7,0)</f>
        <v>70</v>
      </c>
      <c r="H427">
        <f>VLOOKUP($B427,Sheet2!$A:$G,6,0)</f>
        <v>63</v>
      </c>
    </row>
    <row r="428" spans="1:8">
      <c r="A428">
        <v>231112</v>
      </c>
      <c r="B428" t="s">
        <v>435</v>
      </c>
      <c r="C428">
        <f>VLOOKUP($B428,Sheet2!$A:$E,2,0)</f>
        <v>104.5</v>
      </c>
      <c r="D428">
        <f>VLOOKUP($B428,Sheet2!$A:$E,3,0)</f>
        <v>97</v>
      </c>
      <c r="E428">
        <f>VLOOKUP($B428,Sheet2!$A:$E,4,0)</f>
        <v>107</v>
      </c>
      <c r="F428">
        <f>VLOOKUP($B428,Sheet2!$A:$E,5,0)</f>
        <v>79</v>
      </c>
      <c r="G428">
        <f>VLOOKUP($B428,Sheet2!$A:$G,7,0)</f>
        <v>72</v>
      </c>
      <c r="H428">
        <f>VLOOKUP($B428,Sheet2!$A:$G,6,0)</f>
        <v>81</v>
      </c>
    </row>
    <row r="429" spans="1:8">
      <c r="A429">
        <v>231113</v>
      </c>
      <c r="B429" t="s">
        <v>436</v>
      </c>
      <c r="C429">
        <f>VLOOKUP($B429,Sheet2!$A:$E,2,0)</f>
        <v>91</v>
      </c>
      <c r="D429">
        <f>VLOOKUP($B429,Sheet2!$A:$E,3,0)</f>
        <v>80</v>
      </c>
      <c r="E429">
        <f>VLOOKUP($B429,Sheet2!$A:$E,4,0)</f>
        <v>98</v>
      </c>
      <c r="F429">
        <f>VLOOKUP($B429,Sheet2!$A:$E,5,0)</f>
        <v>83</v>
      </c>
      <c r="G429">
        <f>VLOOKUP($B429,Sheet2!$A:$G,7,0)</f>
        <v>71</v>
      </c>
      <c r="H429">
        <f>VLOOKUP($B429,Sheet2!$A:$G,6,0)</f>
        <v>73</v>
      </c>
    </row>
    <row r="430" spans="1:8">
      <c r="A430">
        <v>231114</v>
      </c>
      <c r="B430" t="s">
        <v>437</v>
      </c>
      <c r="C430">
        <f>VLOOKUP($B430,Sheet2!$A:$E,2,0)</f>
        <v>86</v>
      </c>
      <c r="D430">
        <f>VLOOKUP($B430,Sheet2!$A:$E,3,0)</f>
        <v>86</v>
      </c>
      <c r="E430">
        <f>VLOOKUP($B430,Sheet2!$A:$E,4,0)</f>
        <v>89</v>
      </c>
      <c r="F430">
        <f>VLOOKUP($B430,Sheet2!$A:$E,5,0)</f>
        <v>77</v>
      </c>
      <c r="G430">
        <f>VLOOKUP($B430,Sheet2!$A:$G,7,0)</f>
        <v>59</v>
      </c>
      <c r="H430">
        <f>VLOOKUP($B430,Sheet2!$A:$G,6,0)</f>
        <v>56</v>
      </c>
    </row>
    <row r="431" spans="1:8">
      <c r="A431">
        <v>231115</v>
      </c>
      <c r="B431" t="s">
        <v>438</v>
      </c>
      <c r="C431">
        <f>VLOOKUP($B431,Sheet2!$A:$E,2,0)</f>
        <v>94</v>
      </c>
      <c r="D431">
        <f>VLOOKUP($B431,Sheet2!$A:$E,3,0)</f>
        <v>95</v>
      </c>
      <c r="E431">
        <f>VLOOKUP($B431,Sheet2!$A:$E,4,0)</f>
        <v>98</v>
      </c>
      <c r="F431">
        <f>VLOOKUP($B431,Sheet2!$A:$E,5,0)</f>
        <v>79</v>
      </c>
      <c r="G431">
        <f>VLOOKUP($B431,Sheet2!$A:$G,7,0)</f>
        <v>81</v>
      </c>
      <c r="H431">
        <f>VLOOKUP($B431,Sheet2!$A:$G,6,0)</f>
        <v>77</v>
      </c>
    </row>
    <row r="432" spans="1:8">
      <c r="A432">
        <v>231116</v>
      </c>
      <c r="B432" t="s">
        <v>439</v>
      </c>
      <c r="C432">
        <f>VLOOKUP($B432,Sheet2!$A:$E,2,0)</f>
        <v>95</v>
      </c>
      <c r="D432">
        <f>VLOOKUP($B432,Sheet2!$A:$E,3,0)</f>
        <v>98</v>
      </c>
      <c r="E432">
        <f>VLOOKUP($B432,Sheet2!$A:$E,4,0)</f>
        <v>102</v>
      </c>
      <c r="F432">
        <f>VLOOKUP($B432,Sheet2!$A:$E,5,0)</f>
        <v>87</v>
      </c>
      <c r="G432">
        <f>VLOOKUP($B432,Sheet2!$A:$G,7,0)</f>
        <v>83</v>
      </c>
      <c r="H432">
        <f>VLOOKUP($B432,Sheet2!$A:$G,6,0)</f>
        <v>77</v>
      </c>
    </row>
    <row r="433" spans="1:8">
      <c r="A433">
        <v>231117</v>
      </c>
      <c r="B433" t="s">
        <v>440</v>
      </c>
      <c r="C433">
        <f>VLOOKUP($B433,Sheet2!$A:$E,2,0)</f>
        <v>93</v>
      </c>
      <c r="D433">
        <f>VLOOKUP($B433,Sheet2!$A:$E,3,0)</f>
        <v>96</v>
      </c>
      <c r="E433">
        <f>VLOOKUP($B433,Sheet2!$A:$E,4,0)</f>
        <v>81</v>
      </c>
      <c r="F433">
        <f>VLOOKUP($B433,Sheet2!$A:$E,5,0)</f>
        <v>77</v>
      </c>
      <c r="G433">
        <f>VLOOKUP($B433,Sheet2!$A:$G,7,0)</f>
        <v>72</v>
      </c>
      <c r="H433">
        <f>VLOOKUP($B433,Sheet2!$A:$G,6,0)</f>
        <v>77</v>
      </c>
    </row>
    <row r="434" spans="1:8">
      <c r="A434">
        <v>231118</v>
      </c>
      <c r="B434" t="s">
        <v>441</v>
      </c>
      <c r="C434">
        <f>VLOOKUP($B434,Sheet2!$A:$E,2,0)</f>
        <v>104.5</v>
      </c>
      <c r="D434">
        <f>VLOOKUP($B434,Sheet2!$A:$E,3,0)</f>
        <v>96</v>
      </c>
      <c r="E434">
        <f>VLOOKUP($B434,Sheet2!$A:$E,4,0)</f>
        <v>109.5</v>
      </c>
      <c r="F434">
        <f>VLOOKUP($B434,Sheet2!$A:$E,5,0)</f>
        <v>86</v>
      </c>
      <c r="G434">
        <f>VLOOKUP($B434,Sheet2!$A:$G,7,0)</f>
        <v>71</v>
      </c>
      <c r="H434">
        <f>VLOOKUP($B434,Sheet2!$A:$G,6,0)</f>
        <v>79</v>
      </c>
    </row>
    <row r="435" spans="1:8">
      <c r="A435">
        <v>231119</v>
      </c>
      <c r="B435" t="s">
        <v>442</v>
      </c>
      <c r="C435">
        <f>VLOOKUP($B435,Sheet2!$A:$E,2,0)</f>
        <v>100</v>
      </c>
      <c r="D435">
        <f>VLOOKUP($B435,Sheet2!$A:$E,3,0)</f>
        <v>91</v>
      </c>
      <c r="E435">
        <f>VLOOKUP($B435,Sheet2!$A:$E,4,0)</f>
        <v>111.5</v>
      </c>
      <c r="F435">
        <f>VLOOKUP($B435,Sheet2!$A:$E,5,0)</f>
        <v>85</v>
      </c>
      <c r="G435">
        <f>VLOOKUP($B435,Sheet2!$A:$G,7,0)</f>
        <v>82</v>
      </c>
      <c r="H435">
        <f>VLOOKUP($B435,Sheet2!$A:$G,6,0)</f>
        <v>69</v>
      </c>
    </row>
    <row r="436" spans="1:8">
      <c r="A436">
        <v>231120</v>
      </c>
      <c r="B436" t="s">
        <v>443</v>
      </c>
      <c r="C436">
        <f>VLOOKUP($B436,Sheet2!$A:$E,2,0)</f>
        <v>103</v>
      </c>
      <c r="D436">
        <f>VLOOKUP($B436,Sheet2!$A:$E,3,0)</f>
        <v>101</v>
      </c>
      <c r="E436">
        <f>VLOOKUP($B436,Sheet2!$A:$E,4,0)</f>
        <v>111</v>
      </c>
      <c r="F436">
        <f>VLOOKUP($B436,Sheet2!$A:$E,5,0)</f>
        <v>86</v>
      </c>
      <c r="G436">
        <f>VLOOKUP($B436,Sheet2!$A:$G,7,0)</f>
        <v>80</v>
      </c>
      <c r="H436">
        <f>VLOOKUP($B436,Sheet2!$A:$G,6,0)</f>
        <v>88</v>
      </c>
    </row>
    <row r="437" spans="1:8">
      <c r="A437">
        <v>231121</v>
      </c>
      <c r="B437" t="s">
        <v>444</v>
      </c>
      <c r="C437">
        <f>VLOOKUP($B437,Sheet2!$A:$E,2,0)</f>
        <v>97.5</v>
      </c>
      <c r="D437">
        <f>VLOOKUP($B437,Sheet2!$A:$E,3,0)</f>
        <v>94</v>
      </c>
      <c r="E437">
        <f>VLOOKUP($B437,Sheet2!$A:$E,4,0)</f>
        <v>103.5</v>
      </c>
      <c r="F437">
        <f>VLOOKUP($B437,Sheet2!$A:$E,5,0)</f>
        <v>86</v>
      </c>
      <c r="G437">
        <f>VLOOKUP($B437,Sheet2!$A:$G,7,0)</f>
        <v>82</v>
      </c>
      <c r="H437">
        <f>VLOOKUP($B437,Sheet2!$A:$G,6,0)</f>
        <v>81</v>
      </c>
    </row>
    <row r="438" spans="1:8">
      <c r="A438">
        <v>231122</v>
      </c>
      <c r="B438" t="s">
        <v>445</v>
      </c>
      <c r="C438">
        <f>VLOOKUP($B438,Sheet2!$A:$E,2,0)</f>
        <v>96.5</v>
      </c>
      <c r="D438">
        <f>VLOOKUP($B438,Sheet2!$A:$E,3,0)</f>
        <v>106</v>
      </c>
      <c r="E438">
        <f>VLOOKUP($B438,Sheet2!$A:$E,4,0)</f>
        <v>116</v>
      </c>
      <c r="F438">
        <f>VLOOKUP($B438,Sheet2!$A:$E,5,0)</f>
        <v>86</v>
      </c>
      <c r="G438">
        <f>VLOOKUP($B438,Sheet2!$A:$G,7,0)</f>
        <v>85</v>
      </c>
      <c r="H438">
        <f>VLOOKUP($B438,Sheet2!$A:$G,6,0)</f>
        <v>80</v>
      </c>
    </row>
    <row r="439" spans="1:8">
      <c r="A439">
        <v>231123</v>
      </c>
      <c r="B439" t="s">
        <v>446</v>
      </c>
      <c r="C439">
        <f>VLOOKUP($B439,Sheet2!$A:$E,2,0)</f>
        <v>89</v>
      </c>
      <c r="D439">
        <f>VLOOKUP($B439,Sheet2!$A:$E,3,0)</f>
        <v>86</v>
      </c>
      <c r="E439">
        <f>VLOOKUP($B439,Sheet2!$A:$E,4,0)</f>
        <v>66.5</v>
      </c>
      <c r="F439">
        <f>VLOOKUP($B439,Sheet2!$A:$E,5,0)</f>
        <v>73</v>
      </c>
      <c r="G439">
        <f>VLOOKUP($B439,Sheet2!$A:$G,7,0)</f>
        <v>67</v>
      </c>
      <c r="H439">
        <f>VLOOKUP($B439,Sheet2!$A:$G,6,0)</f>
        <v>75</v>
      </c>
    </row>
    <row r="440" spans="1:8">
      <c r="A440">
        <v>231125</v>
      </c>
      <c r="B440" t="s">
        <v>447</v>
      </c>
      <c r="C440">
        <f>VLOOKUP($B440,Sheet2!$A:$E,2,0)</f>
        <v>102</v>
      </c>
      <c r="D440">
        <f>VLOOKUP($B440,Sheet2!$A:$E,3,0)</f>
        <v>86</v>
      </c>
      <c r="E440">
        <f>VLOOKUP($B440,Sheet2!$A:$E,4,0)</f>
        <v>108</v>
      </c>
      <c r="F440">
        <f>VLOOKUP($B440,Sheet2!$A:$E,5,0)</f>
        <v>78</v>
      </c>
      <c r="G440">
        <f>VLOOKUP($B440,Sheet2!$A:$G,7,0)</f>
        <v>80</v>
      </c>
      <c r="H440">
        <f>VLOOKUP($B440,Sheet2!$A:$G,6,0)</f>
        <v>78</v>
      </c>
    </row>
    <row r="441" spans="1:8">
      <c r="A441">
        <v>231126</v>
      </c>
      <c r="B441" t="s">
        <v>448</v>
      </c>
      <c r="C441">
        <f>VLOOKUP($B441,Sheet2!$A:$E,2,0)</f>
        <v>91</v>
      </c>
      <c r="D441">
        <f>VLOOKUP($B441,Sheet2!$A:$E,3,0)</f>
        <v>90</v>
      </c>
      <c r="E441">
        <f>VLOOKUP($B441,Sheet2!$A:$E,4,0)</f>
        <v>100</v>
      </c>
      <c r="F441">
        <f>VLOOKUP($B441,Sheet2!$A:$E,5,0)</f>
        <v>76</v>
      </c>
      <c r="G441">
        <f>VLOOKUP($B441,Sheet2!$A:$G,7,0)</f>
        <v>73</v>
      </c>
      <c r="H441">
        <f>VLOOKUP($B441,Sheet2!$A:$G,6,0)</f>
        <v>68</v>
      </c>
    </row>
    <row r="442" spans="1:8">
      <c r="A442">
        <v>231127</v>
      </c>
      <c r="B442" t="s">
        <v>449</v>
      </c>
      <c r="C442">
        <f>VLOOKUP($B442,Sheet2!$A:$E,2,0)</f>
        <v>96</v>
      </c>
      <c r="D442">
        <f>VLOOKUP($B442,Sheet2!$A:$E,3,0)</f>
        <v>92</v>
      </c>
      <c r="E442">
        <f>VLOOKUP($B442,Sheet2!$A:$E,4,0)</f>
        <v>101.5</v>
      </c>
      <c r="F442">
        <f>VLOOKUP($B442,Sheet2!$A:$E,5,0)</f>
        <v>88</v>
      </c>
      <c r="G442">
        <f>VLOOKUP($B442,Sheet2!$A:$G,7,0)</f>
        <v>75</v>
      </c>
      <c r="H442">
        <f>VLOOKUP($B442,Sheet2!$A:$G,6,0)</f>
        <v>74</v>
      </c>
    </row>
    <row r="443" spans="1:8">
      <c r="A443">
        <v>231128</v>
      </c>
      <c r="B443" t="s">
        <v>450</v>
      </c>
      <c r="C443">
        <f>VLOOKUP($B443,Sheet2!$A:$E,2,0)</f>
        <v>109</v>
      </c>
      <c r="D443">
        <f>VLOOKUP($B443,Sheet2!$A:$E,3,0)</f>
        <v>98</v>
      </c>
      <c r="E443">
        <f>VLOOKUP($B443,Sheet2!$A:$E,4,0)</f>
        <v>102.5</v>
      </c>
      <c r="F443">
        <f>VLOOKUP($B443,Sheet2!$A:$E,5,0)</f>
        <v>86</v>
      </c>
      <c r="G443">
        <f>VLOOKUP($B443,Sheet2!$A:$G,7,0)</f>
        <v>74</v>
      </c>
      <c r="H443">
        <f>VLOOKUP($B443,Sheet2!$A:$G,6,0)</f>
        <v>84</v>
      </c>
    </row>
    <row r="444" spans="1:8">
      <c r="A444">
        <v>231129</v>
      </c>
      <c r="B444" t="s">
        <v>451</v>
      </c>
      <c r="C444">
        <f>VLOOKUP($B444,Sheet2!$A:$E,2,0)</f>
        <v>88</v>
      </c>
      <c r="D444">
        <f>VLOOKUP($B444,Sheet2!$A:$E,3,0)</f>
        <v>100</v>
      </c>
      <c r="E444">
        <f>VLOOKUP($B444,Sheet2!$A:$E,4,0)</f>
        <v>106</v>
      </c>
      <c r="F444">
        <f>VLOOKUP($B444,Sheet2!$A:$E,5,0)</f>
        <v>84</v>
      </c>
      <c r="G444">
        <f>VLOOKUP($B444,Sheet2!$A:$G,7,0)</f>
        <v>67</v>
      </c>
      <c r="H444">
        <f>VLOOKUP($B444,Sheet2!$A:$G,6,0)</f>
        <v>62</v>
      </c>
    </row>
    <row r="445" spans="1:8">
      <c r="A445">
        <v>231130</v>
      </c>
      <c r="B445" t="s">
        <v>452</v>
      </c>
      <c r="C445">
        <f>VLOOKUP($B445,Sheet2!$A:$E,2,0)</f>
        <v>95.5</v>
      </c>
      <c r="D445">
        <f>VLOOKUP($B445,Sheet2!$A:$E,3,0)</f>
        <v>80</v>
      </c>
      <c r="E445">
        <f>VLOOKUP($B445,Sheet2!$A:$E,4,0)</f>
        <v>104</v>
      </c>
      <c r="F445">
        <f>VLOOKUP($B445,Sheet2!$A:$E,5,0)</f>
        <v>79</v>
      </c>
      <c r="G445">
        <f>VLOOKUP($B445,Sheet2!$A:$G,7,0)</f>
        <v>68</v>
      </c>
      <c r="H445">
        <f>VLOOKUP($B445,Sheet2!$A:$G,6,0)</f>
        <v>75</v>
      </c>
    </row>
    <row r="446" spans="1:8">
      <c r="A446">
        <v>231131</v>
      </c>
      <c r="B446" t="s">
        <v>453</v>
      </c>
      <c r="C446">
        <f>VLOOKUP($B446,Sheet2!$A:$E,2,0)</f>
        <v>93</v>
      </c>
      <c r="D446">
        <f>VLOOKUP($B446,Sheet2!$A:$E,3,0)</f>
        <v>94</v>
      </c>
      <c r="E446">
        <f>VLOOKUP($B446,Sheet2!$A:$E,4,0)</f>
        <v>95.5</v>
      </c>
      <c r="F446">
        <f>VLOOKUP($B446,Sheet2!$A:$E,5,0)</f>
        <v>85</v>
      </c>
      <c r="G446">
        <f>VLOOKUP($B446,Sheet2!$A:$G,7,0)</f>
        <v>66</v>
      </c>
      <c r="H446">
        <f>VLOOKUP($B446,Sheet2!$A:$G,6,0)</f>
        <v>83</v>
      </c>
    </row>
    <row r="447" spans="1:8">
      <c r="A447">
        <v>231132</v>
      </c>
      <c r="B447" t="s">
        <v>454</v>
      </c>
      <c r="C447">
        <f>VLOOKUP($B447,Sheet2!$A:$E,2,0)</f>
        <v>96</v>
      </c>
      <c r="D447">
        <f>VLOOKUP($B447,Sheet2!$A:$E,3,0)</f>
        <v>106</v>
      </c>
      <c r="E447">
        <f>VLOOKUP($B447,Sheet2!$A:$E,4,0)</f>
        <v>114.5</v>
      </c>
      <c r="F447">
        <f>VLOOKUP($B447,Sheet2!$A:$E,5,0)</f>
        <v>90</v>
      </c>
      <c r="G447">
        <f>VLOOKUP($B447,Sheet2!$A:$G,7,0)</f>
        <v>80</v>
      </c>
      <c r="H447">
        <f>VLOOKUP($B447,Sheet2!$A:$G,6,0)</f>
        <v>84</v>
      </c>
    </row>
    <row r="448" spans="1:8">
      <c r="A448">
        <v>231133</v>
      </c>
      <c r="B448" t="s">
        <v>455</v>
      </c>
      <c r="C448">
        <f>VLOOKUP($B448,Sheet2!$A:$E,2,0)</f>
        <v>79.5</v>
      </c>
      <c r="D448">
        <f>VLOOKUP($B448,Sheet2!$A:$E,3,0)</f>
        <v>91</v>
      </c>
      <c r="E448">
        <f>VLOOKUP($B448,Sheet2!$A:$E,4,0)</f>
        <v>97</v>
      </c>
      <c r="F448">
        <f>VLOOKUP($B448,Sheet2!$A:$E,5,0)</f>
        <v>79</v>
      </c>
      <c r="G448">
        <f>VLOOKUP($B448,Sheet2!$A:$G,7,0)</f>
        <v>74</v>
      </c>
      <c r="H448">
        <f>VLOOKUP($B448,Sheet2!$A:$G,6,0)</f>
        <v>77</v>
      </c>
    </row>
    <row r="449" spans="1:8">
      <c r="A449">
        <v>231134</v>
      </c>
      <c r="B449" t="s">
        <v>456</v>
      </c>
      <c r="C449">
        <f>VLOOKUP($B449,Sheet2!$A:$E,2,0)</f>
        <v>97</v>
      </c>
      <c r="D449">
        <f>VLOOKUP($B449,Sheet2!$A:$E,3,0)</f>
        <v>87</v>
      </c>
      <c r="E449">
        <f>VLOOKUP($B449,Sheet2!$A:$E,4,0)</f>
        <v>104.5</v>
      </c>
      <c r="F449">
        <f>VLOOKUP($B449,Sheet2!$A:$E,5,0)</f>
        <v>85</v>
      </c>
      <c r="G449">
        <f>VLOOKUP($B449,Sheet2!$A:$G,7,0)</f>
        <v>73</v>
      </c>
      <c r="H449">
        <f>VLOOKUP($B449,Sheet2!$A:$G,6,0)</f>
        <v>79</v>
      </c>
    </row>
    <row r="450" spans="1:8">
      <c r="A450">
        <v>231135</v>
      </c>
      <c r="B450" t="s">
        <v>457</v>
      </c>
      <c r="C450">
        <f>VLOOKUP($B450,Sheet2!$A:$E,2,0)</f>
        <v>101</v>
      </c>
      <c r="D450">
        <f>VLOOKUP($B450,Sheet2!$A:$E,3,0)</f>
        <v>88</v>
      </c>
      <c r="E450">
        <f>VLOOKUP($B450,Sheet2!$A:$E,4,0)</f>
        <v>90</v>
      </c>
      <c r="F450">
        <f>VLOOKUP($B450,Sheet2!$A:$E,5,0)</f>
        <v>83</v>
      </c>
      <c r="G450">
        <f>VLOOKUP($B450,Sheet2!$A:$G,7,0)</f>
        <v>63</v>
      </c>
      <c r="H450">
        <f>VLOOKUP($B450,Sheet2!$A:$G,6,0)</f>
        <v>76</v>
      </c>
    </row>
    <row r="451" spans="1:8">
      <c r="A451">
        <v>231136</v>
      </c>
      <c r="B451" t="s">
        <v>458</v>
      </c>
      <c r="C451">
        <f>VLOOKUP($B451,Sheet2!$A:$E,2,0)</f>
        <v>93.5</v>
      </c>
      <c r="D451">
        <f>VLOOKUP($B451,Sheet2!$A:$E,3,0)</f>
        <v>103</v>
      </c>
      <c r="E451">
        <f>VLOOKUP($B451,Sheet2!$A:$E,4,0)</f>
        <v>102.5</v>
      </c>
      <c r="F451">
        <f>VLOOKUP($B451,Sheet2!$A:$E,5,0)</f>
        <v>85</v>
      </c>
      <c r="G451">
        <f>VLOOKUP($B451,Sheet2!$A:$G,7,0)</f>
        <v>77</v>
      </c>
      <c r="H451">
        <f>VLOOKUP($B451,Sheet2!$A:$G,6,0)</f>
        <v>71</v>
      </c>
    </row>
    <row r="452" spans="1:8">
      <c r="A452">
        <v>231137</v>
      </c>
      <c r="B452" t="s">
        <v>459</v>
      </c>
      <c r="C452">
        <f>VLOOKUP($B452,Sheet2!$A:$E,2,0)</f>
        <v>95</v>
      </c>
      <c r="D452">
        <f>VLOOKUP($B452,Sheet2!$A:$E,3,0)</f>
        <v>90</v>
      </c>
      <c r="E452">
        <f>VLOOKUP($B452,Sheet2!$A:$E,4,0)</f>
        <v>116</v>
      </c>
      <c r="F452">
        <f>VLOOKUP($B452,Sheet2!$A:$E,5,0)</f>
        <v>87</v>
      </c>
      <c r="G452">
        <f>VLOOKUP($B452,Sheet2!$A:$G,7,0)</f>
        <v>82</v>
      </c>
      <c r="H452">
        <f>VLOOKUP($B452,Sheet2!$A:$G,6,0)</f>
        <v>89</v>
      </c>
    </row>
    <row r="453" spans="1:8">
      <c r="A453">
        <v>231138</v>
      </c>
      <c r="B453" t="s">
        <v>460</v>
      </c>
      <c r="C453">
        <f>VLOOKUP($B453,Sheet2!$A:$E,2,0)</f>
        <v>78</v>
      </c>
      <c r="D453">
        <f>VLOOKUP($B453,Sheet2!$A:$E,3,0)</f>
        <v>67</v>
      </c>
      <c r="E453">
        <f>VLOOKUP($B453,Sheet2!$A:$E,4,0)</f>
        <v>59</v>
      </c>
      <c r="F453">
        <f>VLOOKUP($B453,Sheet2!$A:$E,5,0)</f>
        <v>81</v>
      </c>
      <c r="G453">
        <f>VLOOKUP($B453,Sheet2!$A:$G,7,0)</f>
        <v>59</v>
      </c>
      <c r="H453">
        <f>VLOOKUP($B453,Sheet2!$A:$G,6,0)</f>
        <v>48</v>
      </c>
    </row>
    <row r="454" spans="1:8">
      <c r="A454">
        <v>231139</v>
      </c>
      <c r="B454" t="s">
        <v>461</v>
      </c>
      <c r="C454">
        <f>VLOOKUP($B454,Sheet2!$A:$E,2,0)</f>
        <v>101</v>
      </c>
      <c r="D454">
        <f>VLOOKUP($B454,Sheet2!$A:$E,3,0)</f>
        <v>107</v>
      </c>
      <c r="E454">
        <f>VLOOKUP($B454,Sheet2!$A:$E,4,0)</f>
        <v>96.5</v>
      </c>
      <c r="F454">
        <f>VLOOKUP($B454,Sheet2!$A:$E,5,0)</f>
        <v>82</v>
      </c>
      <c r="G454">
        <f>VLOOKUP($B454,Sheet2!$A:$G,7,0)</f>
        <v>76</v>
      </c>
      <c r="H454">
        <f>VLOOKUP($B454,Sheet2!$A:$G,6,0)</f>
        <v>84</v>
      </c>
    </row>
    <row r="455" spans="1:8">
      <c r="A455">
        <v>231140</v>
      </c>
      <c r="B455" t="s">
        <v>462</v>
      </c>
      <c r="C455">
        <f>VLOOKUP($B455,Sheet2!$A:$E,2,0)</f>
        <v>88</v>
      </c>
      <c r="D455">
        <f>VLOOKUP($B455,Sheet2!$A:$E,3,0)</f>
        <v>102</v>
      </c>
      <c r="E455">
        <f>VLOOKUP($B455,Sheet2!$A:$E,4,0)</f>
        <v>88.5</v>
      </c>
      <c r="F455">
        <f>VLOOKUP($B455,Sheet2!$A:$E,5,0)</f>
        <v>80</v>
      </c>
      <c r="G455">
        <f>VLOOKUP($B455,Sheet2!$A:$G,7,0)</f>
        <v>77</v>
      </c>
      <c r="H455">
        <f>VLOOKUP($B455,Sheet2!$A:$G,6,0)</f>
        <v>80</v>
      </c>
    </row>
    <row r="456" spans="1:8">
      <c r="A456">
        <v>231141</v>
      </c>
      <c r="B456" t="s">
        <v>463</v>
      </c>
      <c r="C456">
        <f>VLOOKUP($B456,Sheet2!$A:$E,2,0)</f>
        <v>89</v>
      </c>
      <c r="D456">
        <f>VLOOKUP($B456,Sheet2!$A:$E,3,0)</f>
        <v>92</v>
      </c>
      <c r="E456">
        <f>VLOOKUP($B456,Sheet2!$A:$E,4,0)</f>
        <v>97</v>
      </c>
      <c r="F456">
        <f>VLOOKUP($B456,Sheet2!$A:$E,5,0)</f>
        <v>83</v>
      </c>
      <c r="G456">
        <f>VLOOKUP($B456,Sheet2!$A:$G,7,0)</f>
        <v>79</v>
      </c>
      <c r="H456">
        <f>VLOOKUP($B456,Sheet2!$A:$G,6,0)</f>
        <v>75</v>
      </c>
    </row>
    <row r="457" spans="1:8">
      <c r="A457">
        <v>231142</v>
      </c>
      <c r="B457" t="s">
        <v>464</v>
      </c>
      <c r="C457">
        <f>VLOOKUP($B457,Sheet2!$A:$E,2,0)</f>
        <v>93</v>
      </c>
      <c r="D457">
        <f>VLOOKUP($B457,Sheet2!$A:$E,3,0)</f>
        <v>113</v>
      </c>
      <c r="E457">
        <f>VLOOKUP($B457,Sheet2!$A:$E,4,0)</f>
        <v>103</v>
      </c>
      <c r="F457">
        <f>VLOOKUP($B457,Sheet2!$A:$E,5,0)</f>
        <v>88</v>
      </c>
      <c r="G457">
        <f>VLOOKUP($B457,Sheet2!$A:$G,7,0)</f>
        <v>74</v>
      </c>
      <c r="H457">
        <f>VLOOKUP($B457,Sheet2!$A:$G,6,0)</f>
        <v>77</v>
      </c>
    </row>
    <row r="458" spans="1:8">
      <c r="A458">
        <v>231143</v>
      </c>
      <c r="B458" t="s">
        <v>465</v>
      </c>
      <c r="C458">
        <f>VLOOKUP($B458,Sheet2!$A:$E,2,0)</f>
        <v>105</v>
      </c>
      <c r="D458">
        <f>VLOOKUP($B458,Sheet2!$A:$E,3,0)</f>
        <v>100</v>
      </c>
      <c r="E458">
        <f>VLOOKUP($B458,Sheet2!$A:$E,4,0)</f>
        <v>110</v>
      </c>
      <c r="F458">
        <f>VLOOKUP($B458,Sheet2!$A:$E,5,0)</f>
        <v>88</v>
      </c>
      <c r="G458">
        <f>VLOOKUP($B458,Sheet2!$A:$G,7,0)</f>
        <v>80</v>
      </c>
      <c r="H458">
        <f>VLOOKUP($B458,Sheet2!$A:$G,6,0)</f>
        <v>81</v>
      </c>
    </row>
    <row r="459" spans="1:8">
      <c r="A459">
        <v>231144</v>
      </c>
      <c r="B459" t="s">
        <v>466</v>
      </c>
      <c r="C459">
        <f>VLOOKUP($B459,Sheet2!$A:$E,2,0)</f>
        <v>88</v>
      </c>
      <c r="D459">
        <f>VLOOKUP($B459,Sheet2!$A:$E,3,0)</f>
        <v>78</v>
      </c>
      <c r="E459">
        <f>VLOOKUP($B459,Sheet2!$A:$E,4,0)</f>
        <v>77</v>
      </c>
      <c r="F459">
        <f>VLOOKUP($B459,Sheet2!$A:$E,5,0)</f>
        <v>77</v>
      </c>
      <c r="G459">
        <f>VLOOKUP($B459,Sheet2!$A:$G,7,0)</f>
        <v>59</v>
      </c>
      <c r="H459">
        <f>VLOOKUP($B459,Sheet2!$A:$G,6,0)</f>
        <v>65</v>
      </c>
    </row>
    <row r="460" spans="1:8">
      <c r="A460">
        <v>231704</v>
      </c>
      <c r="B460" t="s">
        <v>467</v>
      </c>
      <c r="C460">
        <f>VLOOKUP($B460,Sheet2!$A:$E,2,0)</f>
        <v>78.5</v>
      </c>
      <c r="D460">
        <f>VLOOKUP($B460,Sheet2!$A:$E,3,0)</f>
        <v>96</v>
      </c>
      <c r="E460">
        <f>VLOOKUP($B460,Sheet2!$A:$E,4,0)</f>
        <v>99.5</v>
      </c>
      <c r="F460">
        <f>VLOOKUP($B460,Sheet2!$A:$E,5,0)</f>
        <v>76</v>
      </c>
      <c r="G460">
        <f>VLOOKUP($B460,Sheet2!$A:$G,7,0)</f>
        <v>63</v>
      </c>
      <c r="H460">
        <f>VLOOKUP($B460,Sheet2!$A:$G,6,0)</f>
        <v>77</v>
      </c>
    </row>
    <row r="461" spans="1:8">
      <c r="A461">
        <v>220342</v>
      </c>
      <c r="B461" t="s">
        <v>468</v>
      </c>
      <c r="C461" t="e">
        <f>VLOOKUP($B461,Sheet2!$A:$E,2,0)</f>
        <v>#N/A</v>
      </c>
      <c r="D461" t="e">
        <f>VLOOKUP($B461,Sheet2!$A:$E,3,0)</f>
        <v>#N/A</v>
      </c>
      <c r="E461" t="e">
        <f>VLOOKUP($B461,Sheet2!$A:$E,4,0)</f>
        <v>#N/A</v>
      </c>
      <c r="F461" t="e">
        <f>VLOOKUP($B461,Sheet2!$A:$E,5,0)</f>
        <v>#N/A</v>
      </c>
      <c r="G461" t="e">
        <f>VLOOKUP($B461,Sheet2!$A:$G,7,0)</f>
        <v>#N/A</v>
      </c>
      <c r="H461" t="e">
        <f>VLOOKUP($B461,Sheet2!$A:$G,6,0)</f>
        <v>#N/A</v>
      </c>
    </row>
    <row r="462" spans="1:8">
      <c r="A462">
        <v>231201</v>
      </c>
      <c r="B462" t="s">
        <v>469</v>
      </c>
      <c r="C462">
        <f>VLOOKUP($B462,Sheet2!$A:$E,2,0)</f>
        <v>94</v>
      </c>
      <c r="D462">
        <f>VLOOKUP($B462,Sheet2!$A:$E,3,0)</f>
        <v>84</v>
      </c>
      <c r="E462">
        <f>VLOOKUP($B462,Sheet2!$A:$E,4,0)</f>
        <v>88</v>
      </c>
      <c r="F462">
        <f>VLOOKUP($B462,Sheet2!$A:$E,5,0)</f>
        <v>88</v>
      </c>
      <c r="G462">
        <f>VLOOKUP($B462,Sheet2!$A:$G,7,0)</f>
        <v>70</v>
      </c>
      <c r="H462">
        <f>VLOOKUP($B462,Sheet2!$A:$G,6,0)</f>
        <v>72</v>
      </c>
    </row>
    <row r="463" spans="1:8">
      <c r="A463">
        <v>231203</v>
      </c>
      <c r="B463" t="s">
        <v>470</v>
      </c>
      <c r="C463">
        <f>VLOOKUP($B463,Sheet2!$A:$E,2,0)</f>
        <v>100</v>
      </c>
      <c r="D463">
        <f>VLOOKUP($B463,Sheet2!$A:$E,3,0)</f>
        <v>97</v>
      </c>
      <c r="E463">
        <f>VLOOKUP($B463,Sheet2!$A:$E,4,0)</f>
        <v>102</v>
      </c>
      <c r="F463">
        <f>VLOOKUP($B463,Sheet2!$A:$E,5,0)</f>
        <v>80</v>
      </c>
      <c r="G463">
        <f>VLOOKUP($B463,Sheet2!$A:$G,7,0)</f>
        <v>78</v>
      </c>
      <c r="H463">
        <f>VLOOKUP($B463,Sheet2!$A:$G,6,0)</f>
        <v>70</v>
      </c>
    </row>
    <row r="464" spans="1:8">
      <c r="A464">
        <v>231204</v>
      </c>
      <c r="B464" t="s">
        <v>471</v>
      </c>
      <c r="C464">
        <f>VLOOKUP($B464,Sheet2!$A:$E,2,0)</f>
        <v>96.5</v>
      </c>
      <c r="D464">
        <f>VLOOKUP($B464,Sheet2!$A:$E,3,0)</f>
        <v>110</v>
      </c>
      <c r="E464">
        <f>VLOOKUP($B464,Sheet2!$A:$E,4,0)</f>
        <v>60</v>
      </c>
      <c r="F464">
        <f>VLOOKUP($B464,Sheet2!$A:$E,5,0)</f>
        <v>86</v>
      </c>
      <c r="G464">
        <f>VLOOKUP($B464,Sheet2!$A:$G,7,0)</f>
        <v>75</v>
      </c>
      <c r="H464">
        <f>VLOOKUP($B464,Sheet2!$A:$G,6,0)</f>
        <v>81</v>
      </c>
    </row>
    <row r="465" spans="1:8">
      <c r="A465">
        <v>231205</v>
      </c>
      <c r="B465" t="s">
        <v>472</v>
      </c>
      <c r="C465">
        <f>VLOOKUP($B465,Sheet2!$A:$E,2,0)</f>
        <v>103</v>
      </c>
      <c r="D465">
        <f>VLOOKUP($B465,Sheet2!$A:$E,3,0)</f>
        <v>113</v>
      </c>
      <c r="E465">
        <f>VLOOKUP($B465,Sheet2!$A:$E,4,0)</f>
        <v>110</v>
      </c>
      <c r="F465">
        <f>VLOOKUP($B465,Sheet2!$A:$E,5,0)</f>
        <v>86</v>
      </c>
      <c r="G465">
        <f>VLOOKUP($B465,Sheet2!$A:$G,7,0)</f>
        <v>86</v>
      </c>
      <c r="H465">
        <f>VLOOKUP($B465,Sheet2!$A:$G,6,0)</f>
        <v>86</v>
      </c>
    </row>
    <row r="466" spans="1:8">
      <c r="A466">
        <v>231206</v>
      </c>
      <c r="B466" t="s">
        <v>473</v>
      </c>
      <c r="C466">
        <f>VLOOKUP($B466,Sheet2!$A:$E,2,0)</f>
        <v>97.5</v>
      </c>
      <c r="D466">
        <f>VLOOKUP($B466,Sheet2!$A:$E,3,0)</f>
        <v>108</v>
      </c>
      <c r="E466">
        <f>VLOOKUP($B466,Sheet2!$A:$E,4,0)</f>
        <v>107</v>
      </c>
      <c r="F466">
        <f>VLOOKUP($B466,Sheet2!$A:$E,5,0)</f>
        <v>89</v>
      </c>
      <c r="G466">
        <f>VLOOKUP($B466,Sheet2!$A:$G,7,0)</f>
        <v>79</v>
      </c>
      <c r="H466">
        <f>VLOOKUP($B466,Sheet2!$A:$G,6,0)</f>
        <v>68</v>
      </c>
    </row>
    <row r="467" spans="1:8">
      <c r="A467">
        <v>231207</v>
      </c>
      <c r="B467" t="s">
        <v>474</v>
      </c>
      <c r="C467">
        <f>VLOOKUP($B467,Sheet2!$A:$E,2,0)</f>
        <v>106</v>
      </c>
      <c r="D467">
        <f>VLOOKUP($B467,Sheet2!$A:$E,3,0)</f>
        <v>88</v>
      </c>
      <c r="E467">
        <f>VLOOKUP($B467,Sheet2!$A:$E,4,0)</f>
        <v>112</v>
      </c>
      <c r="F467">
        <f>VLOOKUP($B467,Sheet2!$A:$E,5,0)</f>
        <v>90</v>
      </c>
      <c r="G467">
        <f>VLOOKUP($B467,Sheet2!$A:$G,7,0)</f>
        <v>78</v>
      </c>
      <c r="H467">
        <f>VLOOKUP($B467,Sheet2!$A:$G,6,0)</f>
        <v>74</v>
      </c>
    </row>
    <row r="468" spans="1:8">
      <c r="A468">
        <v>231208</v>
      </c>
      <c r="B468" t="s">
        <v>475</v>
      </c>
      <c r="C468">
        <f>VLOOKUP($B468,Sheet2!$A:$E,2,0)</f>
        <v>94</v>
      </c>
      <c r="D468">
        <f>VLOOKUP($B468,Sheet2!$A:$E,3,0)</f>
        <v>94</v>
      </c>
      <c r="E468">
        <f>VLOOKUP($B468,Sheet2!$A:$E,4,0)</f>
        <v>88</v>
      </c>
      <c r="F468">
        <f>VLOOKUP($B468,Sheet2!$A:$E,5,0)</f>
        <v>85</v>
      </c>
      <c r="G468">
        <f>VLOOKUP($B468,Sheet2!$A:$G,7,0)</f>
        <v>69</v>
      </c>
      <c r="H468">
        <f>VLOOKUP($B468,Sheet2!$A:$G,6,0)</f>
        <v>71</v>
      </c>
    </row>
    <row r="469" spans="1:8">
      <c r="A469">
        <v>231209</v>
      </c>
      <c r="B469" t="s">
        <v>476</v>
      </c>
      <c r="C469">
        <f>VLOOKUP($B469,Sheet2!$A:$E,2,0)</f>
        <v>101</v>
      </c>
      <c r="D469">
        <f>VLOOKUP($B469,Sheet2!$A:$E,3,0)</f>
        <v>91</v>
      </c>
      <c r="E469">
        <f>VLOOKUP($B469,Sheet2!$A:$E,4,0)</f>
        <v>111</v>
      </c>
      <c r="F469">
        <f>VLOOKUP($B469,Sheet2!$A:$E,5,0)</f>
        <v>86</v>
      </c>
      <c r="G469">
        <f>VLOOKUP($B469,Sheet2!$A:$G,7,0)</f>
        <v>75</v>
      </c>
      <c r="H469">
        <f>VLOOKUP($B469,Sheet2!$A:$G,6,0)</f>
        <v>71</v>
      </c>
    </row>
    <row r="470" spans="1:8">
      <c r="A470">
        <v>231210</v>
      </c>
      <c r="B470" t="s">
        <v>477</v>
      </c>
      <c r="C470">
        <f>VLOOKUP($B470,Sheet2!$A:$E,2,0)</f>
        <v>97.5</v>
      </c>
      <c r="D470">
        <f>VLOOKUP($B470,Sheet2!$A:$E,3,0)</f>
        <v>107</v>
      </c>
      <c r="E470">
        <f>VLOOKUP($B470,Sheet2!$A:$E,4,0)</f>
        <v>108</v>
      </c>
      <c r="F470">
        <f>VLOOKUP($B470,Sheet2!$A:$E,5,0)</f>
        <v>88</v>
      </c>
      <c r="G470">
        <f>VLOOKUP($B470,Sheet2!$A:$G,7,0)</f>
        <v>81</v>
      </c>
      <c r="H470">
        <f>VLOOKUP($B470,Sheet2!$A:$G,6,0)</f>
        <v>86</v>
      </c>
    </row>
    <row r="471" spans="1:8">
      <c r="A471">
        <v>231211</v>
      </c>
      <c r="B471" t="s">
        <v>478</v>
      </c>
      <c r="C471">
        <f>VLOOKUP($B471,Sheet2!$A:$E,2,0)</f>
        <v>89</v>
      </c>
      <c r="D471">
        <f>VLOOKUP($B471,Sheet2!$A:$E,3,0)</f>
        <v>95</v>
      </c>
      <c r="E471">
        <f>VLOOKUP($B471,Sheet2!$A:$E,4,0)</f>
        <v>103</v>
      </c>
      <c r="F471">
        <f>VLOOKUP($B471,Sheet2!$A:$E,5,0)</f>
        <v>88</v>
      </c>
      <c r="G471">
        <f>VLOOKUP($B471,Sheet2!$A:$G,7,0)</f>
        <v>68</v>
      </c>
      <c r="H471">
        <f>VLOOKUP($B471,Sheet2!$A:$G,6,0)</f>
        <v>78</v>
      </c>
    </row>
    <row r="472" spans="1:8">
      <c r="A472">
        <v>231212</v>
      </c>
      <c r="B472" t="s">
        <v>479</v>
      </c>
      <c r="C472">
        <f>VLOOKUP($B472,Sheet2!$A:$E,2,0)</f>
        <v>95</v>
      </c>
      <c r="D472">
        <f>VLOOKUP($B472,Sheet2!$A:$E,3,0)</f>
        <v>101</v>
      </c>
      <c r="E472">
        <f>VLOOKUP($B472,Sheet2!$A:$E,4,0)</f>
        <v>83</v>
      </c>
      <c r="F472">
        <f>VLOOKUP($B472,Sheet2!$A:$E,5,0)</f>
        <v>76</v>
      </c>
      <c r="G472">
        <f>VLOOKUP($B472,Sheet2!$A:$G,7,0)</f>
        <v>59</v>
      </c>
      <c r="H472">
        <f>VLOOKUP($B472,Sheet2!$A:$G,6,0)</f>
        <v>74</v>
      </c>
    </row>
    <row r="473" spans="1:8">
      <c r="A473">
        <v>231213</v>
      </c>
      <c r="B473" t="s">
        <v>480</v>
      </c>
      <c r="C473">
        <f>VLOOKUP($B473,Sheet2!$A:$E,2,0)</f>
        <v>94</v>
      </c>
      <c r="D473">
        <f>VLOOKUP($B473,Sheet2!$A:$E,3,0)</f>
        <v>97</v>
      </c>
      <c r="E473">
        <f>VLOOKUP($B473,Sheet2!$A:$E,4,0)</f>
        <v>99.5</v>
      </c>
      <c r="F473">
        <f>VLOOKUP($B473,Sheet2!$A:$E,5,0)</f>
        <v>85</v>
      </c>
      <c r="G473">
        <f>VLOOKUP($B473,Sheet2!$A:$G,7,0)</f>
        <v>64</v>
      </c>
      <c r="H473">
        <f>VLOOKUP($B473,Sheet2!$A:$G,6,0)</f>
        <v>76</v>
      </c>
    </row>
    <row r="474" spans="1:8">
      <c r="A474">
        <v>231214</v>
      </c>
      <c r="B474" t="s">
        <v>481</v>
      </c>
      <c r="C474">
        <f>VLOOKUP($B474,Sheet2!$A:$E,2,0)</f>
        <v>89</v>
      </c>
      <c r="D474">
        <f>VLOOKUP($B474,Sheet2!$A:$E,3,0)</f>
        <v>108</v>
      </c>
      <c r="E474">
        <f>VLOOKUP($B474,Sheet2!$A:$E,4,0)</f>
        <v>100</v>
      </c>
      <c r="F474">
        <f>VLOOKUP($B474,Sheet2!$A:$E,5,0)</f>
        <v>90</v>
      </c>
      <c r="G474">
        <f>VLOOKUP($B474,Sheet2!$A:$G,7,0)</f>
        <v>83</v>
      </c>
      <c r="H474">
        <f>VLOOKUP($B474,Sheet2!$A:$G,6,0)</f>
        <v>78</v>
      </c>
    </row>
    <row r="475" spans="1:8">
      <c r="A475">
        <v>231215</v>
      </c>
      <c r="B475" t="s">
        <v>482</v>
      </c>
      <c r="C475">
        <f>VLOOKUP($B475,Sheet2!$A:$E,2,0)</f>
        <v>90.5</v>
      </c>
      <c r="D475">
        <f>VLOOKUP($B475,Sheet2!$A:$E,3,0)</f>
        <v>96</v>
      </c>
      <c r="E475">
        <f>VLOOKUP($B475,Sheet2!$A:$E,4,0)</f>
        <v>82.5</v>
      </c>
      <c r="F475">
        <f>VLOOKUP($B475,Sheet2!$A:$E,5,0)</f>
        <v>87</v>
      </c>
      <c r="G475">
        <f>VLOOKUP($B475,Sheet2!$A:$G,7,0)</f>
        <v>70</v>
      </c>
      <c r="H475">
        <f>VLOOKUP($B475,Sheet2!$A:$G,6,0)</f>
        <v>63</v>
      </c>
    </row>
    <row r="476" spans="1:8">
      <c r="A476">
        <v>231216</v>
      </c>
      <c r="B476" t="s">
        <v>483</v>
      </c>
      <c r="C476">
        <f>VLOOKUP($B476,Sheet2!$A:$E,2,0)</f>
        <v>95</v>
      </c>
      <c r="D476">
        <f>VLOOKUP($B476,Sheet2!$A:$E,3,0)</f>
        <v>114</v>
      </c>
      <c r="E476">
        <f>VLOOKUP($B476,Sheet2!$A:$E,4,0)</f>
        <v>110.5</v>
      </c>
      <c r="F476">
        <f>VLOOKUP($B476,Sheet2!$A:$E,5,0)</f>
        <v>83</v>
      </c>
      <c r="G476">
        <f>VLOOKUP($B476,Sheet2!$A:$G,7,0)</f>
        <v>71</v>
      </c>
      <c r="H476">
        <f>VLOOKUP($B476,Sheet2!$A:$G,6,0)</f>
        <v>67</v>
      </c>
    </row>
    <row r="477" spans="1:8">
      <c r="A477">
        <v>231217</v>
      </c>
      <c r="B477" t="s">
        <v>484</v>
      </c>
      <c r="C477">
        <f>VLOOKUP($B477,Sheet2!$A:$E,2,0)</f>
        <v>107</v>
      </c>
      <c r="D477">
        <f>VLOOKUP($B477,Sheet2!$A:$E,3,0)</f>
        <v>92</v>
      </c>
      <c r="E477">
        <f>VLOOKUP($B477,Sheet2!$A:$E,4,0)</f>
        <v>101</v>
      </c>
      <c r="F477">
        <f>VLOOKUP($B477,Sheet2!$A:$E,5,0)</f>
        <v>77</v>
      </c>
      <c r="G477">
        <f>VLOOKUP($B477,Sheet2!$A:$G,7,0)</f>
        <v>79</v>
      </c>
      <c r="H477">
        <f>VLOOKUP($B477,Sheet2!$A:$G,6,0)</f>
        <v>79</v>
      </c>
    </row>
    <row r="478" spans="1:8">
      <c r="A478">
        <v>231218</v>
      </c>
      <c r="B478" t="s">
        <v>485</v>
      </c>
      <c r="C478">
        <f>VLOOKUP($B478,Sheet2!$A:$E,2,0)</f>
        <v>94</v>
      </c>
      <c r="D478">
        <f>VLOOKUP($B478,Sheet2!$A:$E,3,0)</f>
        <v>80</v>
      </c>
      <c r="E478">
        <f>VLOOKUP($B478,Sheet2!$A:$E,4,0)</f>
        <v>104</v>
      </c>
      <c r="F478">
        <f>VLOOKUP($B478,Sheet2!$A:$E,5,0)</f>
        <v>81</v>
      </c>
      <c r="G478">
        <f>VLOOKUP($B478,Sheet2!$A:$G,7,0)</f>
        <v>68</v>
      </c>
      <c r="H478">
        <f>VLOOKUP($B478,Sheet2!$A:$G,6,0)</f>
        <v>79</v>
      </c>
    </row>
    <row r="479" spans="1:8">
      <c r="A479">
        <v>231219</v>
      </c>
      <c r="B479" t="s">
        <v>486</v>
      </c>
      <c r="C479">
        <f>VLOOKUP($B479,Sheet2!$A:$E,2,0)</f>
        <v>98</v>
      </c>
      <c r="D479">
        <f>VLOOKUP($B479,Sheet2!$A:$E,3,0)</f>
        <v>85</v>
      </c>
      <c r="E479">
        <f>VLOOKUP($B479,Sheet2!$A:$E,4,0)</f>
        <v>105.5</v>
      </c>
      <c r="F479">
        <f>VLOOKUP($B479,Sheet2!$A:$E,5,0)</f>
        <v>87</v>
      </c>
      <c r="G479">
        <f>VLOOKUP($B479,Sheet2!$A:$G,7,0)</f>
        <v>82</v>
      </c>
      <c r="H479">
        <f>VLOOKUP($B479,Sheet2!$A:$G,6,0)</f>
        <v>79</v>
      </c>
    </row>
    <row r="480" spans="1:8">
      <c r="A480">
        <v>231220</v>
      </c>
      <c r="B480" t="s">
        <v>487</v>
      </c>
      <c r="C480">
        <f>VLOOKUP($B480,Sheet2!$A:$E,2,0)</f>
        <v>99</v>
      </c>
      <c r="D480">
        <f>VLOOKUP($B480,Sheet2!$A:$E,3,0)</f>
        <v>106</v>
      </c>
      <c r="E480">
        <f>VLOOKUP($B480,Sheet2!$A:$E,4,0)</f>
        <v>109</v>
      </c>
      <c r="F480">
        <f>VLOOKUP($B480,Sheet2!$A:$E,5,0)</f>
        <v>90</v>
      </c>
      <c r="G480">
        <f>VLOOKUP($B480,Sheet2!$A:$G,7,0)</f>
        <v>81</v>
      </c>
      <c r="H480">
        <f>VLOOKUP($B480,Sheet2!$A:$G,6,0)</f>
        <v>79</v>
      </c>
    </row>
    <row r="481" spans="1:8">
      <c r="A481">
        <v>231221</v>
      </c>
      <c r="B481" t="s">
        <v>488</v>
      </c>
      <c r="C481">
        <f>VLOOKUP($B481,Sheet2!$A:$E,2,0)</f>
        <v>98</v>
      </c>
      <c r="D481">
        <f>VLOOKUP($B481,Sheet2!$A:$E,3,0)</f>
        <v>93</v>
      </c>
      <c r="E481">
        <f>VLOOKUP($B481,Sheet2!$A:$E,4,0)</f>
        <v>96.5</v>
      </c>
      <c r="F481">
        <f>VLOOKUP($B481,Sheet2!$A:$E,5,0)</f>
        <v>86</v>
      </c>
      <c r="G481">
        <f>VLOOKUP($B481,Sheet2!$A:$G,7,0)</f>
        <v>66</v>
      </c>
      <c r="H481">
        <f>VLOOKUP($B481,Sheet2!$A:$G,6,0)</f>
        <v>76</v>
      </c>
    </row>
    <row r="482" spans="1:8">
      <c r="A482">
        <v>231222</v>
      </c>
      <c r="B482" t="s">
        <v>489</v>
      </c>
      <c r="C482">
        <f>VLOOKUP($B482,Sheet2!$A:$E,2,0)</f>
        <v>99</v>
      </c>
      <c r="D482">
        <f>VLOOKUP($B482,Sheet2!$A:$E,3,0)</f>
        <v>108</v>
      </c>
      <c r="E482">
        <f>VLOOKUP($B482,Sheet2!$A:$E,4,0)</f>
        <v>113.5</v>
      </c>
      <c r="F482">
        <f>VLOOKUP($B482,Sheet2!$A:$E,5,0)</f>
        <v>90</v>
      </c>
      <c r="G482">
        <f>VLOOKUP($B482,Sheet2!$A:$G,7,0)</f>
        <v>78</v>
      </c>
      <c r="H482">
        <f>VLOOKUP($B482,Sheet2!$A:$G,6,0)</f>
        <v>82</v>
      </c>
    </row>
    <row r="483" spans="1:8">
      <c r="A483">
        <v>231223</v>
      </c>
      <c r="B483" t="s">
        <v>490</v>
      </c>
      <c r="C483">
        <f>VLOOKUP($B483,Sheet2!$A:$E,2,0)</f>
        <v>89</v>
      </c>
      <c r="D483">
        <f>VLOOKUP($B483,Sheet2!$A:$E,3,0)</f>
        <v>93</v>
      </c>
      <c r="E483">
        <f>VLOOKUP($B483,Sheet2!$A:$E,4,0)</f>
        <v>89.5</v>
      </c>
      <c r="F483">
        <f>VLOOKUP($B483,Sheet2!$A:$E,5,0)</f>
        <v>83</v>
      </c>
      <c r="G483">
        <f>VLOOKUP($B483,Sheet2!$A:$G,7,0)</f>
        <v>70</v>
      </c>
      <c r="H483">
        <f>VLOOKUP($B483,Sheet2!$A:$G,6,0)</f>
        <v>81</v>
      </c>
    </row>
    <row r="484" spans="1:8">
      <c r="A484">
        <v>231224</v>
      </c>
      <c r="B484" t="s">
        <v>491</v>
      </c>
      <c r="C484">
        <f>VLOOKUP($B484,Sheet2!$A:$E,2,0)</f>
        <v>107.5</v>
      </c>
      <c r="D484">
        <f>VLOOKUP($B484,Sheet2!$A:$E,3,0)</f>
        <v>87</v>
      </c>
      <c r="E484">
        <f>VLOOKUP($B484,Sheet2!$A:$E,4,0)</f>
        <v>106</v>
      </c>
      <c r="F484">
        <f>VLOOKUP($B484,Sheet2!$A:$E,5,0)</f>
        <v>76</v>
      </c>
      <c r="G484">
        <f>VLOOKUP($B484,Sheet2!$A:$G,7,0)</f>
        <v>73</v>
      </c>
      <c r="H484">
        <f>VLOOKUP($B484,Sheet2!$A:$G,6,0)</f>
        <v>69</v>
      </c>
    </row>
    <row r="485" spans="1:8">
      <c r="A485">
        <v>231225</v>
      </c>
      <c r="B485" t="s">
        <v>492</v>
      </c>
      <c r="C485">
        <f>VLOOKUP($B485,Sheet2!$A:$E,2,0)</f>
        <v>98</v>
      </c>
      <c r="D485">
        <f>VLOOKUP($B485,Sheet2!$A:$E,3,0)</f>
        <v>98</v>
      </c>
      <c r="E485">
        <f>VLOOKUP($B485,Sheet2!$A:$E,4,0)</f>
        <v>111.5</v>
      </c>
      <c r="F485">
        <f>VLOOKUP($B485,Sheet2!$A:$E,5,0)</f>
        <v>88</v>
      </c>
      <c r="G485">
        <f>VLOOKUP($B485,Sheet2!$A:$G,7,0)</f>
        <v>79</v>
      </c>
      <c r="H485">
        <f>VLOOKUP($B485,Sheet2!$A:$G,6,0)</f>
        <v>80</v>
      </c>
    </row>
    <row r="486" spans="1:8">
      <c r="A486">
        <v>231227</v>
      </c>
      <c r="B486" t="s">
        <v>493</v>
      </c>
      <c r="C486">
        <f>VLOOKUP($B486,Sheet2!$A:$E,2,0)</f>
        <v>93</v>
      </c>
      <c r="D486">
        <f>VLOOKUP($B486,Sheet2!$A:$E,3,0)</f>
        <v>99</v>
      </c>
      <c r="E486">
        <f>VLOOKUP($B486,Sheet2!$A:$E,4,0)</f>
        <v>87.5</v>
      </c>
      <c r="F486">
        <f>VLOOKUP($B486,Sheet2!$A:$E,5,0)</f>
        <v>90</v>
      </c>
      <c r="G486">
        <f>VLOOKUP($B486,Sheet2!$A:$G,7,0)</f>
        <v>64</v>
      </c>
      <c r="H486">
        <f>VLOOKUP($B486,Sheet2!$A:$G,6,0)</f>
        <v>76</v>
      </c>
    </row>
    <row r="487" spans="1:8">
      <c r="A487">
        <v>231228</v>
      </c>
      <c r="B487" t="s">
        <v>494</v>
      </c>
      <c r="C487">
        <f>VLOOKUP($B487,Sheet2!$A:$E,2,0)</f>
        <v>98</v>
      </c>
      <c r="D487">
        <f>VLOOKUP($B487,Sheet2!$A:$E,3,0)</f>
        <v>90</v>
      </c>
      <c r="E487">
        <f>VLOOKUP($B487,Sheet2!$A:$E,4,0)</f>
        <v>101.5</v>
      </c>
      <c r="F487">
        <f>VLOOKUP($B487,Sheet2!$A:$E,5,0)</f>
        <v>80</v>
      </c>
      <c r="G487">
        <f>VLOOKUP($B487,Sheet2!$A:$G,7,0)</f>
        <v>67</v>
      </c>
      <c r="H487">
        <f>VLOOKUP($B487,Sheet2!$A:$G,6,0)</f>
        <v>82</v>
      </c>
    </row>
    <row r="488" spans="1:8">
      <c r="A488">
        <v>231229</v>
      </c>
      <c r="B488" t="s">
        <v>495</v>
      </c>
      <c r="C488">
        <f>VLOOKUP($B488,Sheet2!$A:$E,2,0)</f>
        <v>94</v>
      </c>
      <c r="D488">
        <f>VLOOKUP($B488,Sheet2!$A:$E,3,0)</f>
        <v>88</v>
      </c>
      <c r="E488">
        <f>VLOOKUP($B488,Sheet2!$A:$E,4,0)</f>
        <v>102.5</v>
      </c>
      <c r="F488">
        <f>VLOOKUP($B488,Sheet2!$A:$E,5,0)</f>
        <v>83</v>
      </c>
      <c r="G488">
        <f>VLOOKUP($B488,Sheet2!$A:$G,7,0)</f>
        <v>81</v>
      </c>
      <c r="H488">
        <f>VLOOKUP($B488,Sheet2!$A:$G,6,0)</f>
        <v>82</v>
      </c>
    </row>
    <row r="489" spans="1:8">
      <c r="A489">
        <v>231230</v>
      </c>
      <c r="B489" t="s">
        <v>496</v>
      </c>
      <c r="C489">
        <f>VLOOKUP($B489,Sheet2!$A:$E,2,0)</f>
        <v>88</v>
      </c>
      <c r="D489">
        <f>VLOOKUP($B489,Sheet2!$A:$E,3,0)</f>
        <v>99</v>
      </c>
      <c r="E489">
        <f>VLOOKUP($B489,Sheet2!$A:$E,4,0)</f>
        <v>97</v>
      </c>
      <c r="F489">
        <f>VLOOKUP($B489,Sheet2!$A:$E,5,0)</f>
        <v>82</v>
      </c>
      <c r="G489">
        <f>VLOOKUP($B489,Sheet2!$A:$G,7,0)</f>
        <v>64</v>
      </c>
      <c r="H489">
        <f>VLOOKUP($B489,Sheet2!$A:$G,6,0)</f>
        <v>74</v>
      </c>
    </row>
    <row r="490" spans="1:8">
      <c r="A490">
        <v>231231</v>
      </c>
      <c r="B490" t="s">
        <v>497</v>
      </c>
      <c r="C490">
        <f>VLOOKUP($B490,Sheet2!$A:$E,2,0)</f>
        <v>80</v>
      </c>
      <c r="D490">
        <f>VLOOKUP($B490,Sheet2!$A:$E,3,0)</f>
        <v>87</v>
      </c>
      <c r="E490">
        <f>VLOOKUP($B490,Sheet2!$A:$E,4,0)</f>
        <v>76.5</v>
      </c>
      <c r="F490">
        <f>VLOOKUP($B490,Sheet2!$A:$E,5,0)</f>
        <v>87</v>
      </c>
      <c r="G490">
        <f>VLOOKUP($B490,Sheet2!$A:$G,7,0)</f>
        <v>59</v>
      </c>
      <c r="H490">
        <f>VLOOKUP($B490,Sheet2!$A:$G,6,0)</f>
        <v>72</v>
      </c>
    </row>
    <row r="491" spans="1:8">
      <c r="A491">
        <v>231232</v>
      </c>
      <c r="B491" t="s">
        <v>498</v>
      </c>
      <c r="C491">
        <f>VLOOKUP($B491,Sheet2!$A:$E,2,0)</f>
        <v>106</v>
      </c>
      <c r="D491">
        <f>VLOOKUP($B491,Sheet2!$A:$E,3,0)</f>
        <v>101</v>
      </c>
      <c r="E491">
        <f>VLOOKUP($B491,Sheet2!$A:$E,4,0)</f>
        <v>105.5</v>
      </c>
      <c r="F491">
        <f>VLOOKUP($B491,Sheet2!$A:$E,5,0)</f>
        <v>89</v>
      </c>
      <c r="G491">
        <f>VLOOKUP($B491,Sheet2!$A:$G,7,0)</f>
        <v>79</v>
      </c>
      <c r="H491">
        <f>VLOOKUP($B491,Sheet2!$A:$G,6,0)</f>
        <v>87</v>
      </c>
    </row>
    <row r="492" spans="1:8">
      <c r="A492">
        <v>231233</v>
      </c>
      <c r="B492" t="s">
        <v>499</v>
      </c>
      <c r="C492">
        <f>VLOOKUP($B492,Sheet2!$A:$E,2,0)</f>
        <v>105.5</v>
      </c>
      <c r="D492">
        <f>VLOOKUP($B492,Sheet2!$A:$E,3,0)</f>
        <v>91</v>
      </c>
      <c r="E492">
        <f>VLOOKUP($B492,Sheet2!$A:$E,4,0)</f>
        <v>102.5</v>
      </c>
      <c r="F492">
        <f>VLOOKUP($B492,Sheet2!$A:$E,5,0)</f>
        <v>86</v>
      </c>
      <c r="G492">
        <f>VLOOKUP($B492,Sheet2!$A:$G,7,0)</f>
        <v>76</v>
      </c>
      <c r="H492">
        <f>VLOOKUP($B492,Sheet2!$A:$G,6,0)</f>
        <v>77</v>
      </c>
    </row>
    <row r="493" spans="1:8">
      <c r="A493">
        <v>231234</v>
      </c>
      <c r="B493" t="s">
        <v>500</v>
      </c>
      <c r="C493">
        <f>VLOOKUP($B493,Sheet2!$A:$E,2,0)</f>
        <v>101</v>
      </c>
      <c r="D493">
        <f>VLOOKUP($B493,Sheet2!$A:$E,3,0)</f>
        <v>100</v>
      </c>
      <c r="E493">
        <f>VLOOKUP($B493,Sheet2!$A:$E,4,0)</f>
        <v>101.5</v>
      </c>
      <c r="F493">
        <f>VLOOKUP($B493,Sheet2!$A:$E,5,0)</f>
        <v>89</v>
      </c>
      <c r="G493">
        <f>VLOOKUP($B493,Sheet2!$A:$G,7,0)</f>
        <v>77</v>
      </c>
      <c r="H493">
        <f>VLOOKUP($B493,Sheet2!$A:$G,6,0)</f>
        <v>58</v>
      </c>
    </row>
    <row r="494" spans="1:8">
      <c r="A494">
        <v>231235</v>
      </c>
      <c r="B494" t="s">
        <v>501</v>
      </c>
      <c r="C494">
        <f>VLOOKUP($B494,Sheet2!$A:$E,2,0)</f>
        <v>91</v>
      </c>
      <c r="D494">
        <f>VLOOKUP($B494,Sheet2!$A:$E,3,0)</f>
        <v>105</v>
      </c>
      <c r="E494">
        <f>VLOOKUP($B494,Sheet2!$A:$E,4,0)</f>
        <v>103</v>
      </c>
      <c r="F494">
        <f>VLOOKUP($B494,Sheet2!$A:$E,5,0)</f>
        <v>88</v>
      </c>
      <c r="G494">
        <f>VLOOKUP($B494,Sheet2!$A:$G,7,0)</f>
        <v>78</v>
      </c>
      <c r="H494">
        <f>VLOOKUP($B494,Sheet2!$A:$G,6,0)</f>
        <v>74</v>
      </c>
    </row>
    <row r="495" spans="1:8">
      <c r="A495">
        <v>231236</v>
      </c>
      <c r="B495" t="s">
        <v>502</v>
      </c>
      <c r="C495">
        <f>VLOOKUP($B495,Sheet2!$A:$E,2,0)</f>
        <v>91</v>
      </c>
      <c r="D495">
        <f>VLOOKUP($B495,Sheet2!$A:$E,3,0)</f>
        <v>97</v>
      </c>
      <c r="E495">
        <f>VLOOKUP($B495,Sheet2!$A:$E,4,0)</f>
        <v>107.5</v>
      </c>
      <c r="F495">
        <f>VLOOKUP($B495,Sheet2!$A:$E,5,0)</f>
        <v>88</v>
      </c>
      <c r="G495">
        <f>VLOOKUP($B495,Sheet2!$A:$G,7,0)</f>
        <v>80</v>
      </c>
      <c r="H495">
        <f>VLOOKUP($B495,Sheet2!$A:$G,6,0)</f>
        <v>74</v>
      </c>
    </row>
    <row r="496" spans="1:8">
      <c r="A496">
        <v>231237</v>
      </c>
      <c r="B496" t="s">
        <v>503</v>
      </c>
      <c r="C496">
        <f>VLOOKUP($B496,Sheet2!$A:$E,2,0)</f>
        <v>104</v>
      </c>
      <c r="D496">
        <f>VLOOKUP($B496,Sheet2!$A:$E,3,0)</f>
        <v>96</v>
      </c>
      <c r="E496">
        <f>VLOOKUP($B496,Sheet2!$A:$E,4,0)</f>
        <v>108</v>
      </c>
      <c r="F496">
        <f>VLOOKUP($B496,Sheet2!$A:$E,5,0)</f>
        <v>85</v>
      </c>
      <c r="G496">
        <f>VLOOKUP($B496,Sheet2!$A:$G,7,0)</f>
        <v>81</v>
      </c>
      <c r="H496">
        <f>VLOOKUP($B496,Sheet2!$A:$G,6,0)</f>
        <v>68</v>
      </c>
    </row>
    <row r="497" spans="1:8">
      <c r="A497">
        <v>231239</v>
      </c>
      <c r="B497" t="s">
        <v>504</v>
      </c>
      <c r="C497">
        <f>VLOOKUP($B497,Sheet2!$A:$E,2,0)</f>
        <v>84</v>
      </c>
      <c r="D497">
        <f>VLOOKUP($B497,Sheet2!$A:$E,3,0)</f>
        <v>100</v>
      </c>
      <c r="E497">
        <f>VLOOKUP($B497,Sheet2!$A:$E,4,0)</f>
        <v>74.5</v>
      </c>
      <c r="F497">
        <f>VLOOKUP($B497,Sheet2!$A:$E,5,0)</f>
        <v>89</v>
      </c>
      <c r="G497">
        <f>VLOOKUP($B497,Sheet2!$A:$G,7,0)</f>
        <v>53</v>
      </c>
      <c r="H497">
        <f>VLOOKUP($B497,Sheet2!$A:$G,6,0)</f>
        <v>70</v>
      </c>
    </row>
    <row r="498" spans="1:8">
      <c r="A498">
        <v>231240</v>
      </c>
      <c r="B498" t="s">
        <v>505</v>
      </c>
      <c r="C498">
        <f>VLOOKUP($B498,Sheet2!$A:$E,2,0)</f>
        <v>81</v>
      </c>
      <c r="D498">
        <f>VLOOKUP($B498,Sheet2!$A:$E,3,0)</f>
        <v>108</v>
      </c>
      <c r="E498">
        <f>VLOOKUP($B498,Sheet2!$A:$E,4,0)</f>
        <v>77.5</v>
      </c>
      <c r="F498">
        <f>VLOOKUP($B498,Sheet2!$A:$E,5,0)</f>
        <v>80</v>
      </c>
      <c r="G498">
        <f>VLOOKUP($B498,Sheet2!$A:$G,7,0)</f>
        <v>72</v>
      </c>
      <c r="H498">
        <f>VLOOKUP($B498,Sheet2!$A:$G,6,0)</f>
        <v>63</v>
      </c>
    </row>
    <row r="499" spans="1:8">
      <c r="A499">
        <v>231242</v>
      </c>
      <c r="B499" t="s">
        <v>506</v>
      </c>
      <c r="C499">
        <f>VLOOKUP($B499,Sheet2!$A:$E,2,0)</f>
        <v>100</v>
      </c>
      <c r="D499">
        <f>VLOOKUP($B499,Sheet2!$A:$E,3,0)</f>
        <v>103</v>
      </c>
      <c r="E499">
        <f>VLOOKUP($B499,Sheet2!$A:$E,4,0)</f>
        <v>112</v>
      </c>
      <c r="F499">
        <f>VLOOKUP($B499,Sheet2!$A:$E,5,0)</f>
        <v>89</v>
      </c>
      <c r="G499">
        <f>VLOOKUP($B499,Sheet2!$A:$G,7,0)</f>
        <v>73</v>
      </c>
      <c r="H499">
        <f>VLOOKUP($B499,Sheet2!$A:$G,6,0)</f>
        <v>75</v>
      </c>
    </row>
    <row r="500" spans="1:8">
      <c r="A500">
        <v>231243</v>
      </c>
      <c r="B500" t="s">
        <v>507</v>
      </c>
      <c r="C500">
        <f>VLOOKUP($B500,Sheet2!$A:$E,2,0)</f>
        <v>96</v>
      </c>
      <c r="D500">
        <f>VLOOKUP($B500,Sheet2!$A:$E,3,0)</f>
        <v>99</v>
      </c>
      <c r="E500">
        <f>VLOOKUP($B500,Sheet2!$A:$E,4,0)</f>
        <v>105.5</v>
      </c>
      <c r="F500">
        <f>VLOOKUP($B500,Sheet2!$A:$E,5,0)</f>
        <v>83</v>
      </c>
      <c r="G500">
        <f>VLOOKUP($B500,Sheet2!$A:$G,7,0)</f>
        <v>80</v>
      </c>
      <c r="H500">
        <f>VLOOKUP($B500,Sheet2!$A:$G,6,0)</f>
        <v>74</v>
      </c>
    </row>
    <row r="501" spans="1:8">
      <c r="A501">
        <v>231244</v>
      </c>
      <c r="B501" t="s">
        <v>508</v>
      </c>
      <c r="C501">
        <f>VLOOKUP($B501,Sheet2!$A:$E,2,0)</f>
        <v>106</v>
      </c>
      <c r="D501">
        <f>VLOOKUP($B501,Sheet2!$A:$E,3,0)</f>
        <v>102</v>
      </c>
      <c r="E501">
        <f>VLOOKUP($B501,Sheet2!$A:$E,4,0)</f>
        <v>110.5</v>
      </c>
      <c r="F501">
        <f>VLOOKUP($B501,Sheet2!$A:$E,5,0)</f>
        <v>85</v>
      </c>
      <c r="G501">
        <f>VLOOKUP($B501,Sheet2!$A:$G,7,0)</f>
        <v>80</v>
      </c>
      <c r="H501">
        <f>VLOOKUP($B501,Sheet2!$A:$G,6,0)</f>
        <v>85</v>
      </c>
    </row>
    <row r="502" spans="1:8">
      <c r="A502">
        <v>231245</v>
      </c>
      <c r="B502" t="s">
        <v>509</v>
      </c>
      <c r="C502" t="e">
        <f>VLOOKUP($B502,Sheet2!$A:$E,2,0)</f>
        <v>#N/A</v>
      </c>
      <c r="D502" t="e">
        <f>VLOOKUP($B502,Sheet2!$A:$E,3,0)</f>
        <v>#N/A</v>
      </c>
      <c r="E502" t="e">
        <f>VLOOKUP($B502,Sheet2!$A:$E,4,0)</f>
        <v>#N/A</v>
      </c>
      <c r="F502" t="e">
        <f>VLOOKUP($B502,Sheet2!$A:$E,5,0)</f>
        <v>#N/A</v>
      </c>
      <c r="G502" t="e">
        <f>VLOOKUP($B502,Sheet2!$A:$G,7,0)</f>
        <v>#N/A</v>
      </c>
      <c r="H502" t="e">
        <f>VLOOKUP($B502,Sheet2!$A:$G,6,0)</f>
        <v>#N/A</v>
      </c>
    </row>
    <row r="503" spans="1:8">
      <c r="A503">
        <v>231302</v>
      </c>
      <c r="B503" t="s">
        <v>510</v>
      </c>
      <c r="C503">
        <f>VLOOKUP($B503,Sheet2!$A:$E,2,0)</f>
        <v>84</v>
      </c>
      <c r="D503">
        <f>VLOOKUP($B503,Sheet2!$A:$E,3,0)</f>
        <v>88</v>
      </c>
      <c r="E503">
        <f>VLOOKUP($B503,Sheet2!$A:$E,4,0)</f>
        <v>109.5</v>
      </c>
      <c r="F503">
        <f>VLOOKUP($B503,Sheet2!$A:$E,5,0)</f>
        <v>88</v>
      </c>
      <c r="G503">
        <f>VLOOKUP($B503,Sheet2!$A:$G,7,0)</f>
        <v>68</v>
      </c>
      <c r="H503">
        <f>VLOOKUP($B503,Sheet2!$A:$G,6,0)</f>
        <v>72</v>
      </c>
    </row>
    <row r="504" spans="1:8">
      <c r="A504">
        <v>231303</v>
      </c>
      <c r="B504" t="s">
        <v>511</v>
      </c>
      <c r="C504">
        <f>VLOOKUP($B504,Sheet2!$A:$E,2,0)</f>
        <v>85</v>
      </c>
      <c r="D504">
        <f>VLOOKUP($B504,Sheet2!$A:$E,3,0)</f>
        <v>94</v>
      </c>
      <c r="E504">
        <f>VLOOKUP($B504,Sheet2!$A:$E,4,0)</f>
        <v>100.5</v>
      </c>
      <c r="F504">
        <f>VLOOKUP($B504,Sheet2!$A:$E,5,0)</f>
        <v>85</v>
      </c>
      <c r="G504">
        <f>VLOOKUP($B504,Sheet2!$A:$G,7,0)</f>
        <v>62</v>
      </c>
      <c r="H504">
        <f>VLOOKUP($B504,Sheet2!$A:$G,6,0)</f>
        <v>71</v>
      </c>
    </row>
    <row r="505" spans="1:8">
      <c r="A505">
        <v>231304</v>
      </c>
      <c r="B505" t="s">
        <v>512</v>
      </c>
      <c r="C505">
        <f>VLOOKUP($B505,Sheet2!$A:$E,2,0)</f>
        <v>100.5</v>
      </c>
      <c r="D505">
        <f>VLOOKUP($B505,Sheet2!$A:$E,3,0)</f>
        <v>98</v>
      </c>
      <c r="E505">
        <f>VLOOKUP($B505,Sheet2!$A:$E,4,0)</f>
        <v>95</v>
      </c>
      <c r="F505">
        <f>VLOOKUP($B505,Sheet2!$A:$E,5,0)</f>
        <v>79</v>
      </c>
      <c r="G505">
        <f>VLOOKUP($B505,Sheet2!$A:$G,7,0)</f>
        <v>69</v>
      </c>
      <c r="H505">
        <f>VLOOKUP($B505,Sheet2!$A:$G,6,0)</f>
        <v>81</v>
      </c>
    </row>
    <row r="506" spans="1:8">
      <c r="A506">
        <v>231305</v>
      </c>
      <c r="B506" t="s">
        <v>513</v>
      </c>
      <c r="C506">
        <f>VLOOKUP($B506,Sheet2!$A:$E,2,0)</f>
        <v>89</v>
      </c>
      <c r="D506">
        <f>VLOOKUP($B506,Sheet2!$A:$E,3,0)</f>
        <v>92</v>
      </c>
      <c r="E506">
        <f>VLOOKUP($B506,Sheet2!$A:$E,4,0)</f>
        <v>108</v>
      </c>
      <c r="F506">
        <f>VLOOKUP($B506,Sheet2!$A:$E,5,0)</f>
        <v>74</v>
      </c>
      <c r="G506">
        <f>VLOOKUP($B506,Sheet2!$A:$G,7,0)</f>
        <v>69</v>
      </c>
      <c r="H506">
        <f>VLOOKUP($B506,Sheet2!$A:$G,6,0)</f>
        <v>76</v>
      </c>
    </row>
    <row r="507" spans="1:8">
      <c r="A507">
        <v>231306</v>
      </c>
      <c r="B507" t="s">
        <v>514</v>
      </c>
      <c r="C507">
        <f>VLOOKUP($B507,Sheet2!$A:$E,2,0)</f>
        <v>93.5</v>
      </c>
      <c r="D507">
        <f>VLOOKUP($B507,Sheet2!$A:$E,3,0)</f>
        <v>91</v>
      </c>
      <c r="E507">
        <f>VLOOKUP($B507,Sheet2!$A:$E,4,0)</f>
        <v>100.5</v>
      </c>
      <c r="F507">
        <f>VLOOKUP($B507,Sheet2!$A:$E,5,0)</f>
        <v>79</v>
      </c>
      <c r="G507">
        <f>VLOOKUP($B507,Sheet2!$A:$G,7,0)</f>
        <v>73</v>
      </c>
      <c r="H507">
        <f>VLOOKUP($B507,Sheet2!$A:$G,6,0)</f>
        <v>79</v>
      </c>
    </row>
    <row r="508" spans="1:8">
      <c r="A508">
        <v>231307</v>
      </c>
      <c r="B508" t="s">
        <v>515</v>
      </c>
      <c r="C508">
        <f>VLOOKUP($B508,Sheet2!$A:$E,2,0)</f>
        <v>89</v>
      </c>
      <c r="D508">
        <f>VLOOKUP($B508,Sheet2!$A:$E,3,0)</f>
        <v>97</v>
      </c>
      <c r="E508">
        <f>VLOOKUP($B508,Sheet2!$A:$E,4,0)</f>
        <v>86</v>
      </c>
      <c r="F508">
        <f>VLOOKUP($B508,Sheet2!$A:$E,5,0)</f>
        <v>86</v>
      </c>
      <c r="G508">
        <f>VLOOKUP($B508,Sheet2!$A:$G,7,0)</f>
        <v>76</v>
      </c>
      <c r="H508">
        <f>VLOOKUP($B508,Sheet2!$A:$G,6,0)</f>
        <v>62</v>
      </c>
    </row>
    <row r="509" spans="1:8">
      <c r="A509">
        <v>231308</v>
      </c>
      <c r="B509" t="s">
        <v>516</v>
      </c>
      <c r="C509">
        <f>VLOOKUP($B509,Sheet2!$A:$E,2,0)</f>
        <v>102</v>
      </c>
      <c r="D509">
        <f>VLOOKUP($B509,Sheet2!$A:$E,3,0)</f>
        <v>92</v>
      </c>
      <c r="E509">
        <f>VLOOKUP($B509,Sheet2!$A:$E,4,0)</f>
        <v>110.5</v>
      </c>
      <c r="F509">
        <f>VLOOKUP($B509,Sheet2!$A:$E,5,0)</f>
        <v>85</v>
      </c>
      <c r="G509">
        <f>VLOOKUP($B509,Sheet2!$A:$G,7,0)</f>
        <v>82</v>
      </c>
      <c r="H509">
        <f>VLOOKUP($B509,Sheet2!$A:$G,6,0)</f>
        <v>80</v>
      </c>
    </row>
    <row r="510" spans="1:8">
      <c r="A510">
        <v>231309</v>
      </c>
      <c r="B510" t="s">
        <v>517</v>
      </c>
      <c r="C510">
        <f>VLOOKUP($B510,Sheet2!$A:$E,2,0)</f>
        <v>101.5</v>
      </c>
      <c r="D510">
        <f>VLOOKUP($B510,Sheet2!$A:$E,3,0)</f>
        <v>102</v>
      </c>
      <c r="E510">
        <f>VLOOKUP($B510,Sheet2!$A:$E,4,0)</f>
        <v>115</v>
      </c>
      <c r="F510">
        <f>VLOOKUP($B510,Sheet2!$A:$E,5,0)</f>
        <v>89</v>
      </c>
      <c r="G510">
        <f>VLOOKUP($B510,Sheet2!$A:$G,7,0)</f>
        <v>83</v>
      </c>
      <c r="H510">
        <f>VLOOKUP($B510,Sheet2!$A:$G,6,0)</f>
        <v>80</v>
      </c>
    </row>
    <row r="511" spans="1:8">
      <c r="A511">
        <v>231310</v>
      </c>
      <c r="B511" t="s">
        <v>518</v>
      </c>
      <c r="C511">
        <f>VLOOKUP($B511,Sheet2!$A:$E,2,0)</f>
        <v>103</v>
      </c>
      <c r="D511">
        <f>VLOOKUP($B511,Sheet2!$A:$E,3,0)</f>
        <v>94</v>
      </c>
      <c r="E511">
        <f>VLOOKUP($B511,Sheet2!$A:$E,4,0)</f>
        <v>112.5</v>
      </c>
      <c r="F511">
        <f>VLOOKUP($B511,Sheet2!$A:$E,5,0)</f>
        <v>89</v>
      </c>
      <c r="G511">
        <f>VLOOKUP($B511,Sheet2!$A:$G,7,0)</f>
        <v>78</v>
      </c>
      <c r="H511">
        <f>VLOOKUP($B511,Sheet2!$A:$G,6,0)</f>
        <v>68</v>
      </c>
    </row>
    <row r="512" spans="1:8">
      <c r="A512">
        <v>231311</v>
      </c>
      <c r="B512" t="s">
        <v>519</v>
      </c>
      <c r="C512">
        <f>VLOOKUP($B512,Sheet2!$A:$E,2,0)</f>
        <v>93</v>
      </c>
      <c r="D512">
        <f>VLOOKUP($B512,Sheet2!$A:$E,3,0)</f>
        <v>98</v>
      </c>
      <c r="E512">
        <f>VLOOKUP($B512,Sheet2!$A:$E,4,0)</f>
        <v>97.5</v>
      </c>
      <c r="F512">
        <f>VLOOKUP($B512,Sheet2!$A:$E,5,0)</f>
        <v>89</v>
      </c>
      <c r="G512">
        <f>VLOOKUP($B512,Sheet2!$A:$G,7,0)</f>
        <v>70</v>
      </c>
      <c r="H512">
        <f>VLOOKUP($B512,Sheet2!$A:$G,6,0)</f>
        <v>82</v>
      </c>
    </row>
    <row r="513" spans="1:8">
      <c r="A513">
        <v>231312</v>
      </c>
      <c r="B513" t="s">
        <v>520</v>
      </c>
      <c r="C513">
        <f>VLOOKUP($B513,Sheet2!$A:$E,2,0)</f>
        <v>98</v>
      </c>
      <c r="D513">
        <f>VLOOKUP($B513,Sheet2!$A:$E,3,0)</f>
        <v>87</v>
      </c>
      <c r="E513">
        <f>VLOOKUP($B513,Sheet2!$A:$E,4,0)</f>
        <v>99.5</v>
      </c>
      <c r="F513">
        <f>VLOOKUP($B513,Sheet2!$A:$E,5,0)</f>
        <v>85</v>
      </c>
      <c r="G513">
        <f>VLOOKUP($B513,Sheet2!$A:$G,7,0)</f>
        <v>77</v>
      </c>
      <c r="H513">
        <f>VLOOKUP($B513,Sheet2!$A:$G,6,0)</f>
        <v>70</v>
      </c>
    </row>
    <row r="514" spans="1:8">
      <c r="A514">
        <v>231313</v>
      </c>
      <c r="B514" t="s">
        <v>521</v>
      </c>
      <c r="C514">
        <f>VLOOKUP($B514,Sheet2!$A:$E,2,0)</f>
        <v>108</v>
      </c>
      <c r="D514">
        <f>VLOOKUP($B514,Sheet2!$A:$E,3,0)</f>
        <v>109</v>
      </c>
      <c r="E514">
        <f>VLOOKUP($B514,Sheet2!$A:$E,4,0)</f>
        <v>116</v>
      </c>
      <c r="F514">
        <f>VLOOKUP($B514,Sheet2!$A:$E,5,0)</f>
        <v>88</v>
      </c>
      <c r="G514">
        <f>VLOOKUP($B514,Sheet2!$A:$G,7,0)</f>
        <v>75</v>
      </c>
      <c r="H514">
        <f>VLOOKUP($B514,Sheet2!$A:$G,6,0)</f>
        <v>76</v>
      </c>
    </row>
    <row r="515" spans="1:8">
      <c r="A515">
        <v>231314</v>
      </c>
      <c r="B515" t="s">
        <v>522</v>
      </c>
      <c r="C515">
        <f>VLOOKUP($B515,Sheet2!$A:$E,2,0)</f>
        <v>95</v>
      </c>
      <c r="D515">
        <f>VLOOKUP($B515,Sheet2!$A:$E,3,0)</f>
        <v>113</v>
      </c>
      <c r="E515">
        <f>VLOOKUP($B515,Sheet2!$A:$E,4,0)</f>
        <v>112.5</v>
      </c>
      <c r="F515">
        <f>VLOOKUP($B515,Sheet2!$A:$E,5,0)</f>
        <v>85</v>
      </c>
      <c r="G515">
        <f>VLOOKUP($B515,Sheet2!$A:$G,7,0)</f>
        <v>69</v>
      </c>
      <c r="H515">
        <f>VLOOKUP($B515,Sheet2!$A:$G,6,0)</f>
        <v>79</v>
      </c>
    </row>
    <row r="516" spans="1:8">
      <c r="A516">
        <v>231315</v>
      </c>
      <c r="B516" t="s">
        <v>523</v>
      </c>
      <c r="C516">
        <f>VLOOKUP($B516,Sheet2!$A:$E,2,0)</f>
        <v>88.5</v>
      </c>
      <c r="D516">
        <f>VLOOKUP($B516,Sheet2!$A:$E,3,0)</f>
        <v>95</v>
      </c>
      <c r="E516">
        <f>VLOOKUP($B516,Sheet2!$A:$E,4,0)</f>
        <v>104</v>
      </c>
      <c r="F516">
        <f>VLOOKUP($B516,Sheet2!$A:$E,5,0)</f>
        <v>81</v>
      </c>
      <c r="G516">
        <f>VLOOKUP($B516,Sheet2!$A:$G,7,0)</f>
        <v>73</v>
      </c>
      <c r="H516">
        <f>VLOOKUP($B516,Sheet2!$A:$G,6,0)</f>
        <v>71</v>
      </c>
    </row>
    <row r="517" spans="1:8">
      <c r="A517">
        <v>231316</v>
      </c>
      <c r="B517" t="s">
        <v>524</v>
      </c>
      <c r="C517">
        <f>VLOOKUP($B517,Sheet2!$A:$E,2,0)</f>
        <v>101</v>
      </c>
      <c r="D517">
        <f>VLOOKUP($B517,Sheet2!$A:$E,3,0)</f>
        <v>88</v>
      </c>
      <c r="E517">
        <f>VLOOKUP($B517,Sheet2!$A:$E,4,0)</f>
        <v>113</v>
      </c>
      <c r="F517">
        <f>VLOOKUP($B517,Sheet2!$A:$E,5,0)</f>
        <v>90</v>
      </c>
      <c r="G517">
        <f>VLOOKUP($B517,Sheet2!$A:$G,7,0)</f>
        <v>75</v>
      </c>
      <c r="H517">
        <f>VLOOKUP($B517,Sheet2!$A:$G,6,0)</f>
        <v>81</v>
      </c>
    </row>
    <row r="518" spans="1:8">
      <c r="A518">
        <v>231317</v>
      </c>
      <c r="B518" t="s">
        <v>525</v>
      </c>
      <c r="C518">
        <f>VLOOKUP($B518,Sheet2!$A:$E,2,0)</f>
        <v>94</v>
      </c>
      <c r="D518">
        <f>VLOOKUP($B518,Sheet2!$A:$E,3,0)</f>
        <v>108</v>
      </c>
      <c r="E518">
        <f>VLOOKUP($B518,Sheet2!$A:$E,4,0)</f>
        <v>115.5</v>
      </c>
      <c r="F518">
        <f>VLOOKUP($B518,Sheet2!$A:$E,5,0)</f>
        <v>88</v>
      </c>
      <c r="G518">
        <f>VLOOKUP($B518,Sheet2!$A:$G,7,0)</f>
        <v>70</v>
      </c>
      <c r="H518">
        <f>VLOOKUP($B518,Sheet2!$A:$G,6,0)</f>
        <v>86</v>
      </c>
    </row>
    <row r="519" spans="1:8">
      <c r="A519">
        <v>231318</v>
      </c>
      <c r="B519" t="s">
        <v>526</v>
      </c>
      <c r="C519">
        <f>VLOOKUP($B519,Sheet2!$A:$E,2,0)</f>
        <v>88</v>
      </c>
      <c r="D519">
        <f>VLOOKUP($B519,Sheet2!$A:$E,3,0)</f>
        <v>78</v>
      </c>
      <c r="E519">
        <f>VLOOKUP($B519,Sheet2!$A:$E,4,0)</f>
        <v>100.5</v>
      </c>
      <c r="F519">
        <f>VLOOKUP($B519,Sheet2!$A:$E,5,0)</f>
        <v>79</v>
      </c>
      <c r="G519">
        <f>VLOOKUP($B519,Sheet2!$A:$G,7,0)</f>
        <v>63</v>
      </c>
      <c r="H519">
        <f>VLOOKUP($B519,Sheet2!$A:$G,6,0)</f>
        <v>60</v>
      </c>
    </row>
    <row r="520" spans="1:8">
      <c r="A520">
        <v>231319</v>
      </c>
      <c r="B520" t="s">
        <v>527</v>
      </c>
      <c r="C520">
        <f>VLOOKUP($B520,Sheet2!$A:$E,2,0)</f>
        <v>99</v>
      </c>
      <c r="D520">
        <f>VLOOKUP($B520,Sheet2!$A:$E,3,0)</f>
        <v>101</v>
      </c>
      <c r="E520">
        <f>VLOOKUP($B520,Sheet2!$A:$E,4,0)</f>
        <v>103</v>
      </c>
      <c r="F520">
        <f>VLOOKUP($B520,Sheet2!$A:$E,5,0)</f>
        <v>87</v>
      </c>
      <c r="G520">
        <f>VLOOKUP($B520,Sheet2!$A:$G,7,0)</f>
        <v>82</v>
      </c>
      <c r="H520">
        <f>VLOOKUP($B520,Sheet2!$A:$G,6,0)</f>
        <v>74</v>
      </c>
    </row>
    <row r="521" spans="1:8">
      <c r="A521">
        <v>231320</v>
      </c>
      <c r="B521" t="s">
        <v>528</v>
      </c>
      <c r="C521">
        <f>VLOOKUP($B521,Sheet2!$A:$E,2,0)</f>
        <v>101</v>
      </c>
      <c r="D521">
        <f>VLOOKUP($B521,Sheet2!$A:$E,3,0)</f>
        <v>108</v>
      </c>
      <c r="E521">
        <f>VLOOKUP($B521,Sheet2!$A:$E,4,0)</f>
        <v>111</v>
      </c>
      <c r="F521">
        <f>VLOOKUP($B521,Sheet2!$A:$E,5,0)</f>
        <v>90</v>
      </c>
      <c r="G521">
        <f>VLOOKUP($B521,Sheet2!$A:$G,7,0)</f>
        <v>82</v>
      </c>
      <c r="H521">
        <f>VLOOKUP($B521,Sheet2!$A:$G,6,0)</f>
        <v>87</v>
      </c>
    </row>
    <row r="522" spans="1:8">
      <c r="A522">
        <v>231321</v>
      </c>
      <c r="B522" t="s">
        <v>529</v>
      </c>
      <c r="C522">
        <f>VLOOKUP($B522,Sheet2!$A:$E,2,0)</f>
        <v>101</v>
      </c>
      <c r="D522">
        <f>VLOOKUP($B522,Sheet2!$A:$E,3,0)</f>
        <v>98</v>
      </c>
      <c r="E522">
        <f>VLOOKUP($B522,Sheet2!$A:$E,4,0)</f>
        <v>106.5</v>
      </c>
      <c r="F522">
        <f>VLOOKUP($B522,Sheet2!$A:$E,5,0)</f>
        <v>87</v>
      </c>
      <c r="G522">
        <f>VLOOKUP($B522,Sheet2!$A:$G,7,0)</f>
        <v>83</v>
      </c>
      <c r="H522">
        <f>VLOOKUP($B522,Sheet2!$A:$G,6,0)</f>
        <v>76</v>
      </c>
    </row>
    <row r="523" spans="1:8">
      <c r="A523">
        <v>231322</v>
      </c>
      <c r="B523" t="s">
        <v>530</v>
      </c>
      <c r="C523">
        <f>VLOOKUP($B523,Sheet2!$A:$E,2,0)</f>
        <v>94</v>
      </c>
      <c r="D523">
        <f>VLOOKUP($B523,Sheet2!$A:$E,3,0)</f>
        <v>96</v>
      </c>
      <c r="E523">
        <f>VLOOKUP($B523,Sheet2!$A:$E,4,0)</f>
        <v>111</v>
      </c>
      <c r="F523">
        <f>VLOOKUP($B523,Sheet2!$A:$E,5,0)</f>
        <v>88</v>
      </c>
      <c r="G523">
        <f>VLOOKUP($B523,Sheet2!$A:$G,7,0)</f>
        <v>78</v>
      </c>
      <c r="H523">
        <f>VLOOKUP($B523,Sheet2!$A:$G,6,0)</f>
        <v>66</v>
      </c>
    </row>
    <row r="524" spans="1:8">
      <c r="A524">
        <v>231323</v>
      </c>
      <c r="B524" t="s">
        <v>531</v>
      </c>
      <c r="C524">
        <f>VLOOKUP($B524,Sheet2!$A:$E,2,0)</f>
        <v>111</v>
      </c>
      <c r="D524">
        <f>VLOOKUP($B524,Sheet2!$A:$E,3,0)</f>
        <v>112</v>
      </c>
      <c r="E524">
        <f>VLOOKUP($B524,Sheet2!$A:$E,4,0)</f>
        <v>119</v>
      </c>
      <c r="F524">
        <f>VLOOKUP($B524,Sheet2!$A:$E,5,0)</f>
        <v>88</v>
      </c>
      <c r="G524">
        <f>VLOOKUP($B524,Sheet2!$A:$G,7,0)</f>
        <v>76</v>
      </c>
      <c r="H524">
        <f>VLOOKUP($B524,Sheet2!$A:$G,6,0)</f>
        <v>80</v>
      </c>
    </row>
    <row r="525" spans="1:8">
      <c r="A525">
        <v>231324</v>
      </c>
      <c r="B525" t="s">
        <v>532</v>
      </c>
      <c r="C525">
        <f>VLOOKUP($B525,Sheet2!$A:$E,2,0)</f>
        <v>91</v>
      </c>
      <c r="D525">
        <f>VLOOKUP($B525,Sheet2!$A:$E,3,0)</f>
        <v>104</v>
      </c>
      <c r="E525">
        <f>VLOOKUP($B525,Sheet2!$A:$E,4,0)</f>
        <v>114.5</v>
      </c>
      <c r="F525">
        <f>VLOOKUP($B525,Sheet2!$A:$E,5,0)</f>
        <v>90</v>
      </c>
      <c r="G525">
        <f>VLOOKUP($B525,Sheet2!$A:$G,7,0)</f>
        <v>84</v>
      </c>
      <c r="H525">
        <f>VLOOKUP($B525,Sheet2!$A:$G,6,0)</f>
        <v>84</v>
      </c>
    </row>
    <row r="526" spans="1:8">
      <c r="A526">
        <v>231325</v>
      </c>
      <c r="B526" t="s">
        <v>533</v>
      </c>
      <c r="C526">
        <f>VLOOKUP($B526,Sheet2!$A:$E,2,0)</f>
        <v>96</v>
      </c>
      <c r="D526">
        <f>VLOOKUP($B526,Sheet2!$A:$E,3,0)</f>
        <v>89</v>
      </c>
      <c r="E526">
        <f>VLOOKUP($B526,Sheet2!$A:$E,4,0)</f>
        <v>99</v>
      </c>
      <c r="F526">
        <f>VLOOKUP($B526,Sheet2!$A:$E,5,0)</f>
        <v>82</v>
      </c>
      <c r="G526">
        <f>VLOOKUP($B526,Sheet2!$A:$G,7,0)</f>
        <v>81</v>
      </c>
      <c r="H526">
        <f>VLOOKUP($B526,Sheet2!$A:$G,6,0)</f>
        <v>86</v>
      </c>
    </row>
    <row r="527" spans="1:8">
      <c r="A527">
        <v>231326</v>
      </c>
      <c r="B527" t="s">
        <v>534</v>
      </c>
      <c r="C527">
        <f>VLOOKUP($B527,Sheet2!$A:$E,2,0)</f>
        <v>96.5</v>
      </c>
      <c r="D527">
        <f>VLOOKUP($B527,Sheet2!$A:$E,3,0)</f>
        <v>95</v>
      </c>
      <c r="E527">
        <f>VLOOKUP($B527,Sheet2!$A:$E,4,0)</f>
        <v>117.5</v>
      </c>
      <c r="F527">
        <f>VLOOKUP($B527,Sheet2!$A:$E,5,0)</f>
        <v>81</v>
      </c>
      <c r="G527">
        <f>VLOOKUP($B527,Sheet2!$A:$G,7,0)</f>
        <v>77</v>
      </c>
      <c r="H527">
        <f>VLOOKUP($B527,Sheet2!$A:$G,6,0)</f>
        <v>81</v>
      </c>
    </row>
    <row r="528" spans="1:8">
      <c r="A528">
        <v>231327</v>
      </c>
      <c r="B528" t="s">
        <v>535</v>
      </c>
      <c r="C528">
        <f>VLOOKUP($B528,Sheet2!$A:$E,2,0)</f>
        <v>89</v>
      </c>
      <c r="D528">
        <f>VLOOKUP($B528,Sheet2!$A:$E,3,0)</f>
        <v>102</v>
      </c>
      <c r="E528">
        <f>VLOOKUP($B528,Sheet2!$A:$E,4,0)</f>
        <v>97</v>
      </c>
      <c r="F528">
        <f>VLOOKUP($B528,Sheet2!$A:$E,5,0)</f>
        <v>85</v>
      </c>
      <c r="G528">
        <f>VLOOKUP($B528,Sheet2!$A:$G,7,0)</f>
        <v>76</v>
      </c>
      <c r="H528">
        <f>VLOOKUP($B528,Sheet2!$A:$G,6,0)</f>
        <v>78</v>
      </c>
    </row>
    <row r="529" spans="1:8">
      <c r="A529">
        <v>231328</v>
      </c>
      <c r="B529" t="s">
        <v>536</v>
      </c>
      <c r="C529">
        <f>VLOOKUP($B529,Sheet2!$A:$E,2,0)</f>
        <v>94</v>
      </c>
      <c r="D529">
        <f>VLOOKUP($B529,Sheet2!$A:$E,3,0)</f>
        <v>105</v>
      </c>
      <c r="E529">
        <f>VLOOKUP($B529,Sheet2!$A:$E,4,0)</f>
        <v>87</v>
      </c>
      <c r="F529">
        <f>VLOOKUP($B529,Sheet2!$A:$E,5,0)</f>
        <v>90</v>
      </c>
      <c r="G529">
        <f>VLOOKUP($B529,Sheet2!$A:$G,7,0)</f>
        <v>78</v>
      </c>
      <c r="H529">
        <f>VLOOKUP($B529,Sheet2!$A:$G,6,0)</f>
        <v>67</v>
      </c>
    </row>
    <row r="530" spans="1:8">
      <c r="A530">
        <v>231329</v>
      </c>
      <c r="B530" t="s">
        <v>537</v>
      </c>
      <c r="C530">
        <f>VLOOKUP($B530,Sheet2!$A:$E,2,0)</f>
        <v>92</v>
      </c>
      <c r="D530">
        <f>VLOOKUP($B530,Sheet2!$A:$E,3,0)</f>
        <v>84</v>
      </c>
      <c r="E530">
        <f>VLOOKUP($B530,Sheet2!$A:$E,4,0)</f>
        <v>103.5</v>
      </c>
      <c r="F530">
        <f>VLOOKUP($B530,Sheet2!$A:$E,5,0)</f>
        <v>88</v>
      </c>
      <c r="G530">
        <f>VLOOKUP($B530,Sheet2!$A:$G,7,0)</f>
        <v>74</v>
      </c>
      <c r="H530">
        <f>VLOOKUP($B530,Sheet2!$A:$G,6,0)</f>
        <v>70</v>
      </c>
    </row>
    <row r="531" spans="1:8">
      <c r="A531">
        <v>231330</v>
      </c>
      <c r="B531" t="s">
        <v>538</v>
      </c>
      <c r="C531">
        <f>VLOOKUP($B531,Sheet2!$A:$E,2,0)</f>
        <v>92</v>
      </c>
      <c r="D531">
        <f>VLOOKUP($B531,Sheet2!$A:$E,3,0)</f>
        <v>101</v>
      </c>
      <c r="E531">
        <f>VLOOKUP($B531,Sheet2!$A:$E,4,0)</f>
        <v>88.5</v>
      </c>
      <c r="F531">
        <f>VLOOKUP($B531,Sheet2!$A:$E,5,0)</f>
        <v>85</v>
      </c>
      <c r="G531">
        <f>VLOOKUP($B531,Sheet2!$A:$G,7,0)</f>
        <v>80</v>
      </c>
      <c r="H531">
        <f>VLOOKUP($B531,Sheet2!$A:$G,6,0)</f>
        <v>70</v>
      </c>
    </row>
    <row r="532" spans="1:8">
      <c r="A532">
        <v>231331</v>
      </c>
      <c r="B532" t="s">
        <v>539</v>
      </c>
      <c r="C532">
        <f>VLOOKUP($B532,Sheet2!$A:$E,2,0)</f>
        <v>99</v>
      </c>
      <c r="D532">
        <f>VLOOKUP($B532,Sheet2!$A:$E,3,0)</f>
        <v>95</v>
      </c>
      <c r="E532">
        <f>VLOOKUP($B532,Sheet2!$A:$E,4,0)</f>
        <v>80.5</v>
      </c>
      <c r="F532">
        <f>VLOOKUP($B532,Sheet2!$A:$E,5,0)</f>
        <v>75</v>
      </c>
      <c r="G532">
        <f>VLOOKUP($B532,Sheet2!$A:$G,7,0)</f>
        <v>77</v>
      </c>
      <c r="H532">
        <f>VLOOKUP($B532,Sheet2!$A:$G,6,0)</f>
        <v>69</v>
      </c>
    </row>
    <row r="533" spans="1:8">
      <c r="A533">
        <v>231332</v>
      </c>
      <c r="B533" t="s">
        <v>540</v>
      </c>
      <c r="C533">
        <f>VLOOKUP($B533,Sheet2!$A:$E,2,0)</f>
        <v>106</v>
      </c>
      <c r="D533">
        <f>VLOOKUP($B533,Sheet2!$A:$E,3,0)</f>
        <v>88</v>
      </c>
      <c r="E533">
        <f>VLOOKUP($B533,Sheet2!$A:$E,4,0)</f>
        <v>104</v>
      </c>
      <c r="F533">
        <f>VLOOKUP($B533,Sheet2!$A:$E,5,0)</f>
        <v>87</v>
      </c>
      <c r="G533">
        <f>VLOOKUP($B533,Sheet2!$A:$G,7,0)</f>
        <v>79</v>
      </c>
      <c r="H533">
        <f>VLOOKUP($B533,Sheet2!$A:$G,6,0)</f>
        <v>80</v>
      </c>
    </row>
    <row r="534" spans="1:8">
      <c r="A534">
        <v>231334</v>
      </c>
      <c r="B534" t="s">
        <v>541</v>
      </c>
      <c r="C534">
        <f>VLOOKUP($B534,Sheet2!$A:$E,2,0)</f>
        <v>99</v>
      </c>
      <c r="D534">
        <f>VLOOKUP($B534,Sheet2!$A:$E,3,0)</f>
        <v>102</v>
      </c>
      <c r="E534">
        <f>VLOOKUP($B534,Sheet2!$A:$E,4,0)</f>
        <v>101</v>
      </c>
      <c r="F534">
        <f>VLOOKUP($B534,Sheet2!$A:$E,5,0)</f>
        <v>86</v>
      </c>
      <c r="G534">
        <f>VLOOKUP($B534,Sheet2!$A:$G,7,0)</f>
        <v>64</v>
      </c>
      <c r="H534">
        <f>VLOOKUP($B534,Sheet2!$A:$G,6,0)</f>
        <v>78</v>
      </c>
    </row>
    <row r="535" spans="1:8">
      <c r="A535">
        <v>231335</v>
      </c>
      <c r="B535" t="s">
        <v>542</v>
      </c>
      <c r="C535">
        <f>VLOOKUP($B535,Sheet2!$A:$E,2,0)</f>
        <v>100</v>
      </c>
      <c r="D535">
        <f>VLOOKUP($B535,Sheet2!$A:$E,3,0)</f>
        <v>92</v>
      </c>
      <c r="E535">
        <f>VLOOKUP($B535,Sheet2!$A:$E,4,0)</f>
        <v>106.5</v>
      </c>
      <c r="F535">
        <f>VLOOKUP($B535,Sheet2!$A:$E,5,0)</f>
        <v>82</v>
      </c>
      <c r="G535">
        <f>VLOOKUP($B535,Sheet2!$A:$G,7,0)</f>
        <v>81</v>
      </c>
      <c r="H535">
        <f>VLOOKUP($B535,Sheet2!$A:$G,6,0)</f>
        <v>84</v>
      </c>
    </row>
    <row r="536" spans="1:8">
      <c r="A536">
        <v>231336</v>
      </c>
      <c r="B536" t="s">
        <v>543</v>
      </c>
      <c r="C536">
        <f>VLOOKUP($B536,Sheet2!$A:$E,2,0)</f>
        <v>91.5</v>
      </c>
      <c r="D536">
        <f>VLOOKUP($B536,Sheet2!$A:$E,3,0)</f>
        <v>83</v>
      </c>
      <c r="E536">
        <f>VLOOKUP($B536,Sheet2!$A:$E,4,0)</f>
        <v>100.5</v>
      </c>
      <c r="F536">
        <f>VLOOKUP($B536,Sheet2!$A:$E,5,0)</f>
        <v>88</v>
      </c>
      <c r="G536">
        <f>VLOOKUP($B536,Sheet2!$A:$G,7,0)</f>
        <v>72</v>
      </c>
      <c r="H536">
        <f>VLOOKUP($B536,Sheet2!$A:$G,6,0)</f>
        <v>74</v>
      </c>
    </row>
    <row r="537" spans="1:8">
      <c r="A537">
        <v>231337</v>
      </c>
      <c r="B537" t="s">
        <v>544</v>
      </c>
      <c r="C537">
        <f>VLOOKUP($B537,Sheet2!$A:$E,2,0)</f>
        <v>100.5</v>
      </c>
      <c r="D537">
        <f>VLOOKUP($B537,Sheet2!$A:$E,3,0)</f>
        <v>98</v>
      </c>
      <c r="E537">
        <f>VLOOKUP($B537,Sheet2!$A:$E,4,0)</f>
        <v>115.5</v>
      </c>
      <c r="F537">
        <f>VLOOKUP($B537,Sheet2!$A:$E,5,0)</f>
        <v>88</v>
      </c>
      <c r="G537">
        <f>VLOOKUP($B537,Sheet2!$A:$G,7,0)</f>
        <v>84</v>
      </c>
      <c r="H537">
        <f>VLOOKUP($B537,Sheet2!$A:$G,6,0)</f>
        <v>76</v>
      </c>
    </row>
    <row r="538" spans="1:8">
      <c r="A538">
        <v>231338</v>
      </c>
      <c r="B538" t="s">
        <v>545</v>
      </c>
      <c r="C538">
        <f>VLOOKUP($B538,Sheet2!$A:$E,2,0)</f>
        <v>106</v>
      </c>
      <c r="D538">
        <f>VLOOKUP($B538,Sheet2!$A:$E,3,0)</f>
        <v>95</v>
      </c>
      <c r="E538">
        <f>VLOOKUP($B538,Sheet2!$A:$E,4,0)</f>
        <v>103</v>
      </c>
      <c r="F538">
        <f>VLOOKUP($B538,Sheet2!$A:$E,5,0)</f>
        <v>89</v>
      </c>
      <c r="G538">
        <f>VLOOKUP($B538,Sheet2!$A:$G,7,0)</f>
        <v>78</v>
      </c>
      <c r="H538">
        <f>VLOOKUP($B538,Sheet2!$A:$G,6,0)</f>
        <v>81</v>
      </c>
    </row>
    <row r="539" spans="1:8">
      <c r="A539">
        <v>231339</v>
      </c>
      <c r="B539" t="s">
        <v>546</v>
      </c>
      <c r="C539">
        <f>VLOOKUP($B539,Sheet2!$A:$E,2,0)</f>
        <v>99</v>
      </c>
      <c r="D539">
        <f>VLOOKUP($B539,Sheet2!$A:$E,3,0)</f>
        <v>114</v>
      </c>
      <c r="E539">
        <f>VLOOKUP($B539,Sheet2!$A:$E,4,0)</f>
        <v>110.5</v>
      </c>
      <c r="F539">
        <f>VLOOKUP($B539,Sheet2!$A:$E,5,0)</f>
        <v>86</v>
      </c>
      <c r="G539">
        <f>VLOOKUP($B539,Sheet2!$A:$G,7,0)</f>
        <v>79</v>
      </c>
      <c r="H539">
        <f>VLOOKUP($B539,Sheet2!$A:$G,6,0)</f>
        <v>75</v>
      </c>
    </row>
    <row r="540" spans="1:8">
      <c r="A540">
        <v>231340</v>
      </c>
      <c r="B540" t="s">
        <v>547</v>
      </c>
      <c r="C540" t="str">
        <f>VLOOKUP($B540,Sheet2!$A:$E,2,0)</f>
        <v>未扫，不计排名</v>
      </c>
      <c r="D540" t="str">
        <f>VLOOKUP($B540,Sheet2!$A:$E,3,0)</f>
        <v>未扫，不计排名</v>
      </c>
      <c r="E540" t="str">
        <f>VLOOKUP($B540,Sheet2!$A:$E,4,0)</f>
        <v>未扫，不计排名</v>
      </c>
      <c r="F540" t="str">
        <f>VLOOKUP($B540,Sheet2!$A:$E,5,0)</f>
        <v>未扫，不计排名</v>
      </c>
      <c r="G540" t="str">
        <f>VLOOKUP($B540,Sheet2!$A:$G,7,0)</f>
        <v>未扫，不计排名</v>
      </c>
      <c r="H540" t="str">
        <f>VLOOKUP($B540,Sheet2!$A:$G,6,0)</f>
        <v>未扫，不计排名</v>
      </c>
    </row>
    <row r="541" spans="1:8">
      <c r="A541">
        <v>231341</v>
      </c>
      <c r="B541" t="s">
        <v>548</v>
      </c>
      <c r="C541">
        <f>VLOOKUP($B541,Sheet2!$A:$E,2,0)</f>
        <v>104</v>
      </c>
      <c r="D541">
        <f>VLOOKUP($B541,Sheet2!$A:$E,3,0)</f>
        <v>100</v>
      </c>
      <c r="E541">
        <f>VLOOKUP($B541,Sheet2!$A:$E,4,0)</f>
        <v>95</v>
      </c>
      <c r="F541">
        <f>VLOOKUP($B541,Sheet2!$A:$E,5,0)</f>
        <v>87</v>
      </c>
      <c r="G541">
        <f>VLOOKUP($B541,Sheet2!$A:$G,7,0)</f>
        <v>82</v>
      </c>
      <c r="H541">
        <f>VLOOKUP($B541,Sheet2!$A:$G,6,0)</f>
        <v>77</v>
      </c>
    </row>
    <row r="542" spans="1:8">
      <c r="A542">
        <v>231342</v>
      </c>
      <c r="B542" t="s">
        <v>549</v>
      </c>
      <c r="C542">
        <f>VLOOKUP($B542,Sheet2!$A:$E,2,0)</f>
        <v>81</v>
      </c>
      <c r="D542">
        <f>VLOOKUP($B542,Sheet2!$A:$E,3,0)</f>
        <v>112</v>
      </c>
      <c r="E542">
        <f>VLOOKUP($B542,Sheet2!$A:$E,4,0)</f>
        <v>104</v>
      </c>
      <c r="F542">
        <f>VLOOKUP($B542,Sheet2!$A:$E,5,0)</f>
        <v>86</v>
      </c>
      <c r="G542">
        <f>VLOOKUP($B542,Sheet2!$A:$G,7,0)</f>
        <v>73</v>
      </c>
      <c r="H542">
        <f>VLOOKUP($B542,Sheet2!$A:$G,6,0)</f>
        <v>58</v>
      </c>
    </row>
    <row r="543" spans="1:8">
      <c r="A543">
        <v>231343</v>
      </c>
      <c r="B543" t="s">
        <v>550</v>
      </c>
      <c r="C543">
        <f>VLOOKUP($B543,Sheet2!$A:$E,2,0)</f>
        <v>96</v>
      </c>
      <c r="D543">
        <f>VLOOKUP($B543,Sheet2!$A:$E,3,0)</f>
        <v>108</v>
      </c>
      <c r="E543">
        <f>VLOOKUP($B543,Sheet2!$A:$E,4,0)</f>
        <v>115</v>
      </c>
      <c r="F543">
        <f>VLOOKUP($B543,Sheet2!$A:$E,5,0)</f>
        <v>89</v>
      </c>
      <c r="G543">
        <f>VLOOKUP($B543,Sheet2!$A:$G,7,0)</f>
        <v>71</v>
      </c>
      <c r="H543">
        <f>VLOOKUP($B543,Sheet2!$A:$G,6,0)</f>
        <v>84</v>
      </c>
    </row>
    <row r="544" spans="1:8">
      <c r="A544">
        <v>231401</v>
      </c>
      <c r="B544" t="s">
        <v>551</v>
      </c>
      <c r="C544">
        <f>VLOOKUP($B544,Sheet2!$A:$E,2,0)</f>
        <v>100</v>
      </c>
      <c r="D544">
        <f>VLOOKUP($B544,Sheet2!$A:$E,3,0)</f>
        <v>109</v>
      </c>
      <c r="E544">
        <f>VLOOKUP($B544,Sheet2!$A:$E,4,0)</f>
        <v>109.5</v>
      </c>
      <c r="F544">
        <f>VLOOKUP($B544,Sheet2!$A:$E,5,0)</f>
        <v>84</v>
      </c>
      <c r="G544">
        <f>VLOOKUP($B544,Sheet2!$A:$G,7,0)</f>
        <v>80</v>
      </c>
      <c r="H544">
        <f>VLOOKUP($B544,Sheet2!$A:$G,6,0)</f>
        <v>79</v>
      </c>
    </row>
    <row r="545" spans="1:8">
      <c r="A545">
        <v>231402</v>
      </c>
      <c r="B545" t="s">
        <v>552</v>
      </c>
      <c r="C545">
        <f>VLOOKUP($B545,Sheet2!$A:$E,2,0)</f>
        <v>103</v>
      </c>
      <c r="D545">
        <f>VLOOKUP($B545,Sheet2!$A:$E,3,0)</f>
        <v>104</v>
      </c>
      <c r="E545">
        <f>VLOOKUP($B545,Sheet2!$A:$E,4,0)</f>
        <v>113</v>
      </c>
      <c r="F545">
        <f>VLOOKUP($B545,Sheet2!$A:$E,5,0)</f>
        <v>84</v>
      </c>
      <c r="G545">
        <f>VLOOKUP($B545,Sheet2!$A:$G,7,0)</f>
        <v>84</v>
      </c>
      <c r="H545">
        <f>VLOOKUP($B545,Sheet2!$A:$G,6,0)</f>
        <v>87</v>
      </c>
    </row>
    <row r="546" spans="1:8">
      <c r="A546">
        <v>231403</v>
      </c>
      <c r="B546" t="s">
        <v>553</v>
      </c>
      <c r="C546">
        <f>VLOOKUP($B546,Sheet2!$A:$E,2,0)</f>
        <v>96.5</v>
      </c>
      <c r="D546">
        <f>VLOOKUP($B546,Sheet2!$A:$E,3,0)</f>
        <v>101</v>
      </c>
      <c r="E546">
        <f>VLOOKUP($B546,Sheet2!$A:$E,4,0)</f>
        <v>106.5</v>
      </c>
      <c r="F546">
        <f>VLOOKUP($B546,Sheet2!$A:$E,5,0)</f>
        <v>89</v>
      </c>
      <c r="G546">
        <f>VLOOKUP($B546,Sheet2!$A:$G,7,0)</f>
        <v>75</v>
      </c>
      <c r="H546">
        <f>VLOOKUP($B546,Sheet2!$A:$G,6,0)</f>
        <v>84</v>
      </c>
    </row>
    <row r="547" spans="1:8">
      <c r="A547">
        <v>231404</v>
      </c>
      <c r="B547" t="s">
        <v>554</v>
      </c>
      <c r="C547">
        <f>VLOOKUP($B547,Sheet2!$A:$E,2,0)</f>
        <v>104</v>
      </c>
      <c r="D547">
        <f>VLOOKUP($B547,Sheet2!$A:$E,3,0)</f>
        <v>101</v>
      </c>
      <c r="E547">
        <f>VLOOKUP($B547,Sheet2!$A:$E,4,0)</f>
        <v>109</v>
      </c>
      <c r="F547">
        <f>VLOOKUP($B547,Sheet2!$A:$E,5,0)</f>
        <v>84</v>
      </c>
      <c r="G547">
        <f>VLOOKUP($B547,Sheet2!$A:$G,7,0)</f>
        <v>82</v>
      </c>
      <c r="H547">
        <f>VLOOKUP($B547,Sheet2!$A:$G,6,0)</f>
        <v>82</v>
      </c>
    </row>
    <row r="548" spans="1:8">
      <c r="A548">
        <v>231405</v>
      </c>
      <c r="B548" t="s">
        <v>555</v>
      </c>
      <c r="C548">
        <f>VLOOKUP($B548,Sheet2!$A:$E,2,0)</f>
        <v>97</v>
      </c>
      <c r="D548">
        <f>VLOOKUP($B548,Sheet2!$A:$E,3,0)</f>
        <v>102</v>
      </c>
      <c r="E548">
        <f>VLOOKUP($B548,Sheet2!$A:$E,4,0)</f>
        <v>104.5</v>
      </c>
      <c r="F548">
        <f>VLOOKUP($B548,Sheet2!$A:$E,5,0)</f>
        <v>76</v>
      </c>
      <c r="G548">
        <f>VLOOKUP($B548,Sheet2!$A:$G,7,0)</f>
        <v>78</v>
      </c>
      <c r="H548">
        <f>VLOOKUP($B548,Sheet2!$A:$G,6,0)</f>
        <v>86</v>
      </c>
    </row>
    <row r="549" spans="1:8">
      <c r="A549">
        <v>231406</v>
      </c>
      <c r="B549" t="s">
        <v>556</v>
      </c>
      <c r="C549">
        <f>VLOOKUP($B549,Sheet2!$A:$E,2,0)</f>
        <v>95</v>
      </c>
      <c r="D549">
        <f>VLOOKUP($B549,Sheet2!$A:$E,3,0)</f>
        <v>101</v>
      </c>
      <c r="E549">
        <f>VLOOKUP($B549,Sheet2!$A:$E,4,0)</f>
        <v>104.5</v>
      </c>
      <c r="F549">
        <f>VLOOKUP($B549,Sheet2!$A:$E,5,0)</f>
        <v>85</v>
      </c>
      <c r="G549">
        <f>VLOOKUP($B549,Sheet2!$A:$G,7,0)</f>
        <v>79</v>
      </c>
      <c r="H549">
        <f>VLOOKUP($B549,Sheet2!$A:$G,6,0)</f>
        <v>76</v>
      </c>
    </row>
    <row r="550" spans="1:8">
      <c r="A550">
        <v>231407</v>
      </c>
      <c r="B550" t="s">
        <v>557</v>
      </c>
      <c r="C550">
        <f>VLOOKUP($B550,Sheet2!$A:$E,2,0)</f>
        <v>105</v>
      </c>
      <c r="D550">
        <f>VLOOKUP($B550,Sheet2!$A:$E,3,0)</f>
        <v>117</v>
      </c>
      <c r="E550">
        <f>VLOOKUP($B550,Sheet2!$A:$E,4,0)</f>
        <v>107</v>
      </c>
      <c r="F550">
        <f>VLOOKUP($B550,Sheet2!$A:$E,5,0)</f>
        <v>86</v>
      </c>
      <c r="G550">
        <f>VLOOKUP($B550,Sheet2!$A:$G,7,0)</f>
        <v>83</v>
      </c>
      <c r="H550">
        <f>VLOOKUP($B550,Sheet2!$A:$G,6,0)</f>
        <v>81</v>
      </c>
    </row>
    <row r="551" spans="1:8">
      <c r="A551">
        <v>231408</v>
      </c>
      <c r="B551" t="s">
        <v>558</v>
      </c>
      <c r="C551">
        <f>VLOOKUP($B551,Sheet2!$A:$E,2,0)</f>
        <v>102</v>
      </c>
      <c r="D551">
        <f>VLOOKUP($B551,Sheet2!$A:$E,3,0)</f>
        <v>113</v>
      </c>
      <c r="E551">
        <f>VLOOKUP($B551,Sheet2!$A:$E,4,0)</f>
        <v>109</v>
      </c>
      <c r="F551">
        <f>VLOOKUP($B551,Sheet2!$A:$E,5,0)</f>
        <v>85</v>
      </c>
      <c r="G551">
        <f>VLOOKUP($B551,Sheet2!$A:$G,7,0)</f>
        <v>81</v>
      </c>
      <c r="H551">
        <f>VLOOKUP($B551,Sheet2!$A:$G,6,0)</f>
        <v>85</v>
      </c>
    </row>
    <row r="552" spans="1:8">
      <c r="A552">
        <v>231409</v>
      </c>
      <c r="B552" t="s">
        <v>559</v>
      </c>
      <c r="C552">
        <f>VLOOKUP($B552,Sheet2!$A:$E,2,0)</f>
        <v>102</v>
      </c>
      <c r="D552">
        <f>VLOOKUP($B552,Sheet2!$A:$E,3,0)</f>
        <v>109</v>
      </c>
      <c r="E552">
        <f>VLOOKUP($B552,Sheet2!$A:$E,4,0)</f>
        <v>108.5</v>
      </c>
      <c r="F552">
        <f>VLOOKUP($B552,Sheet2!$A:$E,5,0)</f>
        <v>81</v>
      </c>
      <c r="G552">
        <f>VLOOKUP($B552,Sheet2!$A:$G,7,0)</f>
        <v>79</v>
      </c>
      <c r="H552">
        <f>VLOOKUP($B552,Sheet2!$A:$G,6,0)</f>
        <v>85</v>
      </c>
    </row>
    <row r="553" spans="1:8">
      <c r="A553">
        <v>231410</v>
      </c>
      <c r="B553" t="s">
        <v>560</v>
      </c>
      <c r="C553">
        <f>VLOOKUP($B553,Sheet2!$A:$E,2,0)</f>
        <v>106</v>
      </c>
      <c r="D553">
        <f>VLOOKUP($B553,Sheet2!$A:$E,3,0)</f>
        <v>116</v>
      </c>
      <c r="E553">
        <f>VLOOKUP($B553,Sheet2!$A:$E,4,0)</f>
        <v>106.5</v>
      </c>
      <c r="F553">
        <f>VLOOKUP($B553,Sheet2!$A:$E,5,0)</f>
        <v>87</v>
      </c>
      <c r="G553">
        <f>VLOOKUP($B553,Sheet2!$A:$G,7,0)</f>
        <v>76</v>
      </c>
      <c r="H553">
        <f>VLOOKUP($B553,Sheet2!$A:$G,6,0)</f>
        <v>85</v>
      </c>
    </row>
    <row r="554" spans="1:8">
      <c r="A554">
        <v>231411</v>
      </c>
      <c r="B554" t="s">
        <v>561</v>
      </c>
      <c r="C554">
        <f>VLOOKUP($B554,Sheet2!$A:$E,2,0)</f>
        <v>96</v>
      </c>
      <c r="D554">
        <f>VLOOKUP($B554,Sheet2!$A:$E,3,0)</f>
        <v>106</v>
      </c>
      <c r="E554">
        <f>VLOOKUP($B554,Sheet2!$A:$E,4,0)</f>
        <v>110</v>
      </c>
      <c r="F554">
        <f>VLOOKUP($B554,Sheet2!$A:$E,5,0)</f>
        <v>89</v>
      </c>
      <c r="G554">
        <f>VLOOKUP($B554,Sheet2!$A:$G,7,0)</f>
        <v>83</v>
      </c>
      <c r="H554">
        <f>VLOOKUP($B554,Sheet2!$A:$G,6,0)</f>
        <v>85</v>
      </c>
    </row>
    <row r="555" spans="1:8">
      <c r="A555">
        <v>231412</v>
      </c>
      <c r="B555" t="s">
        <v>562</v>
      </c>
      <c r="C555">
        <f>VLOOKUP($B555,Sheet2!$A:$E,2,0)</f>
        <v>93.5</v>
      </c>
      <c r="D555">
        <f>VLOOKUP($B555,Sheet2!$A:$E,3,0)</f>
        <v>95</v>
      </c>
      <c r="E555">
        <f>VLOOKUP($B555,Sheet2!$A:$E,4,0)</f>
        <v>112</v>
      </c>
      <c r="F555">
        <f>VLOOKUP($B555,Sheet2!$A:$E,5,0)</f>
        <v>80</v>
      </c>
      <c r="G555">
        <f>VLOOKUP($B555,Sheet2!$A:$G,7,0)</f>
        <v>77</v>
      </c>
      <c r="H555">
        <f>VLOOKUP($B555,Sheet2!$A:$G,6,0)</f>
        <v>79</v>
      </c>
    </row>
    <row r="556" spans="1:8">
      <c r="A556">
        <v>231413</v>
      </c>
      <c r="B556" t="s">
        <v>563</v>
      </c>
      <c r="C556">
        <f>VLOOKUP($B556,Sheet2!$A:$E,2,0)</f>
        <v>97</v>
      </c>
      <c r="D556">
        <f>VLOOKUP($B556,Sheet2!$A:$E,3,0)</f>
        <v>100</v>
      </c>
      <c r="E556">
        <f>VLOOKUP($B556,Sheet2!$A:$E,4,0)</f>
        <v>106.5</v>
      </c>
      <c r="F556">
        <f>VLOOKUP($B556,Sheet2!$A:$E,5,0)</f>
        <v>79</v>
      </c>
      <c r="G556">
        <f>VLOOKUP($B556,Sheet2!$A:$G,7,0)</f>
        <v>78</v>
      </c>
      <c r="H556">
        <f>VLOOKUP($B556,Sheet2!$A:$G,6,0)</f>
        <v>81</v>
      </c>
    </row>
    <row r="557" spans="1:8">
      <c r="A557">
        <v>231414</v>
      </c>
      <c r="B557" t="s">
        <v>564</v>
      </c>
      <c r="C557">
        <f>VLOOKUP($B557,Sheet2!$A:$E,2,0)</f>
        <v>97</v>
      </c>
      <c r="D557">
        <f>VLOOKUP($B557,Sheet2!$A:$E,3,0)</f>
        <v>106</v>
      </c>
      <c r="E557">
        <f>VLOOKUP($B557,Sheet2!$A:$E,4,0)</f>
        <v>109</v>
      </c>
      <c r="F557">
        <f>VLOOKUP($B557,Sheet2!$A:$E,5,0)</f>
        <v>83</v>
      </c>
      <c r="G557">
        <f>VLOOKUP($B557,Sheet2!$A:$G,7,0)</f>
        <v>79</v>
      </c>
      <c r="H557">
        <f>VLOOKUP($B557,Sheet2!$A:$G,6,0)</f>
        <v>78</v>
      </c>
    </row>
    <row r="558" spans="1:8">
      <c r="A558">
        <v>231415</v>
      </c>
      <c r="B558" t="s">
        <v>565</v>
      </c>
      <c r="C558">
        <f>VLOOKUP($B558,Sheet2!$A:$E,2,0)</f>
        <v>103</v>
      </c>
      <c r="D558">
        <f>VLOOKUP($B558,Sheet2!$A:$E,3,0)</f>
        <v>103</v>
      </c>
      <c r="E558">
        <f>VLOOKUP($B558,Sheet2!$A:$E,4,0)</f>
        <v>108.5</v>
      </c>
      <c r="F558">
        <f>VLOOKUP($B558,Sheet2!$A:$E,5,0)</f>
        <v>87</v>
      </c>
      <c r="G558">
        <f>VLOOKUP($B558,Sheet2!$A:$G,7,0)</f>
        <v>78</v>
      </c>
      <c r="H558">
        <f>VLOOKUP($B558,Sheet2!$A:$G,6,0)</f>
        <v>88</v>
      </c>
    </row>
    <row r="559" spans="1:8">
      <c r="A559">
        <v>231416</v>
      </c>
      <c r="B559" t="s">
        <v>566</v>
      </c>
      <c r="C559">
        <f>VLOOKUP($B559,Sheet2!$A:$E,2,0)</f>
        <v>100</v>
      </c>
      <c r="D559">
        <f>VLOOKUP($B559,Sheet2!$A:$E,3,0)</f>
        <v>95</v>
      </c>
      <c r="E559">
        <f>VLOOKUP($B559,Sheet2!$A:$E,4,0)</f>
        <v>108</v>
      </c>
      <c r="F559">
        <f>VLOOKUP($B559,Sheet2!$A:$E,5,0)</f>
        <v>85</v>
      </c>
      <c r="G559">
        <f>VLOOKUP($B559,Sheet2!$A:$G,7,0)</f>
        <v>67</v>
      </c>
      <c r="H559">
        <f>VLOOKUP($B559,Sheet2!$A:$G,6,0)</f>
        <v>77</v>
      </c>
    </row>
    <row r="560" spans="1:8">
      <c r="A560">
        <v>231417</v>
      </c>
      <c r="B560" t="s">
        <v>567</v>
      </c>
      <c r="C560">
        <f>VLOOKUP($B560,Sheet2!$A:$E,2,0)</f>
        <v>102</v>
      </c>
      <c r="D560">
        <f>VLOOKUP($B560,Sheet2!$A:$E,3,0)</f>
        <v>100</v>
      </c>
      <c r="E560">
        <f>VLOOKUP($B560,Sheet2!$A:$E,4,0)</f>
        <v>112.5</v>
      </c>
      <c r="F560">
        <f>VLOOKUP($B560,Sheet2!$A:$E,5,0)</f>
        <v>83</v>
      </c>
      <c r="G560">
        <f>VLOOKUP($B560,Sheet2!$A:$G,7,0)</f>
        <v>77</v>
      </c>
      <c r="H560">
        <f>VLOOKUP($B560,Sheet2!$A:$G,6,0)</f>
        <v>81</v>
      </c>
    </row>
    <row r="561" spans="1:8">
      <c r="A561">
        <v>231418</v>
      </c>
      <c r="B561" t="s">
        <v>568</v>
      </c>
      <c r="C561">
        <f>VLOOKUP($B561,Sheet2!$A:$E,2,0)</f>
        <v>106</v>
      </c>
      <c r="D561">
        <f>VLOOKUP($B561,Sheet2!$A:$E,3,0)</f>
        <v>112</v>
      </c>
      <c r="E561">
        <f>VLOOKUP($B561,Sheet2!$A:$E,4,0)</f>
        <v>98.5</v>
      </c>
      <c r="F561">
        <f>VLOOKUP($B561,Sheet2!$A:$E,5,0)</f>
        <v>89</v>
      </c>
      <c r="G561">
        <f>VLOOKUP($B561,Sheet2!$A:$G,7,0)</f>
        <v>78</v>
      </c>
      <c r="H561">
        <f>VLOOKUP($B561,Sheet2!$A:$G,6,0)</f>
        <v>80</v>
      </c>
    </row>
    <row r="562" spans="1:8">
      <c r="A562">
        <v>231419</v>
      </c>
      <c r="B562" t="s">
        <v>569</v>
      </c>
      <c r="C562">
        <f>VLOOKUP($B562,Sheet2!$A:$E,2,0)</f>
        <v>104.5</v>
      </c>
      <c r="D562">
        <f>VLOOKUP($B562,Sheet2!$A:$E,3,0)</f>
        <v>95</v>
      </c>
      <c r="E562">
        <f>VLOOKUP($B562,Sheet2!$A:$E,4,0)</f>
        <v>117.5</v>
      </c>
      <c r="F562">
        <f>VLOOKUP($B562,Sheet2!$A:$E,5,0)</f>
        <v>86</v>
      </c>
      <c r="G562">
        <f>VLOOKUP($B562,Sheet2!$A:$G,7,0)</f>
        <v>87</v>
      </c>
      <c r="H562">
        <f>VLOOKUP($B562,Sheet2!$A:$G,6,0)</f>
        <v>88</v>
      </c>
    </row>
    <row r="563" spans="1:8">
      <c r="A563">
        <v>231420</v>
      </c>
      <c r="B563" t="s">
        <v>570</v>
      </c>
      <c r="C563">
        <f>VLOOKUP($B563,Sheet2!$A:$E,2,0)</f>
        <v>98</v>
      </c>
      <c r="D563">
        <f>VLOOKUP($B563,Sheet2!$A:$E,3,0)</f>
        <v>95</v>
      </c>
      <c r="E563">
        <f>VLOOKUP($B563,Sheet2!$A:$E,4,0)</f>
        <v>110</v>
      </c>
      <c r="F563">
        <f>VLOOKUP($B563,Sheet2!$A:$E,5,0)</f>
        <v>77</v>
      </c>
      <c r="G563">
        <f>VLOOKUP($B563,Sheet2!$A:$G,7,0)</f>
        <v>78</v>
      </c>
      <c r="H563">
        <f>VLOOKUP($B563,Sheet2!$A:$G,6,0)</f>
        <v>87</v>
      </c>
    </row>
    <row r="564" spans="1:8">
      <c r="A564">
        <v>231421</v>
      </c>
      <c r="B564" t="s">
        <v>571</v>
      </c>
      <c r="C564">
        <f>VLOOKUP($B564,Sheet2!$A:$E,2,0)</f>
        <v>97</v>
      </c>
      <c r="D564">
        <f>VLOOKUP($B564,Sheet2!$A:$E,3,0)</f>
        <v>86</v>
      </c>
      <c r="E564">
        <f>VLOOKUP($B564,Sheet2!$A:$E,4,0)</f>
        <v>109.5</v>
      </c>
      <c r="F564">
        <f>VLOOKUP($B564,Sheet2!$A:$E,5,0)</f>
        <v>89</v>
      </c>
      <c r="G564">
        <f>VLOOKUP($B564,Sheet2!$A:$G,7,0)</f>
        <v>78</v>
      </c>
      <c r="H564">
        <f>VLOOKUP($B564,Sheet2!$A:$G,6,0)</f>
        <v>83</v>
      </c>
    </row>
    <row r="565" spans="1:8">
      <c r="A565">
        <v>231422</v>
      </c>
      <c r="B565" t="s">
        <v>572</v>
      </c>
      <c r="C565">
        <f>VLOOKUP($B565,Sheet2!$A:$E,2,0)</f>
        <v>99</v>
      </c>
      <c r="D565">
        <f>VLOOKUP($B565,Sheet2!$A:$E,3,0)</f>
        <v>105</v>
      </c>
      <c r="E565">
        <f>VLOOKUP($B565,Sheet2!$A:$E,4,0)</f>
        <v>101.5</v>
      </c>
      <c r="F565">
        <f>VLOOKUP($B565,Sheet2!$A:$E,5,0)</f>
        <v>84</v>
      </c>
      <c r="G565">
        <f>VLOOKUP($B565,Sheet2!$A:$G,7,0)</f>
        <v>76</v>
      </c>
      <c r="H565">
        <f>VLOOKUP($B565,Sheet2!$A:$G,6,0)</f>
        <v>85</v>
      </c>
    </row>
    <row r="566" spans="1:8">
      <c r="A566">
        <v>231423</v>
      </c>
      <c r="B566" t="s">
        <v>573</v>
      </c>
      <c r="C566">
        <f>VLOOKUP($B566,Sheet2!$A:$E,2,0)</f>
        <v>100</v>
      </c>
      <c r="D566">
        <f>VLOOKUP($B566,Sheet2!$A:$E,3,0)</f>
        <v>97</v>
      </c>
      <c r="E566">
        <f>VLOOKUP($B566,Sheet2!$A:$E,4,0)</f>
        <v>113.5</v>
      </c>
      <c r="F566">
        <f>VLOOKUP($B566,Sheet2!$A:$E,5,0)</f>
        <v>83</v>
      </c>
      <c r="G566">
        <f>VLOOKUP($B566,Sheet2!$A:$G,7,0)</f>
        <v>78</v>
      </c>
      <c r="H566">
        <f>VLOOKUP($B566,Sheet2!$A:$G,6,0)</f>
        <v>77</v>
      </c>
    </row>
    <row r="567" spans="1:8">
      <c r="A567">
        <v>231424</v>
      </c>
      <c r="B567" t="s">
        <v>574</v>
      </c>
      <c r="C567">
        <f>VLOOKUP($B567,Sheet2!$A:$E,2,0)</f>
        <v>100.5</v>
      </c>
      <c r="D567">
        <f>VLOOKUP($B567,Sheet2!$A:$E,3,0)</f>
        <v>89</v>
      </c>
      <c r="E567">
        <f>VLOOKUP($B567,Sheet2!$A:$E,4,0)</f>
        <v>102</v>
      </c>
      <c r="F567">
        <f>VLOOKUP($B567,Sheet2!$A:$E,5,0)</f>
        <v>75</v>
      </c>
      <c r="G567">
        <f>VLOOKUP($B567,Sheet2!$A:$G,7,0)</f>
        <v>83</v>
      </c>
      <c r="H567">
        <f>VLOOKUP($B567,Sheet2!$A:$G,6,0)</f>
        <v>76</v>
      </c>
    </row>
    <row r="568" spans="1:8">
      <c r="A568">
        <v>231425</v>
      </c>
      <c r="B568" t="s">
        <v>575</v>
      </c>
      <c r="C568">
        <f>VLOOKUP($B568,Sheet2!$A:$E,2,0)</f>
        <v>106.5</v>
      </c>
      <c r="D568">
        <f>VLOOKUP($B568,Sheet2!$A:$E,3,0)</f>
        <v>108</v>
      </c>
      <c r="E568">
        <f>VLOOKUP($B568,Sheet2!$A:$E,4,0)</f>
        <v>112.5</v>
      </c>
      <c r="F568">
        <f>VLOOKUP($B568,Sheet2!$A:$E,5,0)</f>
        <v>90</v>
      </c>
      <c r="G568">
        <f>VLOOKUP($B568,Sheet2!$A:$G,7,0)</f>
        <v>85</v>
      </c>
      <c r="H568">
        <f>VLOOKUP($B568,Sheet2!$A:$G,6,0)</f>
        <v>85</v>
      </c>
    </row>
    <row r="569" spans="1:8">
      <c r="A569">
        <v>231426</v>
      </c>
      <c r="B569" t="s">
        <v>576</v>
      </c>
      <c r="C569">
        <f>VLOOKUP($B569,Sheet2!$A:$E,2,0)</f>
        <v>103</v>
      </c>
      <c r="D569">
        <f>VLOOKUP($B569,Sheet2!$A:$E,3,0)</f>
        <v>117</v>
      </c>
      <c r="E569">
        <f>VLOOKUP($B569,Sheet2!$A:$E,4,0)</f>
        <v>114.5</v>
      </c>
      <c r="F569">
        <f>VLOOKUP($B569,Sheet2!$A:$E,5,0)</f>
        <v>86</v>
      </c>
      <c r="G569">
        <f>VLOOKUP($B569,Sheet2!$A:$G,7,0)</f>
        <v>79</v>
      </c>
      <c r="H569">
        <f>VLOOKUP($B569,Sheet2!$A:$G,6,0)</f>
        <v>81</v>
      </c>
    </row>
    <row r="570" spans="1:8">
      <c r="A570">
        <v>231427</v>
      </c>
      <c r="B570" t="s">
        <v>577</v>
      </c>
      <c r="C570">
        <f>VLOOKUP($B570,Sheet2!$A:$E,2,0)</f>
        <v>89</v>
      </c>
      <c r="D570">
        <f>VLOOKUP($B570,Sheet2!$A:$E,3,0)</f>
        <v>117</v>
      </c>
      <c r="E570">
        <f>VLOOKUP($B570,Sheet2!$A:$E,4,0)</f>
        <v>105</v>
      </c>
      <c r="F570">
        <f>VLOOKUP($B570,Sheet2!$A:$E,5,0)</f>
        <v>82</v>
      </c>
      <c r="G570">
        <f>VLOOKUP($B570,Sheet2!$A:$G,7,0)</f>
        <v>82</v>
      </c>
      <c r="H570">
        <f>VLOOKUP($B570,Sheet2!$A:$G,6,0)</f>
        <v>87</v>
      </c>
    </row>
    <row r="571" spans="1:8">
      <c r="A571">
        <v>231428</v>
      </c>
      <c r="B571" t="s">
        <v>578</v>
      </c>
      <c r="C571">
        <f>VLOOKUP($B571,Sheet2!$A:$E,2,0)</f>
        <v>97</v>
      </c>
      <c r="D571">
        <f>VLOOKUP($B571,Sheet2!$A:$E,3,0)</f>
        <v>92</v>
      </c>
      <c r="E571">
        <f>VLOOKUP($B571,Sheet2!$A:$E,4,0)</f>
        <v>106</v>
      </c>
      <c r="F571">
        <f>VLOOKUP($B571,Sheet2!$A:$E,5,0)</f>
        <v>80</v>
      </c>
      <c r="G571">
        <f>VLOOKUP($B571,Sheet2!$A:$G,7,0)</f>
        <v>80</v>
      </c>
      <c r="H571">
        <f>VLOOKUP($B571,Sheet2!$A:$G,6,0)</f>
        <v>77</v>
      </c>
    </row>
    <row r="572" spans="1:8">
      <c r="A572">
        <v>231429</v>
      </c>
      <c r="B572" t="s">
        <v>579</v>
      </c>
      <c r="C572">
        <f>VLOOKUP($B572,Sheet2!$A:$E,2,0)</f>
        <v>99</v>
      </c>
      <c r="D572">
        <f>VLOOKUP($B572,Sheet2!$A:$E,3,0)</f>
        <v>98</v>
      </c>
      <c r="E572">
        <f>VLOOKUP($B572,Sheet2!$A:$E,4,0)</f>
        <v>110.5</v>
      </c>
      <c r="F572">
        <f>VLOOKUP($B572,Sheet2!$A:$E,5,0)</f>
        <v>90</v>
      </c>
      <c r="G572">
        <f>VLOOKUP($B572,Sheet2!$A:$G,7,0)</f>
        <v>81</v>
      </c>
      <c r="H572">
        <f>VLOOKUP($B572,Sheet2!$A:$G,6,0)</f>
        <v>79</v>
      </c>
    </row>
    <row r="573" spans="1:8">
      <c r="A573">
        <v>231430</v>
      </c>
      <c r="B573" t="s">
        <v>580</v>
      </c>
      <c r="C573">
        <f>VLOOKUP($B573,Sheet2!$A:$E,2,0)</f>
        <v>97.5</v>
      </c>
      <c r="D573">
        <f>VLOOKUP($B573,Sheet2!$A:$E,3,0)</f>
        <v>84</v>
      </c>
      <c r="E573">
        <f>VLOOKUP($B573,Sheet2!$A:$E,4,0)</f>
        <v>104</v>
      </c>
      <c r="F573">
        <f>VLOOKUP($B573,Sheet2!$A:$E,5,0)</f>
        <v>84</v>
      </c>
      <c r="G573">
        <f>VLOOKUP($B573,Sheet2!$A:$G,7,0)</f>
        <v>81</v>
      </c>
      <c r="H573">
        <f>VLOOKUP($B573,Sheet2!$A:$G,6,0)</f>
        <v>80</v>
      </c>
    </row>
    <row r="574" spans="1:8">
      <c r="A574">
        <v>231431</v>
      </c>
      <c r="B574" t="s">
        <v>581</v>
      </c>
      <c r="C574">
        <f>VLOOKUP($B574,Sheet2!$A:$E,2,0)</f>
        <v>110</v>
      </c>
      <c r="D574">
        <f>VLOOKUP($B574,Sheet2!$A:$E,3,0)</f>
        <v>109</v>
      </c>
      <c r="E574">
        <f>VLOOKUP($B574,Sheet2!$A:$E,4,0)</f>
        <v>107.5</v>
      </c>
      <c r="F574">
        <f>VLOOKUP($B574,Sheet2!$A:$E,5,0)</f>
        <v>87</v>
      </c>
      <c r="G574">
        <f>VLOOKUP($B574,Sheet2!$A:$G,7,0)</f>
        <v>78</v>
      </c>
      <c r="H574">
        <f>VLOOKUP($B574,Sheet2!$A:$G,6,0)</f>
        <v>87</v>
      </c>
    </row>
    <row r="575" spans="1:8">
      <c r="A575">
        <v>231432</v>
      </c>
      <c r="B575" t="s">
        <v>582</v>
      </c>
      <c r="C575">
        <f>VLOOKUP($B575,Sheet2!$A:$E,2,0)</f>
        <v>93</v>
      </c>
      <c r="D575">
        <f>VLOOKUP($B575,Sheet2!$A:$E,3,0)</f>
        <v>97</v>
      </c>
      <c r="E575">
        <f>VLOOKUP($B575,Sheet2!$A:$E,4,0)</f>
        <v>101</v>
      </c>
      <c r="F575">
        <f>VLOOKUP($B575,Sheet2!$A:$E,5,0)</f>
        <v>85</v>
      </c>
      <c r="G575">
        <f>VLOOKUP($B575,Sheet2!$A:$G,7,0)</f>
        <v>72</v>
      </c>
      <c r="H575">
        <f>VLOOKUP($B575,Sheet2!$A:$G,6,0)</f>
        <v>75</v>
      </c>
    </row>
    <row r="576" spans="1:8">
      <c r="A576">
        <v>231433</v>
      </c>
      <c r="B576" t="s">
        <v>583</v>
      </c>
      <c r="C576">
        <f>VLOOKUP($B576,Sheet2!$A:$E,2,0)</f>
        <v>111.5</v>
      </c>
      <c r="D576">
        <f>VLOOKUP($B576,Sheet2!$A:$E,3,0)</f>
        <v>107</v>
      </c>
      <c r="E576">
        <f>VLOOKUP($B576,Sheet2!$A:$E,4,0)</f>
        <v>112</v>
      </c>
      <c r="F576">
        <f>VLOOKUP($B576,Sheet2!$A:$E,5,0)</f>
        <v>81</v>
      </c>
      <c r="G576">
        <f>VLOOKUP($B576,Sheet2!$A:$G,7,0)</f>
        <v>85</v>
      </c>
      <c r="H576">
        <f>VLOOKUP($B576,Sheet2!$A:$G,6,0)</f>
        <v>82</v>
      </c>
    </row>
    <row r="577" spans="1:8">
      <c r="A577">
        <v>231434</v>
      </c>
      <c r="B577" t="s">
        <v>584</v>
      </c>
      <c r="C577">
        <f>VLOOKUP($B577,Sheet2!$A:$E,2,0)</f>
        <v>111</v>
      </c>
      <c r="D577">
        <f>VLOOKUP($B577,Sheet2!$A:$E,3,0)</f>
        <v>98</v>
      </c>
      <c r="E577">
        <f>VLOOKUP($B577,Sheet2!$A:$E,4,0)</f>
        <v>111.5</v>
      </c>
      <c r="F577">
        <f>VLOOKUP($B577,Sheet2!$A:$E,5,0)</f>
        <v>87</v>
      </c>
      <c r="G577">
        <f>VLOOKUP($B577,Sheet2!$A:$G,7,0)</f>
        <v>80</v>
      </c>
      <c r="H577">
        <f>VLOOKUP($B577,Sheet2!$A:$G,6,0)</f>
        <v>78</v>
      </c>
    </row>
    <row r="578" spans="1:8">
      <c r="A578">
        <v>231435</v>
      </c>
      <c r="B578" t="s">
        <v>585</v>
      </c>
      <c r="C578">
        <f>VLOOKUP($B578,Sheet2!$A:$E,2,0)</f>
        <v>96</v>
      </c>
      <c r="D578">
        <f>VLOOKUP($B578,Sheet2!$A:$E,3,0)</f>
        <v>96</v>
      </c>
      <c r="E578">
        <f>VLOOKUP($B578,Sheet2!$A:$E,4,0)</f>
        <v>109.5</v>
      </c>
      <c r="F578">
        <f>VLOOKUP($B578,Sheet2!$A:$E,5,0)</f>
        <v>84</v>
      </c>
      <c r="G578">
        <f>VLOOKUP($B578,Sheet2!$A:$G,7,0)</f>
        <v>82</v>
      </c>
      <c r="H578">
        <f>VLOOKUP($B578,Sheet2!$A:$G,6,0)</f>
        <v>83</v>
      </c>
    </row>
    <row r="579" spans="1:8">
      <c r="A579">
        <v>231436</v>
      </c>
      <c r="B579" t="s">
        <v>586</v>
      </c>
      <c r="C579">
        <f>VLOOKUP($B579,Sheet2!$A:$E,2,0)</f>
        <v>95</v>
      </c>
      <c r="D579">
        <f>VLOOKUP($B579,Sheet2!$A:$E,3,0)</f>
        <v>99</v>
      </c>
      <c r="E579">
        <f>VLOOKUP($B579,Sheet2!$A:$E,4,0)</f>
        <v>109</v>
      </c>
      <c r="F579">
        <f>VLOOKUP($B579,Sheet2!$A:$E,5,0)</f>
        <v>89</v>
      </c>
      <c r="G579">
        <f>VLOOKUP($B579,Sheet2!$A:$G,7,0)</f>
        <v>80</v>
      </c>
      <c r="H579">
        <f>VLOOKUP($B579,Sheet2!$A:$G,6,0)</f>
        <v>80</v>
      </c>
    </row>
    <row r="580" spans="1:8">
      <c r="A580">
        <v>231438</v>
      </c>
      <c r="B580" t="s">
        <v>587</v>
      </c>
      <c r="C580">
        <f>VLOOKUP($B580,Sheet2!$A:$E,2,0)</f>
        <v>108</v>
      </c>
      <c r="D580">
        <f>VLOOKUP($B580,Sheet2!$A:$E,3,0)</f>
        <v>106</v>
      </c>
      <c r="E580">
        <f>VLOOKUP($B580,Sheet2!$A:$E,4,0)</f>
        <v>112</v>
      </c>
      <c r="F580">
        <f>VLOOKUP($B580,Sheet2!$A:$E,5,0)</f>
        <v>84</v>
      </c>
      <c r="G580">
        <f>VLOOKUP($B580,Sheet2!$A:$G,7,0)</f>
        <v>78</v>
      </c>
      <c r="H580">
        <f>VLOOKUP($B580,Sheet2!$A:$G,6,0)</f>
        <v>86</v>
      </c>
    </row>
    <row r="581" spans="1:8">
      <c r="A581">
        <v>231439</v>
      </c>
      <c r="B581" t="s">
        <v>588</v>
      </c>
      <c r="C581">
        <f>VLOOKUP($B581,Sheet2!$A:$E,2,0)</f>
        <v>97.5</v>
      </c>
      <c r="D581">
        <f>VLOOKUP($B581,Sheet2!$A:$E,3,0)</f>
        <v>99</v>
      </c>
      <c r="E581">
        <f>VLOOKUP($B581,Sheet2!$A:$E,4,0)</f>
        <v>96.5</v>
      </c>
      <c r="F581">
        <f>VLOOKUP($B581,Sheet2!$A:$E,5,0)</f>
        <v>78</v>
      </c>
      <c r="G581">
        <f>VLOOKUP($B581,Sheet2!$A:$G,7,0)</f>
        <v>69</v>
      </c>
      <c r="H581">
        <f>VLOOKUP($B581,Sheet2!$A:$G,6,0)</f>
        <v>72</v>
      </c>
    </row>
    <row r="582" spans="1:8">
      <c r="A582">
        <v>231440</v>
      </c>
      <c r="B582" t="s">
        <v>589</v>
      </c>
      <c r="C582">
        <f>VLOOKUP($B582,Sheet2!$A:$E,2,0)</f>
        <v>79.5</v>
      </c>
      <c r="D582">
        <f>VLOOKUP($B582,Sheet2!$A:$E,3,0)</f>
        <v>99</v>
      </c>
      <c r="E582">
        <f>VLOOKUP($B582,Sheet2!$A:$E,4,0)</f>
        <v>93.5</v>
      </c>
      <c r="F582">
        <f>VLOOKUP($B582,Sheet2!$A:$E,5,0)</f>
        <v>90</v>
      </c>
      <c r="G582">
        <f>VLOOKUP($B582,Sheet2!$A:$G,7,0)</f>
        <v>78</v>
      </c>
      <c r="H582">
        <f>VLOOKUP($B582,Sheet2!$A:$G,6,0)</f>
        <v>82</v>
      </c>
    </row>
    <row r="583" spans="1:8">
      <c r="A583">
        <v>231441</v>
      </c>
      <c r="B583" t="s">
        <v>590</v>
      </c>
      <c r="C583">
        <f>VLOOKUP($B583,Sheet2!$A:$E,2,0)</f>
        <v>94</v>
      </c>
      <c r="D583">
        <f>VLOOKUP($B583,Sheet2!$A:$E,3,0)</f>
        <v>99</v>
      </c>
      <c r="E583">
        <f>VLOOKUP($B583,Sheet2!$A:$E,4,0)</f>
        <v>114</v>
      </c>
      <c r="F583">
        <f>VLOOKUP($B583,Sheet2!$A:$E,5,0)</f>
        <v>83</v>
      </c>
      <c r="G583">
        <f>VLOOKUP($B583,Sheet2!$A:$G,7,0)</f>
        <v>83</v>
      </c>
      <c r="H583">
        <f>VLOOKUP($B583,Sheet2!$A:$G,6,0)</f>
        <v>85</v>
      </c>
    </row>
    <row r="584" spans="1:8">
      <c r="A584">
        <v>231442</v>
      </c>
      <c r="B584" t="s">
        <v>591</v>
      </c>
      <c r="C584">
        <f>VLOOKUP($B584,Sheet2!$A:$E,2,0)</f>
        <v>101</v>
      </c>
      <c r="D584">
        <f>VLOOKUP($B584,Sheet2!$A:$E,3,0)</f>
        <v>105</v>
      </c>
      <c r="E584">
        <f>VLOOKUP($B584,Sheet2!$A:$E,4,0)</f>
        <v>108.5</v>
      </c>
      <c r="F584">
        <f>VLOOKUP($B584,Sheet2!$A:$E,5,0)</f>
        <v>84</v>
      </c>
      <c r="G584">
        <f>VLOOKUP($B584,Sheet2!$A:$G,7,0)</f>
        <v>77</v>
      </c>
      <c r="H584">
        <f>VLOOKUP($B584,Sheet2!$A:$G,6,0)</f>
        <v>81</v>
      </c>
    </row>
    <row r="585" spans="1:8">
      <c r="A585">
        <v>231443</v>
      </c>
      <c r="B585" t="s">
        <v>592</v>
      </c>
      <c r="C585">
        <f>VLOOKUP($B585,Sheet2!$A:$E,2,0)</f>
        <v>96</v>
      </c>
      <c r="D585">
        <f>VLOOKUP($B585,Sheet2!$A:$E,3,0)</f>
        <v>110</v>
      </c>
      <c r="E585">
        <f>VLOOKUP($B585,Sheet2!$A:$E,4,0)</f>
        <v>112</v>
      </c>
      <c r="F585">
        <f>VLOOKUP($B585,Sheet2!$A:$E,5,0)</f>
        <v>82</v>
      </c>
      <c r="G585">
        <f>VLOOKUP($B585,Sheet2!$A:$G,7,0)</f>
        <v>81</v>
      </c>
      <c r="H585">
        <f>VLOOKUP($B585,Sheet2!$A:$G,6,0)</f>
        <v>84</v>
      </c>
    </row>
    <row r="586" spans="1:8">
      <c r="A586">
        <v>231444</v>
      </c>
      <c r="B586" t="s">
        <v>593</v>
      </c>
      <c r="C586">
        <f>VLOOKUP($B586,Sheet2!$A:$E,2,0)</f>
        <v>106</v>
      </c>
      <c r="D586">
        <f>VLOOKUP($B586,Sheet2!$A:$E,3,0)</f>
        <v>101</v>
      </c>
      <c r="E586">
        <f>VLOOKUP($B586,Sheet2!$A:$E,4,0)</f>
        <v>113.5</v>
      </c>
      <c r="F586">
        <f>VLOOKUP($B586,Sheet2!$A:$E,5,0)</f>
        <v>88</v>
      </c>
      <c r="G586">
        <f>VLOOKUP($B586,Sheet2!$A:$G,7,0)</f>
        <v>76</v>
      </c>
      <c r="H586">
        <f>VLOOKUP($B586,Sheet2!$A:$G,6,0)</f>
        <v>77</v>
      </c>
    </row>
    <row r="587" spans="1:8">
      <c r="A587">
        <v>231501</v>
      </c>
      <c r="B587" t="s">
        <v>594</v>
      </c>
      <c r="C587">
        <f>VLOOKUP($B587,Sheet2!$A:$E,2,0)</f>
        <v>81.5</v>
      </c>
      <c r="D587">
        <f>VLOOKUP($B587,Sheet2!$A:$E,3,0)</f>
        <v>111</v>
      </c>
      <c r="E587">
        <f>VLOOKUP($B587,Sheet2!$A:$E,4,0)</f>
        <v>109</v>
      </c>
      <c r="F587">
        <f>VLOOKUP($B587,Sheet2!$A:$E,5,0)</f>
        <v>85</v>
      </c>
      <c r="G587">
        <f>VLOOKUP($B587,Sheet2!$A:$G,7,0)</f>
        <v>81</v>
      </c>
      <c r="H587">
        <f>VLOOKUP($B587,Sheet2!$A:$G,6,0)</f>
        <v>80</v>
      </c>
    </row>
    <row r="588" spans="1:8">
      <c r="A588">
        <v>231502</v>
      </c>
      <c r="B588" t="s">
        <v>595</v>
      </c>
      <c r="C588">
        <f>VLOOKUP($B588,Sheet2!$A:$E,2,0)</f>
        <v>100.5</v>
      </c>
      <c r="D588">
        <f>VLOOKUP($B588,Sheet2!$A:$E,3,0)</f>
        <v>88</v>
      </c>
      <c r="E588">
        <f>VLOOKUP($B588,Sheet2!$A:$E,4,0)</f>
        <v>93.5</v>
      </c>
      <c r="F588">
        <f>VLOOKUP($B588,Sheet2!$A:$E,5,0)</f>
        <v>84</v>
      </c>
      <c r="G588">
        <f>VLOOKUP($B588,Sheet2!$A:$G,7,0)</f>
        <v>81</v>
      </c>
      <c r="H588">
        <f>VLOOKUP($B588,Sheet2!$A:$G,6,0)</f>
        <v>76</v>
      </c>
    </row>
    <row r="589" spans="1:8">
      <c r="A589">
        <v>231503</v>
      </c>
      <c r="B589" t="s">
        <v>596</v>
      </c>
      <c r="C589">
        <f>VLOOKUP($B589,Sheet2!$A:$E,2,0)</f>
        <v>84</v>
      </c>
      <c r="D589">
        <f>VLOOKUP($B589,Sheet2!$A:$E,3,0)</f>
        <v>92</v>
      </c>
      <c r="E589">
        <f>VLOOKUP($B589,Sheet2!$A:$E,4,0)</f>
        <v>102.5</v>
      </c>
      <c r="F589">
        <f>VLOOKUP($B589,Sheet2!$A:$E,5,0)</f>
        <v>85</v>
      </c>
      <c r="G589">
        <f>VLOOKUP($B589,Sheet2!$A:$G,7,0)</f>
        <v>78</v>
      </c>
      <c r="H589">
        <f>VLOOKUP($B589,Sheet2!$A:$G,6,0)</f>
        <v>75</v>
      </c>
    </row>
    <row r="590" spans="1:8">
      <c r="A590">
        <v>231504</v>
      </c>
      <c r="B590" t="s">
        <v>597</v>
      </c>
      <c r="C590">
        <f>VLOOKUP($B590,Sheet2!$A:$E,2,0)</f>
        <v>104</v>
      </c>
      <c r="D590">
        <f>VLOOKUP($B590,Sheet2!$A:$E,3,0)</f>
        <v>108</v>
      </c>
      <c r="E590">
        <f>VLOOKUP($B590,Sheet2!$A:$E,4,0)</f>
        <v>112</v>
      </c>
      <c r="F590">
        <f>VLOOKUP($B590,Sheet2!$A:$E,5,0)</f>
        <v>88</v>
      </c>
      <c r="G590">
        <f>VLOOKUP($B590,Sheet2!$A:$G,7,0)</f>
        <v>83</v>
      </c>
      <c r="H590">
        <f>VLOOKUP($B590,Sheet2!$A:$G,6,0)</f>
        <v>81</v>
      </c>
    </row>
    <row r="591" spans="1:8">
      <c r="A591">
        <v>231505</v>
      </c>
      <c r="B591" t="s">
        <v>598</v>
      </c>
      <c r="C591">
        <f>VLOOKUP($B591,Sheet2!$A:$E,2,0)</f>
        <v>95</v>
      </c>
      <c r="D591">
        <f>VLOOKUP($B591,Sheet2!$A:$E,3,0)</f>
        <v>103</v>
      </c>
      <c r="E591">
        <f>VLOOKUP($B591,Sheet2!$A:$E,4,0)</f>
        <v>96.5</v>
      </c>
      <c r="F591">
        <f>VLOOKUP($B591,Sheet2!$A:$E,5,0)</f>
        <v>86</v>
      </c>
      <c r="G591">
        <f>VLOOKUP($B591,Sheet2!$A:$G,7,0)</f>
        <v>74</v>
      </c>
      <c r="H591">
        <f>VLOOKUP($B591,Sheet2!$A:$G,6,0)</f>
        <v>78</v>
      </c>
    </row>
    <row r="592" spans="1:8">
      <c r="A592">
        <v>231506</v>
      </c>
      <c r="B592" t="s">
        <v>599</v>
      </c>
      <c r="C592">
        <f>VLOOKUP($B592,Sheet2!$A:$E,2,0)</f>
        <v>92</v>
      </c>
      <c r="D592">
        <f>VLOOKUP($B592,Sheet2!$A:$E,3,0)</f>
        <v>105</v>
      </c>
      <c r="E592">
        <f>VLOOKUP($B592,Sheet2!$A:$E,4,0)</f>
        <v>104.5</v>
      </c>
      <c r="F592">
        <f>VLOOKUP($B592,Sheet2!$A:$E,5,0)</f>
        <v>90</v>
      </c>
      <c r="G592">
        <f>VLOOKUP($B592,Sheet2!$A:$G,7,0)</f>
        <v>78</v>
      </c>
      <c r="H592">
        <f>VLOOKUP($B592,Sheet2!$A:$G,6,0)</f>
        <v>78</v>
      </c>
    </row>
    <row r="593" spans="1:8">
      <c r="A593">
        <v>231507</v>
      </c>
      <c r="B593" t="s">
        <v>600</v>
      </c>
      <c r="C593">
        <f>VLOOKUP($B593,Sheet2!$A:$E,2,0)</f>
        <v>89</v>
      </c>
      <c r="D593">
        <f>VLOOKUP($B593,Sheet2!$A:$E,3,0)</f>
        <v>96</v>
      </c>
      <c r="E593">
        <f>VLOOKUP($B593,Sheet2!$A:$E,4,0)</f>
        <v>110</v>
      </c>
      <c r="F593">
        <f>VLOOKUP($B593,Sheet2!$A:$E,5,0)</f>
        <v>82</v>
      </c>
      <c r="G593">
        <f>VLOOKUP($B593,Sheet2!$A:$G,7,0)</f>
        <v>78</v>
      </c>
      <c r="H593">
        <f>VLOOKUP($B593,Sheet2!$A:$G,6,0)</f>
        <v>83</v>
      </c>
    </row>
    <row r="594" spans="1:8">
      <c r="A594">
        <v>231508</v>
      </c>
      <c r="B594" t="s">
        <v>601</v>
      </c>
      <c r="C594">
        <f>VLOOKUP($B594,Sheet2!$A:$E,2,0)</f>
        <v>93</v>
      </c>
      <c r="D594">
        <f>VLOOKUP($B594,Sheet2!$A:$E,3,0)</f>
        <v>98</v>
      </c>
      <c r="E594">
        <f>VLOOKUP($B594,Sheet2!$A:$E,4,0)</f>
        <v>113.5</v>
      </c>
      <c r="F594">
        <f>VLOOKUP($B594,Sheet2!$A:$E,5,0)</f>
        <v>82</v>
      </c>
      <c r="G594">
        <f>VLOOKUP($B594,Sheet2!$A:$G,7,0)</f>
        <v>78</v>
      </c>
      <c r="H594">
        <f>VLOOKUP($B594,Sheet2!$A:$G,6,0)</f>
        <v>72</v>
      </c>
    </row>
    <row r="595" spans="1:8">
      <c r="A595">
        <v>231509</v>
      </c>
      <c r="B595" t="s">
        <v>602</v>
      </c>
      <c r="C595">
        <f>VLOOKUP($B595,Sheet2!$A:$E,2,0)</f>
        <v>93</v>
      </c>
      <c r="D595">
        <f>VLOOKUP($B595,Sheet2!$A:$E,3,0)</f>
        <v>87</v>
      </c>
      <c r="E595">
        <f>VLOOKUP($B595,Sheet2!$A:$E,4,0)</f>
        <v>109.5</v>
      </c>
      <c r="F595">
        <f>VLOOKUP($B595,Sheet2!$A:$E,5,0)</f>
        <v>83</v>
      </c>
      <c r="G595">
        <f>VLOOKUP($B595,Sheet2!$A:$G,7,0)</f>
        <v>77</v>
      </c>
      <c r="H595">
        <f>VLOOKUP($B595,Sheet2!$A:$G,6,0)</f>
        <v>67</v>
      </c>
    </row>
    <row r="596" spans="1:8">
      <c r="A596">
        <v>231510</v>
      </c>
      <c r="B596" t="s">
        <v>603</v>
      </c>
      <c r="C596">
        <f>VLOOKUP($B596,Sheet2!$A:$E,2,0)</f>
        <v>98</v>
      </c>
      <c r="D596">
        <f>VLOOKUP($B596,Sheet2!$A:$E,3,0)</f>
        <v>111</v>
      </c>
      <c r="E596">
        <f>VLOOKUP($B596,Sheet2!$A:$E,4,0)</f>
        <v>103</v>
      </c>
      <c r="F596">
        <f>VLOOKUP($B596,Sheet2!$A:$E,5,0)</f>
        <v>79</v>
      </c>
      <c r="G596">
        <f>VLOOKUP($B596,Sheet2!$A:$G,7,0)</f>
        <v>85</v>
      </c>
      <c r="H596">
        <f>VLOOKUP($B596,Sheet2!$A:$G,6,0)</f>
        <v>71</v>
      </c>
    </row>
    <row r="597" spans="1:8">
      <c r="A597">
        <v>231511</v>
      </c>
      <c r="B597" t="s">
        <v>604</v>
      </c>
      <c r="C597">
        <f>VLOOKUP($B597,Sheet2!$A:$E,2,0)</f>
        <v>95</v>
      </c>
      <c r="D597">
        <f>VLOOKUP($B597,Sheet2!$A:$E,3,0)</f>
        <v>95</v>
      </c>
      <c r="E597">
        <f>VLOOKUP($B597,Sheet2!$A:$E,4,0)</f>
        <v>106.5</v>
      </c>
      <c r="F597">
        <f>VLOOKUP($B597,Sheet2!$A:$E,5,0)</f>
        <v>87</v>
      </c>
      <c r="G597">
        <f>VLOOKUP($B597,Sheet2!$A:$G,7,0)</f>
        <v>77</v>
      </c>
      <c r="H597">
        <f>VLOOKUP($B597,Sheet2!$A:$G,6,0)</f>
        <v>82</v>
      </c>
    </row>
    <row r="598" spans="1:8">
      <c r="A598">
        <v>231512</v>
      </c>
      <c r="B598" t="s">
        <v>605</v>
      </c>
      <c r="C598">
        <f>VLOOKUP($B598,Sheet2!$A:$E,2,0)</f>
        <v>106</v>
      </c>
      <c r="D598">
        <f>VLOOKUP($B598,Sheet2!$A:$E,3,0)</f>
        <v>108</v>
      </c>
      <c r="E598">
        <f>VLOOKUP($B598,Sheet2!$A:$E,4,0)</f>
        <v>107</v>
      </c>
      <c r="F598">
        <f>VLOOKUP($B598,Sheet2!$A:$E,5,0)</f>
        <v>77</v>
      </c>
      <c r="G598">
        <f>VLOOKUP($B598,Sheet2!$A:$G,7,0)</f>
        <v>74</v>
      </c>
      <c r="H598">
        <f>VLOOKUP($B598,Sheet2!$A:$G,6,0)</f>
        <v>75</v>
      </c>
    </row>
    <row r="599" spans="1:8">
      <c r="A599">
        <v>231513</v>
      </c>
      <c r="B599" t="s">
        <v>606</v>
      </c>
      <c r="C599">
        <f>VLOOKUP($B599,Sheet2!$A:$E,2,0)</f>
        <v>95</v>
      </c>
      <c r="D599">
        <f>VLOOKUP($B599,Sheet2!$A:$E,3,0)</f>
        <v>102</v>
      </c>
      <c r="E599">
        <f>VLOOKUP($B599,Sheet2!$A:$E,4,0)</f>
        <v>103</v>
      </c>
      <c r="F599">
        <f>VLOOKUP($B599,Sheet2!$A:$E,5,0)</f>
        <v>82</v>
      </c>
      <c r="G599">
        <f>VLOOKUP($B599,Sheet2!$A:$G,7,0)</f>
        <v>71</v>
      </c>
      <c r="H599">
        <f>VLOOKUP($B599,Sheet2!$A:$G,6,0)</f>
        <v>86</v>
      </c>
    </row>
    <row r="600" spans="1:8">
      <c r="A600">
        <v>231514</v>
      </c>
      <c r="B600" t="s">
        <v>607</v>
      </c>
      <c r="C600">
        <f>VLOOKUP($B600,Sheet2!$A:$E,2,0)</f>
        <v>90</v>
      </c>
      <c r="D600">
        <f>VLOOKUP($B600,Sheet2!$A:$E,3,0)</f>
        <v>100</v>
      </c>
      <c r="E600">
        <f>VLOOKUP($B600,Sheet2!$A:$E,4,0)</f>
        <v>114</v>
      </c>
      <c r="F600">
        <f>VLOOKUP($B600,Sheet2!$A:$E,5,0)</f>
        <v>85</v>
      </c>
      <c r="G600">
        <f>VLOOKUP($B600,Sheet2!$A:$G,7,0)</f>
        <v>77</v>
      </c>
      <c r="H600">
        <f>VLOOKUP($B600,Sheet2!$A:$G,6,0)</f>
        <v>77</v>
      </c>
    </row>
    <row r="601" spans="1:8">
      <c r="A601">
        <v>231515</v>
      </c>
      <c r="B601" t="s">
        <v>608</v>
      </c>
      <c r="C601">
        <f>VLOOKUP($B601,Sheet2!$A:$E,2,0)</f>
        <v>98.5</v>
      </c>
      <c r="D601">
        <f>VLOOKUP($B601,Sheet2!$A:$E,3,0)</f>
        <v>108</v>
      </c>
      <c r="E601">
        <f>VLOOKUP($B601,Sheet2!$A:$E,4,0)</f>
        <v>111</v>
      </c>
      <c r="F601">
        <f>VLOOKUP($B601,Sheet2!$A:$E,5,0)</f>
        <v>84</v>
      </c>
      <c r="G601">
        <f>VLOOKUP($B601,Sheet2!$A:$G,7,0)</f>
        <v>81</v>
      </c>
      <c r="H601">
        <f>VLOOKUP($B601,Sheet2!$A:$G,6,0)</f>
        <v>87</v>
      </c>
    </row>
    <row r="602" spans="1:8">
      <c r="A602">
        <v>231516</v>
      </c>
      <c r="B602" t="s">
        <v>609</v>
      </c>
      <c r="C602">
        <f>VLOOKUP($B602,Sheet2!$A:$E,2,0)</f>
        <v>91</v>
      </c>
      <c r="D602">
        <f>VLOOKUP($B602,Sheet2!$A:$E,3,0)</f>
        <v>99</v>
      </c>
      <c r="E602">
        <f>VLOOKUP($B602,Sheet2!$A:$E,4,0)</f>
        <v>111.5</v>
      </c>
      <c r="F602">
        <f>VLOOKUP($B602,Sheet2!$A:$E,5,0)</f>
        <v>85</v>
      </c>
      <c r="G602">
        <f>VLOOKUP($B602,Sheet2!$A:$G,7,0)</f>
        <v>67</v>
      </c>
      <c r="H602">
        <f>VLOOKUP($B602,Sheet2!$A:$G,6,0)</f>
        <v>74</v>
      </c>
    </row>
    <row r="603" spans="1:8">
      <c r="A603">
        <v>231517</v>
      </c>
      <c r="B603" t="s">
        <v>610</v>
      </c>
      <c r="C603">
        <f>VLOOKUP($B603,Sheet2!$A:$E,2,0)</f>
        <v>91</v>
      </c>
      <c r="D603">
        <f>VLOOKUP($B603,Sheet2!$A:$E,3,0)</f>
        <v>119</v>
      </c>
      <c r="E603">
        <f>VLOOKUP($B603,Sheet2!$A:$E,4,0)</f>
        <v>105</v>
      </c>
      <c r="F603">
        <f>VLOOKUP($B603,Sheet2!$A:$E,5,0)</f>
        <v>85</v>
      </c>
      <c r="G603">
        <f>VLOOKUP($B603,Sheet2!$A:$G,7,0)</f>
        <v>76</v>
      </c>
      <c r="H603">
        <f>VLOOKUP($B603,Sheet2!$A:$G,6,0)</f>
        <v>81</v>
      </c>
    </row>
    <row r="604" spans="1:8">
      <c r="A604">
        <v>231518</v>
      </c>
      <c r="B604" t="s">
        <v>611</v>
      </c>
      <c r="C604">
        <f>VLOOKUP($B604,Sheet2!$A:$E,2,0)</f>
        <v>93.5</v>
      </c>
      <c r="D604">
        <f>VLOOKUP($B604,Sheet2!$A:$E,3,0)</f>
        <v>98</v>
      </c>
      <c r="E604">
        <f>VLOOKUP($B604,Sheet2!$A:$E,4,0)</f>
        <v>111.5</v>
      </c>
      <c r="F604">
        <f>VLOOKUP($B604,Sheet2!$A:$E,5,0)</f>
        <v>89</v>
      </c>
      <c r="G604">
        <f>VLOOKUP($B604,Sheet2!$A:$G,7,0)</f>
        <v>78</v>
      </c>
      <c r="H604">
        <f>VLOOKUP($B604,Sheet2!$A:$G,6,0)</f>
        <v>76</v>
      </c>
    </row>
    <row r="605" spans="1:8">
      <c r="A605">
        <v>231519</v>
      </c>
      <c r="B605" t="s">
        <v>612</v>
      </c>
      <c r="C605">
        <f>VLOOKUP($B605,Sheet2!$A:$E,2,0)</f>
        <v>93</v>
      </c>
      <c r="D605">
        <f>VLOOKUP($B605,Sheet2!$A:$E,3,0)</f>
        <v>104</v>
      </c>
      <c r="E605">
        <f>VLOOKUP($B605,Sheet2!$A:$E,4,0)</f>
        <v>102.5</v>
      </c>
      <c r="F605">
        <f>VLOOKUP($B605,Sheet2!$A:$E,5,0)</f>
        <v>85</v>
      </c>
      <c r="G605">
        <f>VLOOKUP($B605,Sheet2!$A:$G,7,0)</f>
        <v>75</v>
      </c>
      <c r="H605">
        <f>VLOOKUP($B605,Sheet2!$A:$G,6,0)</f>
        <v>77</v>
      </c>
    </row>
    <row r="606" spans="1:8">
      <c r="A606">
        <v>231520</v>
      </c>
      <c r="B606" t="s">
        <v>613</v>
      </c>
      <c r="C606">
        <f>VLOOKUP($B606,Sheet2!$A:$E,2,0)</f>
        <v>107</v>
      </c>
      <c r="D606">
        <f>VLOOKUP($B606,Sheet2!$A:$E,3,0)</f>
        <v>114</v>
      </c>
      <c r="E606">
        <f>VLOOKUP($B606,Sheet2!$A:$E,4,0)</f>
        <v>117</v>
      </c>
      <c r="F606">
        <f>VLOOKUP($B606,Sheet2!$A:$E,5,0)</f>
        <v>85</v>
      </c>
      <c r="G606">
        <f>VLOOKUP($B606,Sheet2!$A:$G,7,0)</f>
        <v>86</v>
      </c>
      <c r="H606">
        <f>VLOOKUP($B606,Sheet2!$A:$G,6,0)</f>
        <v>86</v>
      </c>
    </row>
    <row r="607" spans="1:8">
      <c r="A607">
        <v>231521</v>
      </c>
      <c r="B607" t="s">
        <v>614</v>
      </c>
      <c r="C607">
        <f>VLOOKUP($B607,Sheet2!$A:$E,2,0)</f>
        <v>102</v>
      </c>
      <c r="D607">
        <f>VLOOKUP($B607,Sheet2!$A:$E,3,0)</f>
        <v>114</v>
      </c>
      <c r="E607">
        <f>VLOOKUP($B607,Sheet2!$A:$E,4,0)</f>
        <v>114.5</v>
      </c>
      <c r="F607">
        <f>VLOOKUP($B607,Sheet2!$A:$E,5,0)</f>
        <v>89</v>
      </c>
      <c r="G607">
        <f>VLOOKUP($B607,Sheet2!$A:$G,7,0)</f>
        <v>81</v>
      </c>
      <c r="H607">
        <f>VLOOKUP($B607,Sheet2!$A:$G,6,0)</f>
        <v>86</v>
      </c>
    </row>
    <row r="608" spans="1:8">
      <c r="A608">
        <v>231522</v>
      </c>
      <c r="B608" t="s">
        <v>615</v>
      </c>
      <c r="C608">
        <f>VLOOKUP($B608,Sheet2!$A:$E,2,0)</f>
        <v>101</v>
      </c>
      <c r="D608">
        <f>VLOOKUP($B608,Sheet2!$A:$E,3,0)</f>
        <v>99</v>
      </c>
      <c r="E608">
        <f>VLOOKUP($B608,Sheet2!$A:$E,4,0)</f>
        <v>107</v>
      </c>
      <c r="F608">
        <f>VLOOKUP($B608,Sheet2!$A:$E,5,0)</f>
        <v>85</v>
      </c>
      <c r="G608">
        <f>VLOOKUP($B608,Sheet2!$A:$G,7,0)</f>
        <v>86</v>
      </c>
      <c r="H608">
        <f>VLOOKUP($B608,Sheet2!$A:$G,6,0)</f>
        <v>75</v>
      </c>
    </row>
    <row r="609" spans="1:8">
      <c r="A609">
        <v>231523</v>
      </c>
      <c r="B609" t="s">
        <v>616</v>
      </c>
      <c r="C609">
        <f>VLOOKUP($B609,Sheet2!$A:$E,2,0)</f>
        <v>89.5</v>
      </c>
      <c r="D609">
        <f>VLOOKUP($B609,Sheet2!$A:$E,3,0)</f>
        <v>109</v>
      </c>
      <c r="E609">
        <f>VLOOKUP($B609,Sheet2!$A:$E,4,0)</f>
        <v>114</v>
      </c>
      <c r="F609">
        <f>VLOOKUP($B609,Sheet2!$A:$E,5,0)</f>
        <v>81</v>
      </c>
      <c r="G609">
        <f>VLOOKUP($B609,Sheet2!$A:$G,7,0)</f>
        <v>77</v>
      </c>
      <c r="H609">
        <f>VLOOKUP($B609,Sheet2!$A:$G,6,0)</f>
        <v>66</v>
      </c>
    </row>
    <row r="610" spans="1:8">
      <c r="A610">
        <v>231524</v>
      </c>
      <c r="B610" t="s">
        <v>617</v>
      </c>
      <c r="C610">
        <f>VLOOKUP($B610,Sheet2!$A:$E,2,0)</f>
        <v>96</v>
      </c>
      <c r="D610">
        <f>VLOOKUP($B610,Sheet2!$A:$E,3,0)</f>
        <v>107</v>
      </c>
      <c r="E610">
        <f>VLOOKUP($B610,Sheet2!$A:$E,4,0)</f>
        <v>105</v>
      </c>
      <c r="F610">
        <f>VLOOKUP($B610,Sheet2!$A:$E,5,0)</f>
        <v>89</v>
      </c>
      <c r="G610">
        <f>VLOOKUP($B610,Sheet2!$A:$G,7,0)</f>
        <v>80</v>
      </c>
      <c r="H610">
        <f>VLOOKUP($B610,Sheet2!$A:$G,6,0)</f>
        <v>82</v>
      </c>
    </row>
    <row r="611" spans="1:8">
      <c r="A611">
        <v>231525</v>
      </c>
      <c r="B611" t="s">
        <v>618</v>
      </c>
      <c r="C611">
        <f>VLOOKUP($B611,Sheet2!$A:$E,2,0)</f>
        <v>89.5</v>
      </c>
      <c r="D611">
        <f>VLOOKUP($B611,Sheet2!$A:$E,3,0)</f>
        <v>103</v>
      </c>
      <c r="E611">
        <f>VLOOKUP($B611,Sheet2!$A:$E,4,0)</f>
        <v>111</v>
      </c>
      <c r="F611">
        <f>VLOOKUP($B611,Sheet2!$A:$E,5,0)</f>
        <v>88</v>
      </c>
      <c r="G611">
        <f>VLOOKUP($B611,Sheet2!$A:$G,7,0)</f>
        <v>79</v>
      </c>
      <c r="H611">
        <f>VLOOKUP($B611,Sheet2!$A:$G,6,0)</f>
        <v>87</v>
      </c>
    </row>
    <row r="612" spans="1:8">
      <c r="A612">
        <v>231526</v>
      </c>
      <c r="B612" t="s">
        <v>619</v>
      </c>
      <c r="C612">
        <f>VLOOKUP($B612,Sheet2!$A:$E,2,0)</f>
        <v>106</v>
      </c>
      <c r="D612">
        <f>VLOOKUP($B612,Sheet2!$A:$E,3,0)</f>
        <v>108</v>
      </c>
      <c r="E612">
        <f>VLOOKUP($B612,Sheet2!$A:$E,4,0)</f>
        <v>105</v>
      </c>
      <c r="F612">
        <f>VLOOKUP($B612,Sheet2!$A:$E,5,0)</f>
        <v>90</v>
      </c>
      <c r="G612">
        <f>VLOOKUP($B612,Sheet2!$A:$G,7,0)</f>
        <v>80</v>
      </c>
      <c r="H612">
        <f>VLOOKUP($B612,Sheet2!$A:$G,6,0)</f>
        <v>81</v>
      </c>
    </row>
    <row r="613" spans="1:8">
      <c r="A613">
        <v>231527</v>
      </c>
      <c r="B613" t="s">
        <v>620</v>
      </c>
      <c r="C613">
        <f>VLOOKUP($B613,Sheet2!$A:$E,2,0)</f>
        <v>92</v>
      </c>
      <c r="D613">
        <f>VLOOKUP($B613,Sheet2!$A:$E,3,0)</f>
        <v>118</v>
      </c>
      <c r="E613">
        <f>VLOOKUP($B613,Sheet2!$A:$E,4,0)</f>
        <v>105.5</v>
      </c>
      <c r="F613">
        <f>VLOOKUP($B613,Sheet2!$A:$E,5,0)</f>
        <v>89</v>
      </c>
      <c r="G613">
        <f>VLOOKUP($B613,Sheet2!$A:$G,7,0)</f>
        <v>80</v>
      </c>
      <c r="H613">
        <f>VLOOKUP($B613,Sheet2!$A:$G,6,0)</f>
        <v>81</v>
      </c>
    </row>
    <row r="614" spans="1:8">
      <c r="A614">
        <v>231528</v>
      </c>
      <c r="B614" t="s">
        <v>621</v>
      </c>
      <c r="C614">
        <f>VLOOKUP($B614,Sheet2!$A:$E,2,0)</f>
        <v>98</v>
      </c>
      <c r="D614">
        <f>VLOOKUP($B614,Sheet2!$A:$E,3,0)</f>
        <v>109</v>
      </c>
      <c r="E614">
        <f>VLOOKUP($B614,Sheet2!$A:$E,4,0)</f>
        <v>108</v>
      </c>
      <c r="F614">
        <f>VLOOKUP($B614,Sheet2!$A:$E,5,0)</f>
        <v>89</v>
      </c>
      <c r="G614">
        <f>VLOOKUP($B614,Sheet2!$A:$G,7,0)</f>
        <v>80</v>
      </c>
      <c r="H614">
        <f>VLOOKUP($B614,Sheet2!$A:$G,6,0)</f>
        <v>65</v>
      </c>
    </row>
    <row r="615" spans="1:8">
      <c r="A615">
        <v>231529</v>
      </c>
      <c r="B615" t="s">
        <v>622</v>
      </c>
      <c r="C615">
        <f>VLOOKUP($B615,Sheet2!$A:$E,2,0)</f>
        <v>111</v>
      </c>
      <c r="D615">
        <f>VLOOKUP($B615,Sheet2!$A:$E,3,0)</f>
        <v>107</v>
      </c>
      <c r="E615">
        <f>VLOOKUP($B615,Sheet2!$A:$E,4,0)</f>
        <v>114</v>
      </c>
      <c r="F615">
        <f>VLOOKUP($B615,Sheet2!$A:$E,5,0)</f>
        <v>85</v>
      </c>
      <c r="G615">
        <f>VLOOKUP($B615,Sheet2!$A:$G,7,0)</f>
        <v>82</v>
      </c>
      <c r="H615">
        <f>VLOOKUP($B615,Sheet2!$A:$G,6,0)</f>
        <v>88</v>
      </c>
    </row>
    <row r="616" spans="1:8">
      <c r="A616">
        <v>231530</v>
      </c>
      <c r="B616" t="s">
        <v>623</v>
      </c>
      <c r="C616">
        <f>VLOOKUP($B616,Sheet2!$A:$E,2,0)</f>
        <v>103</v>
      </c>
      <c r="D616">
        <f>VLOOKUP($B616,Sheet2!$A:$E,3,0)</f>
        <v>101</v>
      </c>
      <c r="E616">
        <f>VLOOKUP($B616,Sheet2!$A:$E,4,0)</f>
        <v>100</v>
      </c>
      <c r="F616">
        <f>VLOOKUP($B616,Sheet2!$A:$E,5,0)</f>
        <v>85</v>
      </c>
      <c r="G616">
        <f>VLOOKUP($B616,Sheet2!$A:$G,7,0)</f>
        <v>74</v>
      </c>
      <c r="H616">
        <f>VLOOKUP($B616,Sheet2!$A:$G,6,0)</f>
        <v>79</v>
      </c>
    </row>
    <row r="617" spans="1:8">
      <c r="A617">
        <v>231531</v>
      </c>
      <c r="B617" t="s">
        <v>624</v>
      </c>
      <c r="C617">
        <f>VLOOKUP($B617,Sheet2!$A:$E,2,0)</f>
        <v>104</v>
      </c>
      <c r="D617">
        <f>VLOOKUP($B617,Sheet2!$A:$E,3,0)</f>
        <v>113</v>
      </c>
      <c r="E617">
        <f>VLOOKUP($B617,Sheet2!$A:$E,4,0)</f>
        <v>115</v>
      </c>
      <c r="F617">
        <f>VLOOKUP($B617,Sheet2!$A:$E,5,0)</f>
        <v>89</v>
      </c>
      <c r="G617">
        <f>VLOOKUP($B617,Sheet2!$A:$G,7,0)</f>
        <v>70</v>
      </c>
      <c r="H617">
        <f>VLOOKUP($B617,Sheet2!$A:$G,6,0)</f>
        <v>80</v>
      </c>
    </row>
    <row r="618" spans="1:8">
      <c r="A618">
        <v>231532</v>
      </c>
      <c r="B618" t="s">
        <v>625</v>
      </c>
      <c r="C618">
        <f>VLOOKUP($B618,Sheet2!$A:$E,2,0)</f>
        <v>93</v>
      </c>
      <c r="D618">
        <f>VLOOKUP($B618,Sheet2!$A:$E,3,0)</f>
        <v>102</v>
      </c>
      <c r="E618">
        <f>VLOOKUP($B618,Sheet2!$A:$E,4,0)</f>
        <v>110</v>
      </c>
      <c r="F618">
        <f>VLOOKUP($B618,Sheet2!$A:$E,5,0)</f>
        <v>90</v>
      </c>
      <c r="G618">
        <f>VLOOKUP($B618,Sheet2!$A:$G,7,0)</f>
        <v>81</v>
      </c>
      <c r="H618">
        <f>VLOOKUP($B618,Sheet2!$A:$G,6,0)</f>
        <v>82</v>
      </c>
    </row>
    <row r="619" spans="1:8">
      <c r="A619">
        <v>231533</v>
      </c>
      <c r="B619" t="s">
        <v>626</v>
      </c>
      <c r="C619">
        <f>VLOOKUP($B619,Sheet2!$A:$E,2,0)</f>
        <v>92</v>
      </c>
      <c r="D619">
        <f>VLOOKUP($B619,Sheet2!$A:$E,3,0)</f>
        <v>104</v>
      </c>
      <c r="E619">
        <f>VLOOKUP($B619,Sheet2!$A:$E,4,0)</f>
        <v>96</v>
      </c>
      <c r="F619">
        <f>VLOOKUP($B619,Sheet2!$A:$E,5,0)</f>
        <v>83</v>
      </c>
      <c r="G619">
        <f>VLOOKUP($B619,Sheet2!$A:$G,7,0)</f>
        <v>73</v>
      </c>
      <c r="H619">
        <f>VLOOKUP($B619,Sheet2!$A:$G,6,0)</f>
        <v>80</v>
      </c>
    </row>
    <row r="620" spans="1:8">
      <c r="A620">
        <v>231534</v>
      </c>
      <c r="B620" t="s">
        <v>627</v>
      </c>
      <c r="C620">
        <f>VLOOKUP($B620,Sheet2!$A:$E,2,0)</f>
        <v>95</v>
      </c>
      <c r="D620">
        <f>VLOOKUP($B620,Sheet2!$A:$E,3,0)</f>
        <v>115</v>
      </c>
      <c r="E620">
        <f>VLOOKUP($B620,Sheet2!$A:$E,4,0)</f>
        <v>111.5</v>
      </c>
      <c r="F620">
        <f>VLOOKUP($B620,Sheet2!$A:$E,5,0)</f>
        <v>88</v>
      </c>
      <c r="G620">
        <f>VLOOKUP($B620,Sheet2!$A:$G,7,0)</f>
        <v>79</v>
      </c>
      <c r="H620">
        <f>VLOOKUP($B620,Sheet2!$A:$G,6,0)</f>
        <v>81</v>
      </c>
    </row>
    <row r="621" spans="1:8">
      <c r="A621">
        <v>231535</v>
      </c>
      <c r="B621" t="s">
        <v>628</v>
      </c>
      <c r="C621">
        <f>VLOOKUP($B621,Sheet2!$A:$E,2,0)</f>
        <v>97</v>
      </c>
      <c r="D621">
        <f>VLOOKUP($B621,Sheet2!$A:$E,3,0)</f>
        <v>113</v>
      </c>
      <c r="E621">
        <f>VLOOKUP($B621,Sheet2!$A:$E,4,0)</f>
        <v>103</v>
      </c>
      <c r="F621">
        <f>VLOOKUP($B621,Sheet2!$A:$E,5,0)</f>
        <v>82</v>
      </c>
      <c r="G621">
        <f>VLOOKUP($B621,Sheet2!$A:$G,7,0)</f>
        <v>75</v>
      </c>
      <c r="H621">
        <f>VLOOKUP($B621,Sheet2!$A:$G,6,0)</f>
        <v>85</v>
      </c>
    </row>
    <row r="622" spans="1:8">
      <c r="A622">
        <v>231536</v>
      </c>
      <c r="B622" t="s">
        <v>629</v>
      </c>
      <c r="C622">
        <f>VLOOKUP($B622,Sheet2!$A:$E,2,0)</f>
        <v>104</v>
      </c>
      <c r="D622">
        <f>VLOOKUP($B622,Sheet2!$A:$E,3,0)</f>
        <v>110</v>
      </c>
      <c r="E622">
        <f>VLOOKUP($B622,Sheet2!$A:$E,4,0)</f>
        <v>114.5</v>
      </c>
      <c r="F622">
        <f>VLOOKUP($B622,Sheet2!$A:$E,5,0)</f>
        <v>90</v>
      </c>
      <c r="G622">
        <f>VLOOKUP($B622,Sheet2!$A:$G,7,0)</f>
        <v>87</v>
      </c>
      <c r="H622">
        <f>VLOOKUP($B622,Sheet2!$A:$G,6,0)</f>
        <v>79</v>
      </c>
    </row>
    <row r="623" spans="1:8">
      <c r="A623">
        <v>231537</v>
      </c>
      <c r="B623" t="s">
        <v>630</v>
      </c>
      <c r="C623">
        <f>VLOOKUP($B623,Sheet2!$A:$E,2,0)</f>
        <v>107</v>
      </c>
      <c r="D623">
        <f>VLOOKUP($B623,Sheet2!$A:$E,3,0)</f>
        <v>96</v>
      </c>
      <c r="E623">
        <f>VLOOKUP($B623,Sheet2!$A:$E,4,0)</f>
        <v>109</v>
      </c>
      <c r="F623">
        <f>VLOOKUP($B623,Sheet2!$A:$E,5,0)</f>
        <v>87</v>
      </c>
      <c r="G623">
        <f>VLOOKUP($B623,Sheet2!$A:$G,7,0)</f>
        <v>87</v>
      </c>
      <c r="H623">
        <f>VLOOKUP($B623,Sheet2!$A:$G,6,0)</f>
        <v>84</v>
      </c>
    </row>
    <row r="624" spans="1:8">
      <c r="A624">
        <v>231538</v>
      </c>
      <c r="B624" t="s">
        <v>631</v>
      </c>
      <c r="C624">
        <f>VLOOKUP($B624,Sheet2!$A:$E,2,0)</f>
        <v>111</v>
      </c>
      <c r="D624">
        <f>VLOOKUP($B624,Sheet2!$A:$E,3,0)</f>
        <v>107</v>
      </c>
      <c r="E624">
        <f>VLOOKUP($B624,Sheet2!$A:$E,4,0)</f>
        <v>110.5</v>
      </c>
      <c r="F624">
        <f>VLOOKUP($B624,Sheet2!$A:$E,5,0)</f>
        <v>88</v>
      </c>
      <c r="G624">
        <f>VLOOKUP($B624,Sheet2!$A:$G,7,0)</f>
        <v>83</v>
      </c>
      <c r="H624">
        <f>VLOOKUP($B624,Sheet2!$A:$G,6,0)</f>
        <v>85</v>
      </c>
    </row>
    <row r="625" spans="1:8">
      <c r="A625">
        <v>231539</v>
      </c>
      <c r="B625" t="s">
        <v>632</v>
      </c>
      <c r="C625">
        <f>VLOOKUP($B625,Sheet2!$A:$E,2,0)</f>
        <v>98</v>
      </c>
      <c r="D625">
        <f>VLOOKUP($B625,Sheet2!$A:$E,3,0)</f>
        <v>100</v>
      </c>
      <c r="E625">
        <f>VLOOKUP($B625,Sheet2!$A:$E,4,0)</f>
        <v>101</v>
      </c>
      <c r="F625">
        <f>VLOOKUP($B625,Sheet2!$A:$E,5,0)</f>
        <v>78</v>
      </c>
      <c r="G625">
        <f>VLOOKUP($B625,Sheet2!$A:$G,7,0)</f>
        <v>79</v>
      </c>
      <c r="H625">
        <f>VLOOKUP($B625,Sheet2!$A:$G,6,0)</f>
        <v>79</v>
      </c>
    </row>
    <row r="626" spans="1:8">
      <c r="A626">
        <v>231540</v>
      </c>
      <c r="B626" t="s">
        <v>633</v>
      </c>
      <c r="C626">
        <f>VLOOKUP($B626,Sheet2!$A:$E,2,0)</f>
        <v>97.5</v>
      </c>
      <c r="D626">
        <f>VLOOKUP($B626,Sheet2!$A:$E,3,0)</f>
        <v>115</v>
      </c>
      <c r="E626">
        <f>VLOOKUP($B626,Sheet2!$A:$E,4,0)</f>
        <v>109.5</v>
      </c>
      <c r="F626">
        <f>VLOOKUP($B626,Sheet2!$A:$E,5,0)</f>
        <v>89</v>
      </c>
      <c r="G626">
        <f>VLOOKUP($B626,Sheet2!$A:$G,7,0)</f>
        <v>72</v>
      </c>
      <c r="H626">
        <f>VLOOKUP($B626,Sheet2!$A:$G,6,0)</f>
        <v>74</v>
      </c>
    </row>
    <row r="627" spans="1:8">
      <c r="A627">
        <v>231541</v>
      </c>
      <c r="B627" t="s">
        <v>634</v>
      </c>
      <c r="C627">
        <f>VLOOKUP($B627,Sheet2!$A:$E,2,0)</f>
        <v>90</v>
      </c>
      <c r="D627">
        <f>VLOOKUP($B627,Sheet2!$A:$E,3,0)</f>
        <v>106</v>
      </c>
      <c r="E627">
        <f>VLOOKUP($B627,Sheet2!$A:$E,4,0)</f>
        <v>114.5</v>
      </c>
      <c r="F627">
        <f>VLOOKUP($B627,Sheet2!$A:$E,5,0)</f>
        <v>86</v>
      </c>
      <c r="G627">
        <f>VLOOKUP($B627,Sheet2!$A:$G,7,0)</f>
        <v>79</v>
      </c>
      <c r="H627">
        <f>VLOOKUP($B627,Sheet2!$A:$G,6,0)</f>
        <v>78</v>
      </c>
    </row>
    <row r="628" spans="1:8">
      <c r="A628">
        <v>231542</v>
      </c>
      <c r="B628" t="s">
        <v>635</v>
      </c>
      <c r="C628">
        <f>VLOOKUP($B628,Sheet2!$A:$E,2,0)</f>
        <v>102</v>
      </c>
      <c r="D628">
        <f>VLOOKUP($B628,Sheet2!$A:$E,3,0)</f>
        <v>116</v>
      </c>
      <c r="E628">
        <f>VLOOKUP($B628,Sheet2!$A:$E,4,0)</f>
        <v>119</v>
      </c>
      <c r="F628">
        <f>VLOOKUP($B628,Sheet2!$A:$E,5,0)</f>
        <v>85</v>
      </c>
      <c r="G628">
        <f>VLOOKUP($B628,Sheet2!$A:$G,7,0)</f>
        <v>88</v>
      </c>
      <c r="H628">
        <f>VLOOKUP($B628,Sheet2!$A:$G,6,0)</f>
        <v>88</v>
      </c>
    </row>
    <row r="629" spans="1:8">
      <c r="A629">
        <v>231543</v>
      </c>
      <c r="B629" t="s">
        <v>636</v>
      </c>
      <c r="C629">
        <f>VLOOKUP($B629,Sheet2!$A:$E,2,0)</f>
        <v>88</v>
      </c>
      <c r="D629">
        <f>VLOOKUP($B629,Sheet2!$A:$E,3,0)</f>
        <v>100</v>
      </c>
      <c r="E629">
        <f>VLOOKUP($B629,Sheet2!$A:$E,4,0)</f>
        <v>94.5</v>
      </c>
      <c r="F629">
        <f>VLOOKUP($B629,Sheet2!$A:$E,5,0)</f>
        <v>84</v>
      </c>
      <c r="G629">
        <f>VLOOKUP($B629,Sheet2!$A:$G,7,0)</f>
        <v>68</v>
      </c>
      <c r="H629">
        <f>VLOOKUP($B629,Sheet2!$A:$G,6,0)</f>
        <v>78</v>
      </c>
    </row>
    <row r="630" spans="1:8">
      <c r="A630">
        <v>231544</v>
      </c>
      <c r="B630" t="s">
        <v>637</v>
      </c>
      <c r="C630">
        <f>VLOOKUP($B630,Sheet2!$A:$E,2,0)</f>
        <v>95.5</v>
      </c>
      <c r="D630">
        <f>VLOOKUP($B630,Sheet2!$A:$E,3,0)</f>
        <v>103</v>
      </c>
      <c r="E630">
        <f>VLOOKUP($B630,Sheet2!$A:$E,4,0)</f>
        <v>110</v>
      </c>
      <c r="F630">
        <f>VLOOKUP($B630,Sheet2!$A:$E,5,0)</f>
        <v>84</v>
      </c>
      <c r="G630">
        <f>VLOOKUP($B630,Sheet2!$A:$G,7,0)</f>
        <v>81</v>
      </c>
      <c r="H630">
        <f>VLOOKUP($B630,Sheet2!$A:$G,6,0)</f>
        <v>79</v>
      </c>
    </row>
    <row r="631" spans="1:8">
      <c r="A631">
        <v>231545</v>
      </c>
      <c r="B631" t="s">
        <v>638</v>
      </c>
      <c r="C631">
        <f>VLOOKUP($B631,Sheet2!$A:$E,2,0)</f>
        <v>97</v>
      </c>
      <c r="D631">
        <f>VLOOKUP($B631,Sheet2!$A:$E,3,0)</f>
        <v>116</v>
      </c>
      <c r="E631">
        <f>VLOOKUP($B631,Sheet2!$A:$E,4,0)</f>
        <v>107</v>
      </c>
      <c r="F631">
        <f>VLOOKUP($B631,Sheet2!$A:$E,5,0)</f>
        <v>90</v>
      </c>
      <c r="G631">
        <f>VLOOKUP($B631,Sheet2!$A:$G,7,0)</f>
        <v>77</v>
      </c>
      <c r="H631">
        <f>VLOOKUP($B631,Sheet2!$A:$G,6,0)</f>
        <v>85</v>
      </c>
    </row>
    <row r="632" spans="1:8">
      <c r="A632">
        <v>231601</v>
      </c>
      <c r="B632" t="s">
        <v>639</v>
      </c>
      <c r="C632">
        <f>VLOOKUP($B632,Sheet2!$A:$E,2,0)</f>
        <v>87</v>
      </c>
      <c r="D632">
        <f>VLOOKUP($B632,Sheet2!$A:$E,3,0)</f>
        <v>99</v>
      </c>
      <c r="E632">
        <f>VLOOKUP($B632,Sheet2!$A:$E,4,0)</f>
        <v>109.5</v>
      </c>
      <c r="F632">
        <f>VLOOKUP($B632,Sheet2!$A:$E,5,0)</f>
        <v>85</v>
      </c>
      <c r="G632">
        <f>VLOOKUP($B632,Sheet2!$A:$G,7,0)</f>
        <v>78</v>
      </c>
      <c r="H632">
        <f>VLOOKUP($B632,Sheet2!$A:$G,6,0)</f>
        <v>75</v>
      </c>
    </row>
    <row r="633" spans="1:8">
      <c r="A633">
        <v>231602</v>
      </c>
      <c r="B633" t="s">
        <v>640</v>
      </c>
      <c r="C633">
        <f>VLOOKUP($B633,Sheet2!$A:$E,2,0)</f>
        <v>100</v>
      </c>
      <c r="D633">
        <f>VLOOKUP($B633,Sheet2!$A:$E,3,0)</f>
        <v>96</v>
      </c>
      <c r="E633">
        <f>VLOOKUP($B633,Sheet2!$A:$E,4,0)</f>
        <v>108</v>
      </c>
      <c r="F633">
        <f>VLOOKUP($B633,Sheet2!$A:$E,5,0)</f>
        <v>89</v>
      </c>
      <c r="G633">
        <f>VLOOKUP($B633,Sheet2!$A:$G,7,0)</f>
        <v>82</v>
      </c>
      <c r="H633">
        <f>VLOOKUP($B633,Sheet2!$A:$G,6,0)</f>
        <v>78</v>
      </c>
    </row>
    <row r="634" spans="1:8">
      <c r="A634">
        <v>231603</v>
      </c>
      <c r="B634" t="s">
        <v>641</v>
      </c>
      <c r="C634">
        <f>VLOOKUP($B634,Sheet2!$A:$E,2,0)</f>
        <v>97</v>
      </c>
      <c r="D634">
        <f>VLOOKUP($B634,Sheet2!$A:$E,3,0)</f>
        <v>108</v>
      </c>
      <c r="E634">
        <f>VLOOKUP($B634,Sheet2!$A:$E,4,0)</f>
        <v>107</v>
      </c>
      <c r="F634">
        <f>VLOOKUP($B634,Sheet2!$A:$E,5,0)</f>
        <v>84</v>
      </c>
      <c r="G634">
        <f>VLOOKUP($B634,Sheet2!$A:$G,7,0)</f>
        <v>74</v>
      </c>
      <c r="H634">
        <f>VLOOKUP($B634,Sheet2!$A:$G,6,0)</f>
        <v>82</v>
      </c>
    </row>
    <row r="635" spans="1:8">
      <c r="A635">
        <v>231604</v>
      </c>
      <c r="B635" t="s">
        <v>642</v>
      </c>
      <c r="C635">
        <f>VLOOKUP($B635,Sheet2!$A:$E,2,0)</f>
        <v>103</v>
      </c>
      <c r="D635">
        <f>VLOOKUP($B635,Sheet2!$A:$E,3,0)</f>
        <v>109</v>
      </c>
      <c r="E635">
        <f>VLOOKUP($B635,Sheet2!$A:$E,4,0)</f>
        <v>106</v>
      </c>
      <c r="F635">
        <f>VLOOKUP($B635,Sheet2!$A:$E,5,0)</f>
        <v>86</v>
      </c>
      <c r="G635">
        <f>VLOOKUP($B635,Sheet2!$A:$G,7,0)</f>
        <v>77</v>
      </c>
      <c r="H635">
        <f>VLOOKUP($B635,Sheet2!$A:$G,6,0)</f>
        <v>82</v>
      </c>
    </row>
    <row r="636" spans="1:8">
      <c r="A636">
        <v>231605</v>
      </c>
      <c r="B636" t="s">
        <v>643</v>
      </c>
      <c r="C636">
        <f>VLOOKUP($B636,Sheet2!$A:$E,2,0)</f>
        <v>86</v>
      </c>
      <c r="D636">
        <f>VLOOKUP($B636,Sheet2!$A:$E,3,0)</f>
        <v>97</v>
      </c>
      <c r="E636">
        <f>VLOOKUP($B636,Sheet2!$A:$E,4,0)</f>
        <v>106</v>
      </c>
      <c r="F636">
        <f>VLOOKUP($B636,Sheet2!$A:$E,5,0)</f>
        <v>78</v>
      </c>
      <c r="G636">
        <f>VLOOKUP($B636,Sheet2!$A:$G,7,0)</f>
        <v>70</v>
      </c>
      <c r="H636">
        <f>VLOOKUP($B636,Sheet2!$A:$G,6,0)</f>
        <v>72</v>
      </c>
    </row>
    <row r="637" spans="1:8">
      <c r="A637">
        <v>231606</v>
      </c>
      <c r="B637" t="s">
        <v>644</v>
      </c>
      <c r="C637">
        <f>VLOOKUP($B637,Sheet2!$A:$E,2,0)</f>
        <v>101</v>
      </c>
      <c r="D637">
        <f>VLOOKUP($B637,Sheet2!$A:$E,3,0)</f>
        <v>106</v>
      </c>
      <c r="E637">
        <f>VLOOKUP($B637,Sheet2!$A:$E,4,0)</f>
        <v>113.5</v>
      </c>
      <c r="F637">
        <f>VLOOKUP($B637,Sheet2!$A:$E,5,0)</f>
        <v>89</v>
      </c>
      <c r="G637">
        <f>VLOOKUP($B637,Sheet2!$A:$G,7,0)</f>
        <v>79</v>
      </c>
      <c r="H637">
        <f>VLOOKUP($B637,Sheet2!$A:$G,6,0)</f>
        <v>80</v>
      </c>
    </row>
    <row r="638" spans="1:8">
      <c r="A638">
        <v>231607</v>
      </c>
      <c r="B638" t="s">
        <v>645</v>
      </c>
      <c r="C638">
        <f>VLOOKUP($B638,Sheet2!$A:$E,2,0)</f>
        <v>87</v>
      </c>
      <c r="D638">
        <f>VLOOKUP($B638,Sheet2!$A:$E,3,0)</f>
        <v>98</v>
      </c>
      <c r="E638">
        <f>VLOOKUP($B638,Sheet2!$A:$E,4,0)</f>
        <v>112</v>
      </c>
      <c r="F638">
        <f>VLOOKUP($B638,Sheet2!$A:$E,5,0)</f>
        <v>84</v>
      </c>
      <c r="G638">
        <f>VLOOKUP($B638,Sheet2!$A:$G,7,0)</f>
        <v>77</v>
      </c>
      <c r="H638">
        <f>VLOOKUP($B638,Sheet2!$A:$G,6,0)</f>
        <v>79</v>
      </c>
    </row>
    <row r="639" spans="1:8">
      <c r="A639">
        <v>231608</v>
      </c>
      <c r="B639" t="s">
        <v>646</v>
      </c>
      <c r="C639">
        <f>VLOOKUP($B639,Sheet2!$A:$E,2,0)</f>
        <v>100</v>
      </c>
      <c r="D639">
        <f>VLOOKUP($B639,Sheet2!$A:$E,3,0)</f>
        <v>104</v>
      </c>
      <c r="E639">
        <f>VLOOKUP($B639,Sheet2!$A:$E,4,0)</f>
        <v>111</v>
      </c>
      <c r="F639">
        <f>VLOOKUP($B639,Sheet2!$A:$E,5,0)</f>
        <v>89</v>
      </c>
      <c r="G639">
        <f>VLOOKUP($B639,Sheet2!$A:$G,7,0)</f>
        <v>79</v>
      </c>
      <c r="H639">
        <f>VLOOKUP($B639,Sheet2!$A:$G,6,0)</f>
        <v>74</v>
      </c>
    </row>
    <row r="640" spans="1:8">
      <c r="A640">
        <v>231609</v>
      </c>
      <c r="B640" t="s">
        <v>647</v>
      </c>
      <c r="C640">
        <f>VLOOKUP($B640,Sheet2!$A:$E,2,0)</f>
        <v>97</v>
      </c>
      <c r="D640">
        <f>VLOOKUP($B640,Sheet2!$A:$E,3,0)</f>
        <v>97</v>
      </c>
      <c r="E640">
        <f>VLOOKUP($B640,Sheet2!$A:$E,4,0)</f>
        <v>108.5</v>
      </c>
      <c r="F640">
        <f>VLOOKUP($B640,Sheet2!$A:$E,5,0)</f>
        <v>77</v>
      </c>
      <c r="G640">
        <f>VLOOKUP($B640,Sheet2!$A:$G,7,0)</f>
        <v>83</v>
      </c>
      <c r="H640">
        <f>VLOOKUP($B640,Sheet2!$A:$G,6,0)</f>
        <v>83</v>
      </c>
    </row>
    <row r="641" spans="1:8">
      <c r="A641">
        <v>231610</v>
      </c>
      <c r="B641" t="s">
        <v>648</v>
      </c>
      <c r="C641">
        <f>VLOOKUP($B641,Sheet2!$A:$E,2,0)</f>
        <v>91</v>
      </c>
      <c r="D641">
        <f>VLOOKUP($B641,Sheet2!$A:$E,3,0)</f>
        <v>91</v>
      </c>
      <c r="E641">
        <f>VLOOKUP($B641,Sheet2!$A:$E,4,0)</f>
        <v>110.5</v>
      </c>
      <c r="F641">
        <f>VLOOKUP($B641,Sheet2!$A:$E,5,0)</f>
        <v>84</v>
      </c>
      <c r="G641">
        <f>VLOOKUP($B641,Sheet2!$A:$G,7,0)</f>
        <v>77</v>
      </c>
      <c r="H641">
        <f>VLOOKUP($B641,Sheet2!$A:$G,6,0)</f>
        <v>76</v>
      </c>
    </row>
    <row r="642" spans="1:8">
      <c r="A642">
        <v>231611</v>
      </c>
      <c r="B642" t="s">
        <v>649</v>
      </c>
      <c r="C642">
        <f>VLOOKUP($B642,Sheet2!$A:$E,2,0)</f>
        <v>91</v>
      </c>
      <c r="D642">
        <f>VLOOKUP($B642,Sheet2!$A:$E,3,0)</f>
        <v>101</v>
      </c>
      <c r="E642">
        <f>VLOOKUP($B642,Sheet2!$A:$E,4,0)</f>
        <v>100</v>
      </c>
      <c r="F642">
        <f>VLOOKUP($B642,Sheet2!$A:$E,5,0)</f>
        <v>82</v>
      </c>
      <c r="G642">
        <f>VLOOKUP($B642,Sheet2!$A:$G,7,0)</f>
        <v>75</v>
      </c>
      <c r="H642">
        <f>VLOOKUP($B642,Sheet2!$A:$G,6,0)</f>
        <v>69</v>
      </c>
    </row>
    <row r="643" spans="1:8">
      <c r="A643">
        <v>231612</v>
      </c>
      <c r="B643" t="s">
        <v>650</v>
      </c>
      <c r="C643">
        <f>VLOOKUP($B643,Sheet2!$A:$E,2,0)</f>
        <v>87</v>
      </c>
      <c r="D643">
        <f>VLOOKUP($B643,Sheet2!$A:$E,3,0)</f>
        <v>88</v>
      </c>
      <c r="E643">
        <f>VLOOKUP($B643,Sheet2!$A:$E,4,0)</f>
        <v>107.5</v>
      </c>
      <c r="F643">
        <f>VLOOKUP($B643,Sheet2!$A:$E,5,0)</f>
        <v>84</v>
      </c>
      <c r="G643">
        <f>VLOOKUP($B643,Sheet2!$A:$G,7,0)</f>
        <v>77</v>
      </c>
      <c r="H643">
        <f>VLOOKUP($B643,Sheet2!$A:$G,6,0)</f>
        <v>71</v>
      </c>
    </row>
    <row r="644" spans="1:8">
      <c r="A644">
        <v>231613</v>
      </c>
      <c r="B644" t="s">
        <v>651</v>
      </c>
      <c r="C644">
        <f>VLOOKUP($B644,Sheet2!$A:$E,2,0)</f>
        <v>102</v>
      </c>
      <c r="D644">
        <f>VLOOKUP($B644,Sheet2!$A:$E,3,0)</f>
        <v>111</v>
      </c>
      <c r="E644">
        <f>VLOOKUP($B644,Sheet2!$A:$E,4,0)</f>
        <v>113</v>
      </c>
      <c r="F644">
        <f>VLOOKUP($B644,Sheet2!$A:$E,5,0)</f>
        <v>90</v>
      </c>
      <c r="G644">
        <f>VLOOKUP($B644,Sheet2!$A:$G,7,0)</f>
        <v>82</v>
      </c>
      <c r="H644">
        <f>VLOOKUP($B644,Sheet2!$A:$G,6,0)</f>
        <v>83</v>
      </c>
    </row>
    <row r="645" spans="1:8">
      <c r="A645">
        <v>231614</v>
      </c>
      <c r="B645" t="s">
        <v>652</v>
      </c>
      <c r="C645">
        <f>VLOOKUP($B645,Sheet2!$A:$E,2,0)</f>
        <v>109</v>
      </c>
      <c r="D645">
        <f>VLOOKUP($B645,Sheet2!$A:$E,3,0)</f>
        <v>120</v>
      </c>
      <c r="E645">
        <f>VLOOKUP($B645,Sheet2!$A:$E,4,0)</f>
        <v>103</v>
      </c>
      <c r="F645">
        <f>VLOOKUP($B645,Sheet2!$A:$E,5,0)</f>
        <v>88</v>
      </c>
      <c r="G645">
        <f>VLOOKUP($B645,Sheet2!$A:$G,7,0)</f>
        <v>80</v>
      </c>
      <c r="H645">
        <f>VLOOKUP($B645,Sheet2!$A:$G,6,0)</f>
        <v>80</v>
      </c>
    </row>
    <row r="646" spans="1:8">
      <c r="A646">
        <v>231615</v>
      </c>
      <c r="B646" t="s">
        <v>653</v>
      </c>
      <c r="C646">
        <f>VLOOKUP($B646,Sheet2!$A:$E,2,0)</f>
        <v>92</v>
      </c>
      <c r="D646">
        <f>VLOOKUP($B646,Sheet2!$A:$E,3,0)</f>
        <v>100</v>
      </c>
      <c r="E646">
        <f>VLOOKUP($B646,Sheet2!$A:$E,4,0)</f>
        <v>111</v>
      </c>
      <c r="F646">
        <f>VLOOKUP($B646,Sheet2!$A:$E,5,0)</f>
        <v>85</v>
      </c>
      <c r="G646">
        <f>VLOOKUP($B646,Sheet2!$A:$G,7,0)</f>
        <v>86</v>
      </c>
      <c r="H646">
        <f>VLOOKUP($B646,Sheet2!$A:$G,6,0)</f>
        <v>78</v>
      </c>
    </row>
    <row r="647" spans="1:8">
      <c r="A647">
        <v>231616</v>
      </c>
      <c r="B647" t="s">
        <v>654</v>
      </c>
      <c r="C647">
        <f>VLOOKUP($B647,Sheet2!$A:$E,2,0)</f>
        <v>103</v>
      </c>
      <c r="D647">
        <f>VLOOKUP($B647,Sheet2!$A:$E,3,0)</f>
        <v>106</v>
      </c>
      <c r="E647">
        <f>VLOOKUP($B647,Sheet2!$A:$E,4,0)</f>
        <v>92</v>
      </c>
      <c r="F647">
        <f>VLOOKUP($B647,Sheet2!$A:$E,5,0)</f>
        <v>86</v>
      </c>
      <c r="G647">
        <f>VLOOKUP($B647,Sheet2!$A:$G,7,0)</f>
        <v>75</v>
      </c>
      <c r="H647">
        <f>VLOOKUP($B647,Sheet2!$A:$G,6,0)</f>
        <v>78</v>
      </c>
    </row>
    <row r="648" spans="1:8">
      <c r="A648">
        <v>231617</v>
      </c>
      <c r="B648" t="s">
        <v>655</v>
      </c>
      <c r="C648">
        <f>VLOOKUP($B648,Sheet2!$A:$E,2,0)</f>
        <v>97</v>
      </c>
      <c r="D648">
        <f>VLOOKUP($B648,Sheet2!$A:$E,3,0)</f>
        <v>93</v>
      </c>
      <c r="E648">
        <f>VLOOKUP($B648,Sheet2!$A:$E,4,0)</f>
        <v>109.5</v>
      </c>
      <c r="F648">
        <f>VLOOKUP($B648,Sheet2!$A:$E,5,0)</f>
        <v>75</v>
      </c>
      <c r="G648">
        <f>VLOOKUP($B648,Sheet2!$A:$G,7,0)</f>
        <v>81</v>
      </c>
      <c r="H648">
        <f>VLOOKUP($B648,Sheet2!$A:$G,6,0)</f>
        <v>80</v>
      </c>
    </row>
    <row r="649" spans="1:8">
      <c r="A649">
        <v>231618</v>
      </c>
      <c r="B649" t="s">
        <v>656</v>
      </c>
      <c r="C649">
        <f>VLOOKUP($B649,Sheet2!$A:$E,2,0)</f>
        <v>93</v>
      </c>
      <c r="D649">
        <f>VLOOKUP($B649,Sheet2!$A:$E,3,0)</f>
        <v>92</v>
      </c>
      <c r="E649">
        <f>VLOOKUP($B649,Sheet2!$A:$E,4,0)</f>
        <v>110.5</v>
      </c>
      <c r="F649">
        <f>VLOOKUP($B649,Sheet2!$A:$E,5,0)</f>
        <v>82</v>
      </c>
      <c r="G649">
        <f>VLOOKUP($B649,Sheet2!$A:$G,7,0)</f>
        <v>78</v>
      </c>
      <c r="H649">
        <f>VLOOKUP($B649,Sheet2!$A:$G,6,0)</f>
        <v>73</v>
      </c>
    </row>
    <row r="650" spans="1:8">
      <c r="A650">
        <v>231619</v>
      </c>
      <c r="B650" t="s">
        <v>657</v>
      </c>
      <c r="C650">
        <f>VLOOKUP($B650,Sheet2!$A:$E,2,0)</f>
        <v>99</v>
      </c>
      <c r="D650">
        <f>VLOOKUP($B650,Sheet2!$A:$E,3,0)</f>
        <v>101</v>
      </c>
      <c r="E650">
        <f>VLOOKUP($B650,Sheet2!$A:$E,4,0)</f>
        <v>113</v>
      </c>
      <c r="F650">
        <f>VLOOKUP($B650,Sheet2!$A:$E,5,0)</f>
        <v>87</v>
      </c>
      <c r="G650">
        <f>VLOOKUP($B650,Sheet2!$A:$G,7,0)</f>
        <v>84</v>
      </c>
      <c r="H650">
        <f>VLOOKUP($B650,Sheet2!$A:$G,6,0)</f>
        <v>83</v>
      </c>
    </row>
    <row r="651" spans="1:8">
      <c r="A651">
        <v>231620</v>
      </c>
      <c r="B651" t="s">
        <v>658</v>
      </c>
      <c r="C651">
        <f>VLOOKUP($B651,Sheet2!$A:$E,2,0)</f>
        <v>99</v>
      </c>
      <c r="D651">
        <f>VLOOKUP($B651,Sheet2!$A:$E,3,0)</f>
        <v>104</v>
      </c>
      <c r="E651">
        <f>VLOOKUP($B651,Sheet2!$A:$E,4,0)</f>
        <v>105</v>
      </c>
      <c r="F651">
        <f>VLOOKUP($B651,Sheet2!$A:$E,5,0)</f>
        <v>90</v>
      </c>
      <c r="G651">
        <f>VLOOKUP($B651,Sheet2!$A:$G,7,0)</f>
        <v>77</v>
      </c>
      <c r="H651">
        <f>VLOOKUP($B651,Sheet2!$A:$G,6,0)</f>
        <v>78</v>
      </c>
    </row>
    <row r="652" spans="1:8">
      <c r="A652">
        <v>231621</v>
      </c>
      <c r="B652" t="s">
        <v>659</v>
      </c>
      <c r="C652">
        <f>VLOOKUP($B652,Sheet2!$A:$E,2,0)</f>
        <v>92.5</v>
      </c>
      <c r="D652">
        <f>VLOOKUP($B652,Sheet2!$A:$E,3,0)</f>
        <v>98</v>
      </c>
      <c r="E652">
        <f>VLOOKUP($B652,Sheet2!$A:$E,4,0)</f>
        <v>106.5</v>
      </c>
      <c r="F652">
        <f>VLOOKUP($B652,Sheet2!$A:$E,5,0)</f>
        <v>88</v>
      </c>
      <c r="G652">
        <f>VLOOKUP($B652,Sheet2!$A:$G,7,0)</f>
        <v>79</v>
      </c>
      <c r="H652">
        <f>VLOOKUP($B652,Sheet2!$A:$G,6,0)</f>
        <v>89</v>
      </c>
    </row>
    <row r="653" spans="1:8">
      <c r="A653">
        <v>231622</v>
      </c>
      <c r="B653" t="s">
        <v>660</v>
      </c>
      <c r="C653">
        <f>VLOOKUP($B653,Sheet2!$A:$E,2,0)</f>
        <v>98</v>
      </c>
      <c r="D653">
        <f>VLOOKUP($B653,Sheet2!$A:$E,3,0)</f>
        <v>94</v>
      </c>
      <c r="E653">
        <f>VLOOKUP($B653,Sheet2!$A:$E,4,0)</f>
        <v>113</v>
      </c>
      <c r="F653">
        <f>VLOOKUP($B653,Sheet2!$A:$E,5,0)</f>
        <v>80</v>
      </c>
      <c r="G653">
        <f>VLOOKUP($B653,Sheet2!$A:$G,7,0)</f>
        <v>76</v>
      </c>
      <c r="H653">
        <f>VLOOKUP($B653,Sheet2!$A:$G,6,0)</f>
        <v>81</v>
      </c>
    </row>
    <row r="654" spans="1:8">
      <c r="A654">
        <v>231623</v>
      </c>
      <c r="B654" t="s">
        <v>661</v>
      </c>
      <c r="C654">
        <f>VLOOKUP($B654,Sheet2!$A:$E,2,0)</f>
        <v>102</v>
      </c>
      <c r="D654">
        <f>VLOOKUP($B654,Sheet2!$A:$E,3,0)</f>
        <v>120</v>
      </c>
      <c r="E654">
        <f>VLOOKUP($B654,Sheet2!$A:$E,4,0)</f>
        <v>106.5</v>
      </c>
      <c r="F654">
        <f>VLOOKUP($B654,Sheet2!$A:$E,5,0)</f>
        <v>90</v>
      </c>
      <c r="G654">
        <f>VLOOKUP($B654,Sheet2!$A:$G,7,0)</f>
        <v>79</v>
      </c>
      <c r="H654">
        <f>VLOOKUP($B654,Sheet2!$A:$G,6,0)</f>
        <v>89</v>
      </c>
    </row>
    <row r="655" spans="1:8">
      <c r="A655">
        <v>231624</v>
      </c>
      <c r="B655" t="s">
        <v>662</v>
      </c>
      <c r="C655">
        <f>VLOOKUP($B655,Sheet2!$A:$E,2,0)</f>
        <v>102</v>
      </c>
      <c r="D655">
        <f>VLOOKUP($B655,Sheet2!$A:$E,3,0)</f>
        <v>101</v>
      </c>
      <c r="E655">
        <f>VLOOKUP($B655,Sheet2!$A:$E,4,0)</f>
        <v>110.5</v>
      </c>
      <c r="F655">
        <f>VLOOKUP($B655,Sheet2!$A:$E,5,0)</f>
        <v>88</v>
      </c>
      <c r="G655">
        <f>VLOOKUP($B655,Sheet2!$A:$G,7,0)</f>
        <v>76</v>
      </c>
      <c r="H655">
        <f>VLOOKUP($B655,Sheet2!$A:$G,6,0)</f>
        <v>81</v>
      </c>
    </row>
    <row r="656" spans="1:8">
      <c r="A656">
        <v>231625</v>
      </c>
      <c r="B656" t="s">
        <v>663</v>
      </c>
      <c r="C656">
        <f>VLOOKUP($B656,Sheet2!$A:$E,2,0)</f>
        <v>102.5</v>
      </c>
      <c r="D656">
        <f>VLOOKUP($B656,Sheet2!$A:$E,3,0)</f>
        <v>107</v>
      </c>
      <c r="E656">
        <f>VLOOKUP($B656,Sheet2!$A:$E,4,0)</f>
        <v>110.5</v>
      </c>
      <c r="F656">
        <f>VLOOKUP($B656,Sheet2!$A:$E,5,0)</f>
        <v>87</v>
      </c>
      <c r="G656">
        <f>VLOOKUP($B656,Sheet2!$A:$G,7,0)</f>
        <v>80</v>
      </c>
      <c r="H656">
        <f>VLOOKUP($B656,Sheet2!$A:$G,6,0)</f>
        <v>86</v>
      </c>
    </row>
    <row r="657" spans="1:8">
      <c r="A657">
        <v>231626</v>
      </c>
      <c r="B657" t="s">
        <v>664</v>
      </c>
      <c r="C657">
        <f>VLOOKUP($B657,Sheet2!$A:$E,2,0)</f>
        <v>118.5</v>
      </c>
      <c r="D657">
        <f>VLOOKUP($B657,Sheet2!$A:$E,3,0)</f>
        <v>104</v>
      </c>
      <c r="E657">
        <f>VLOOKUP($B657,Sheet2!$A:$E,4,0)</f>
        <v>113</v>
      </c>
      <c r="F657">
        <f>VLOOKUP($B657,Sheet2!$A:$E,5,0)</f>
        <v>87</v>
      </c>
      <c r="G657">
        <f>VLOOKUP($B657,Sheet2!$A:$G,7,0)</f>
        <v>81</v>
      </c>
      <c r="H657">
        <f>VLOOKUP($B657,Sheet2!$A:$G,6,0)</f>
        <v>87</v>
      </c>
    </row>
    <row r="658" spans="1:8">
      <c r="A658">
        <v>231627</v>
      </c>
      <c r="B658" t="s">
        <v>665</v>
      </c>
      <c r="C658">
        <f>VLOOKUP($B658,Sheet2!$A:$E,2,0)</f>
        <v>94</v>
      </c>
      <c r="D658">
        <f>VLOOKUP($B658,Sheet2!$A:$E,3,0)</f>
        <v>106</v>
      </c>
      <c r="E658">
        <f>VLOOKUP($B658,Sheet2!$A:$E,4,0)</f>
        <v>108</v>
      </c>
      <c r="F658">
        <f>VLOOKUP($B658,Sheet2!$A:$E,5,0)</f>
        <v>88</v>
      </c>
      <c r="G658">
        <f>VLOOKUP($B658,Sheet2!$A:$G,7,0)</f>
        <v>81</v>
      </c>
      <c r="H658">
        <f>VLOOKUP($B658,Sheet2!$A:$G,6,0)</f>
        <v>70</v>
      </c>
    </row>
    <row r="659" spans="1:8">
      <c r="A659">
        <v>231629</v>
      </c>
      <c r="B659" t="s">
        <v>666</v>
      </c>
      <c r="C659">
        <f>VLOOKUP($B659,Sheet2!$A:$E,2,0)</f>
        <v>95</v>
      </c>
      <c r="D659">
        <f>VLOOKUP($B659,Sheet2!$A:$E,3,0)</f>
        <v>94</v>
      </c>
      <c r="E659">
        <f>VLOOKUP($B659,Sheet2!$A:$E,4,0)</f>
        <v>107</v>
      </c>
      <c r="F659">
        <f>VLOOKUP($B659,Sheet2!$A:$E,5,0)</f>
        <v>88</v>
      </c>
      <c r="G659">
        <f>VLOOKUP($B659,Sheet2!$A:$G,7,0)</f>
        <v>75</v>
      </c>
      <c r="H659">
        <f>VLOOKUP($B659,Sheet2!$A:$G,6,0)</f>
        <v>75</v>
      </c>
    </row>
    <row r="660" spans="1:8">
      <c r="A660">
        <v>231630</v>
      </c>
      <c r="B660" t="s">
        <v>667</v>
      </c>
      <c r="C660">
        <f>VLOOKUP($B660,Sheet2!$A:$E,2,0)</f>
        <v>106</v>
      </c>
      <c r="D660">
        <f>VLOOKUP($B660,Sheet2!$A:$E,3,0)</f>
        <v>98</v>
      </c>
      <c r="E660">
        <f>VLOOKUP($B660,Sheet2!$A:$E,4,0)</f>
        <v>112.5</v>
      </c>
      <c r="F660">
        <f>VLOOKUP($B660,Sheet2!$A:$E,5,0)</f>
        <v>90</v>
      </c>
      <c r="G660">
        <f>VLOOKUP($B660,Sheet2!$A:$G,7,0)</f>
        <v>74</v>
      </c>
      <c r="H660">
        <f>VLOOKUP($B660,Sheet2!$A:$G,6,0)</f>
        <v>78</v>
      </c>
    </row>
    <row r="661" spans="1:8">
      <c r="A661">
        <v>231631</v>
      </c>
      <c r="B661" t="s">
        <v>668</v>
      </c>
      <c r="C661">
        <f>VLOOKUP($B661,Sheet2!$A:$E,2,0)</f>
        <v>97</v>
      </c>
      <c r="D661">
        <f>VLOOKUP($B661,Sheet2!$A:$E,3,0)</f>
        <v>98</v>
      </c>
      <c r="E661">
        <f>VLOOKUP($B661,Sheet2!$A:$E,4,0)</f>
        <v>110</v>
      </c>
      <c r="F661">
        <f>VLOOKUP($B661,Sheet2!$A:$E,5,0)</f>
        <v>79</v>
      </c>
      <c r="G661">
        <f>VLOOKUP($B661,Sheet2!$A:$G,7,0)</f>
        <v>80</v>
      </c>
      <c r="H661">
        <f>VLOOKUP($B661,Sheet2!$A:$G,6,0)</f>
        <v>77</v>
      </c>
    </row>
    <row r="662" spans="1:8">
      <c r="A662">
        <v>231632</v>
      </c>
      <c r="B662" t="s">
        <v>669</v>
      </c>
      <c r="C662">
        <f>VLOOKUP($B662,Sheet2!$A:$E,2,0)</f>
        <v>81</v>
      </c>
      <c r="D662">
        <f>VLOOKUP($B662,Sheet2!$A:$E,3,0)</f>
        <v>63</v>
      </c>
      <c r="E662">
        <f>VLOOKUP($B662,Sheet2!$A:$E,4,0)</f>
        <v>65.5</v>
      </c>
      <c r="F662">
        <f>VLOOKUP($B662,Sheet2!$A:$E,5,0)</f>
        <v>63</v>
      </c>
      <c r="G662">
        <f>VLOOKUP($B662,Sheet2!$A:$G,7,0)</f>
        <v>63</v>
      </c>
      <c r="H662">
        <f>VLOOKUP($B662,Sheet2!$A:$G,6,0)</f>
        <v>49</v>
      </c>
    </row>
    <row r="663" spans="1:8">
      <c r="A663">
        <v>231633</v>
      </c>
      <c r="B663" t="s">
        <v>670</v>
      </c>
      <c r="C663">
        <f>VLOOKUP($B663,Sheet2!$A:$E,2,0)</f>
        <v>104</v>
      </c>
      <c r="D663">
        <f>VLOOKUP($B663,Sheet2!$A:$E,3,0)</f>
        <v>95</v>
      </c>
      <c r="E663">
        <f>VLOOKUP($B663,Sheet2!$A:$E,4,0)</f>
        <v>104.5</v>
      </c>
      <c r="F663">
        <f>VLOOKUP($B663,Sheet2!$A:$E,5,0)</f>
        <v>88</v>
      </c>
      <c r="G663">
        <f>VLOOKUP($B663,Sheet2!$A:$G,7,0)</f>
        <v>82</v>
      </c>
      <c r="H663">
        <f>VLOOKUP($B663,Sheet2!$A:$G,6,0)</f>
        <v>85</v>
      </c>
    </row>
    <row r="664" spans="1:8">
      <c r="A664">
        <v>231634</v>
      </c>
      <c r="B664" t="s">
        <v>671</v>
      </c>
      <c r="C664">
        <f>VLOOKUP($B664,Sheet2!$A:$E,2,0)</f>
        <v>103</v>
      </c>
      <c r="D664">
        <f>VLOOKUP($B664,Sheet2!$A:$E,3,0)</f>
        <v>102</v>
      </c>
      <c r="E664">
        <f>VLOOKUP($B664,Sheet2!$A:$E,4,0)</f>
        <v>102</v>
      </c>
      <c r="F664">
        <f>VLOOKUP($B664,Sheet2!$A:$E,5,0)</f>
        <v>84</v>
      </c>
      <c r="G664">
        <f>VLOOKUP($B664,Sheet2!$A:$G,7,0)</f>
        <v>80</v>
      </c>
      <c r="H664">
        <f>VLOOKUP($B664,Sheet2!$A:$G,6,0)</f>
        <v>74</v>
      </c>
    </row>
    <row r="665" spans="1:8">
      <c r="A665">
        <v>231635</v>
      </c>
      <c r="B665" t="s">
        <v>672</v>
      </c>
      <c r="C665">
        <f>VLOOKUP($B665,Sheet2!$A:$E,2,0)</f>
        <v>93</v>
      </c>
      <c r="D665">
        <f>VLOOKUP($B665,Sheet2!$A:$E,3,0)</f>
        <v>103</v>
      </c>
      <c r="E665">
        <f>VLOOKUP($B665,Sheet2!$A:$E,4,0)</f>
        <v>115</v>
      </c>
      <c r="F665">
        <f>VLOOKUP($B665,Sheet2!$A:$E,5,0)</f>
        <v>86</v>
      </c>
      <c r="G665">
        <f>VLOOKUP($B665,Sheet2!$A:$G,7,0)</f>
        <v>79</v>
      </c>
      <c r="H665">
        <f>VLOOKUP($B665,Sheet2!$A:$G,6,0)</f>
        <v>77</v>
      </c>
    </row>
    <row r="666" spans="1:8">
      <c r="A666">
        <v>231636</v>
      </c>
      <c r="B666" t="s">
        <v>673</v>
      </c>
      <c r="C666">
        <f>VLOOKUP($B666,Sheet2!$A:$E,2,0)</f>
        <v>103</v>
      </c>
      <c r="D666">
        <f>VLOOKUP($B666,Sheet2!$A:$E,3,0)</f>
        <v>105</v>
      </c>
      <c r="E666">
        <f>VLOOKUP($B666,Sheet2!$A:$E,4,0)</f>
        <v>108</v>
      </c>
      <c r="F666">
        <f>VLOOKUP($B666,Sheet2!$A:$E,5,0)</f>
        <v>84</v>
      </c>
      <c r="G666">
        <f>VLOOKUP($B666,Sheet2!$A:$G,7,0)</f>
        <v>81</v>
      </c>
      <c r="H666">
        <f>VLOOKUP($B666,Sheet2!$A:$G,6,0)</f>
        <v>82</v>
      </c>
    </row>
    <row r="667" spans="1:8">
      <c r="A667">
        <v>231637</v>
      </c>
      <c r="B667" t="s">
        <v>674</v>
      </c>
      <c r="C667">
        <f>VLOOKUP($B667,Sheet2!$A:$E,2,0)</f>
        <v>95</v>
      </c>
      <c r="D667">
        <f>VLOOKUP($B667,Sheet2!$A:$E,3,0)</f>
        <v>103</v>
      </c>
      <c r="E667">
        <f>VLOOKUP($B667,Sheet2!$A:$E,4,0)</f>
        <v>111</v>
      </c>
      <c r="F667">
        <f>VLOOKUP($B667,Sheet2!$A:$E,5,0)</f>
        <v>89</v>
      </c>
      <c r="G667">
        <f>VLOOKUP($B667,Sheet2!$A:$G,7,0)</f>
        <v>77</v>
      </c>
      <c r="H667">
        <f>VLOOKUP($B667,Sheet2!$A:$G,6,0)</f>
        <v>82</v>
      </c>
    </row>
    <row r="668" spans="1:8">
      <c r="A668">
        <v>231638</v>
      </c>
      <c r="B668" t="s">
        <v>675</v>
      </c>
      <c r="C668">
        <f>VLOOKUP($B668,Sheet2!$A:$E,2,0)</f>
        <v>104</v>
      </c>
      <c r="D668">
        <f>VLOOKUP($B668,Sheet2!$A:$E,3,0)</f>
        <v>110</v>
      </c>
      <c r="E668">
        <f>VLOOKUP($B668,Sheet2!$A:$E,4,0)</f>
        <v>117</v>
      </c>
      <c r="F668">
        <f>VLOOKUP($B668,Sheet2!$A:$E,5,0)</f>
        <v>89</v>
      </c>
      <c r="G668">
        <f>VLOOKUP($B668,Sheet2!$A:$G,7,0)</f>
        <v>79</v>
      </c>
      <c r="H668">
        <f>VLOOKUP($B668,Sheet2!$A:$G,6,0)</f>
        <v>77</v>
      </c>
    </row>
    <row r="669" spans="1:8">
      <c r="A669">
        <v>231639</v>
      </c>
      <c r="B669" t="s">
        <v>676</v>
      </c>
      <c r="C669">
        <f>VLOOKUP($B669,Sheet2!$A:$E,2,0)</f>
        <v>107</v>
      </c>
      <c r="D669">
        <f>VLOOKUP($B669,Sheet2!$A:$E,3,0)</f>
        <v>119</v>
      </c>
      <c r="E669">
        <f>VLOOKUP($B669,Sheet2!$A:$E,4,0)</f>
        <v>114</v>
      </c>
      <c r="F669">
        <f>VLOOKUP($B669,Sheet2!$A:$E,5,0)</f>
        <v>90</v>
      </c>
      <c r="G669">
        <f>VLOOKUP($B669,Sheet2!$A:$G,7,0)</f>
        <v>78</v>
      </c>
      <c r="H669">
        <f>VLOOKUP($B669,Sheet2!$A:$G,6,0)</f>
        <v>84</v>
      </c>
    </row>
    <row r="670" spans="1:8">
      <c r="A670">
        <v>231640</v>
      </c>
      <c r="B670" t="s">
        <v>677</v>
      </c>
      <c r="C670">
        <f>VLOOKUP($B670,Sheet2!$A:$E,2,0)</f>
        <v>102</v>
      </c>
      <c r="D670">
        <f>VLOOKUP($B670,Sheet2!$A:$E,3,0)</f>
        <v>108</v>
      </c>
      <c r="E670">
        <f>VLOOKUP($B670,Sheet2!$A:$E,4,0)</f>
        <v>94</v>
      </c>
      <c r="F670">
        <f>VLOOKUP($B670,Sheet2!$A:$E,5,0)</f>
        <v>88</v>
      </c>
      <c r="G670">
        <f>VLOOKUP($B670,Sheet2!$A:$G,7,0)</f>
        <v>82</v>
      </c>
      <c r="H670">
        <f>VLOOKUP($B670,Sheet2!$A:$G,6,0)</f>
        <v>83</v>
      </c>
    </row>
    <row r="671" spans="1:8">
      <c r="A671">
        <v>231641</v>
      </c>
      <c r="B671" t="s">
        <v>678</v>
      </c>
      <c r="C671" t="e">
        <f>VLOOKUP($B671,Sheet2!$A:$E,2,0)</f>
        <v>#N/A</v>
      </c>
      <c r="D671" t="e">
        <f>VLOOKUP($B671,Sheet2!$A:$E,3,0)</f>
        <v>#N/A</v>
      </c>
      <c r="E671" t="e">
        <f>VLOOKUP($B671,Sheet2!$A:$E,4,0)</f>
        <v>#N/A</v>
      </c>
      <c r="F671" t="e">
        <f>VLOOKUP($B671,Sheet2!$A:$E,5,0)</f>
        <v>#N/A</v>
      </c>
      <c r="G671" t="e">
        <f>VLOOKUP($B671,Sheet2!$A:$G,7,0)</f>
        <v>#N/A</v>
      </c>
      <c r="H671" t="e">
        <f>VLOOKUP($B671,Sheet2!$A:$G,6,0)</f>
        <v>#N/A</v>
      </c>
    </row>
    <row r="672" spans="1:8">
      <c r="A672">
        <v>231701</v>
      </c>
      <c r="B672" t="s">
        <v>679</v>
      </c>
      <c r="C672">
        <f>VLOOKUP($B672,Sheet2!$A:$E,2,0)</f>
        <v>99</v>
      </c>
      <c r="D672">
        <f>VLOOKUP($B672,Sheet2!$A:$E,3,0)</f>
        <v>101</v>
      </c>
      <c r="E672">
        <f>VLOOKUP($B672,Sheet2!$A:$E,4,0)</f>
        <v>110</v>
      </c>
      <c r="F672">
        <f>VLOOKUP($B672,Sheet2!$A:$E,5,0)</f>
        <v>83</v>
      </c>
      <c r="G672">
        <f>VLOOKUP($B672,Sheet2!$A:$G,7,0)</f>
        <v>72</v>
      </c>
      <c r="H672">
        <f>VLOOKUP($B672,Sheet2!$A:$G,6,0)</f>
        <v>73</v>
      </c>
    </row>
    <row r="673" spans="1:8">
      <c r="A673">
        <v>231702</v>
      </c>
      <c r="B673" t="s">
        <v>680</v>
      </c>
      <c r="C673">
        <f>VLOOKUP($B673,Sheet2!$A:$E,2,0)</f>
        <v>90</v>
      </c>
      <c r="D673">
        <f>VLOOKUP($B673,Sheet2!$A:$E,3,0)</f>
        <v>89</v>
      </c>
      <c r="E673">
        <f>VLOOKUP($B673,Sheet2!$A:$E,4,0)</f>
        <v>110.5</v>
      </c>
      <c r="F673">
        <f>VLOOKUP($B673,Sheet2!$A:$E,5,0)</f>
        <v>83</v>
      </c>
      <c r="G673">
        <f>VLOOKUP($B673,Sheet2!$A:$G,7,0)</f>
        <v>79</v>
      </c>
      <c r="H673">
        <f>VLOOKUP($B673,Sheet2!$A:$G,6,0)</f>
        <v>85</v>
      </c>
    </row>
    <row r="674" spans="1:8">
      <c r="A674">
        <v>231703</v>
      </c>
      <c r="B674" t="s">
        <v>681</v>
      </c>
      <c r="C674">
        <f>VLOOKUP($B674,Sheet2!$A:$E,2,0)</f>
        <v>97</v>
      </c>
      <c r="D674">
        <f>VLOOKUP($B674,Sheet2!$A:$E,3,0)</f>
        <v>93</v>
      </c>
      <c r="E674">
        <f>VLOOKUP($B674,Sheet2!$A:$E,4,0)</f>
        <v>109.5</v>
      </c>
      <c r="F674">
        <f>VLOOKUP($B674,Sheet2!$A:$E,5,0)</f>
        <v>87</v>
      </c>
      <c r="G674">
        <f>VLOOKUP($B674,Sheet2!$A:$G,7,0)</f>
        <v>86</v>
      </c>
      <c r="H674">
        <f>VLOOKUP($B674,Sheet2!$A:$G,6,0)</f>
        <v>81</v>
      </c>
    </row>
    <row r="675" spans="1:8">
      <c r="A675">
        <v>231705</v>
      </c>
      <c r="B675" t="s">
        <v>682</v>
      </c>
      <c r="C675">
        <f>VLOOKUP($B675,Sheet2!$A:$E,2,0)</f>
        <v>106</v>
      </c>
      <c r="D675">
        <f>VLOOKUP($B675,Sheet2!$A:$E,3,0)</f>
        <v>101</v>
      </c>
      <c r="E675">
        <f>VLOOKUP($B675,Sheet2!$A:$E,4,0)</f>
        <v>118</v>
      </c>
      <c r="F675">
        <f>VLOOKUP($B675,Sheet2!$A:$E,5,0)</f>
        <v>86</v>
      </c>
      <c r="G675">
        <f>VLOOKUP($B675,Sheet2!$A:$G,7,0)</f>
        <v>75</v>
      </c>
      <c r="H675">
        <f>VLOOKUP($B675,Sheet2!$A:$G,6,0)</f>
        <v>81</v>
      </c>
    </row>
    <row r="676" spans="1:8">
      <c r="A676">
        <v>231706</v>
      </c>
      <c r="B676" t="s">
        <v>683</v>
      </c>
      <c r="C676">
        <f>VLOOKUP($B676,Sheet2!$A:$E,2,0)</f>
        <v>99.5</v>
      </c>
      <c r="D676">
        <f>VLOOKUP($B676,Sheet2!$A:$E,3,0)</f>
        <v>110</v>
      </c>
      <c r="E676">
        <f>VLOOKUP($B676,Sheet2!$A:$E,4,0)</f>
        <v>115.5</v>
      </c>
      <c r="F676">
        <f>VLOOKUP($B676,Sheet2!$A:$E,5,0)</f>
        <v>89</v>
      </c>
      <c r="G676">
        <f>VLOOKUP($B676,Sheet2!$A:$G,7,0)</f>
        <v>82</v>
      </c>
      <c r="H676">
        <f>VLOOKUP($B676,Sheet2!$A:$G,6,0)</f>
        <v>87</v>
      </c>
    </row>
    <row r="677" spans="1:8">
      <c r="A677">
        <v>231707</v>
      </c>
      <c r="B677" t="s">
        <v>684</v>
      </c>
      <c r="C677">
        <f>VLOOKUP($B677,Sheet2!$A:$E,2,0)</f>
        <v>100</v>
      </c>
      <c r="D677">
        <f>VLOOKUP($B677,Sheet2!$A:$E,3,0)</f>
        <v>102</v>
      </c>
      <c r="E677">
        <f>VLOOKUP($B677,Sheet2!$A:$E,4,0)</f>
        <v>98</v>
      </c>
      <c r="F677">
        <f>VLOOKUP($B677,Sheet2!$A:$E,5,0)</f>
        <v>86</v>
      </c>
      <c r="G677">
        <f>VLOOKUP($B677,Sheet2!$A:$G,7,0)</f>
        <v>74</v>
      </c>
      <c r="H677">
        <f>VLOOKUP($B677,Sheet2!$A:$G,6,0)</f>
        <v>81</v>
      </c>
    </row>
    <row r="678" spans="1:8">
      <c r="A678">
        <v>231708</v>
      </c>
      <c r="B678" t="s">
        <v>685</v>
      </c>
      <c r="C678">
        <f>VLOOKUP($B678,Sheet2!$A:$E,2,0)</f>
        <v>94</v>
      </c>
      <c r="D678">
        <f>VLOOKUP($B678,Sheet2!$A:$E,3,0)</f>
        <v>95</v>
      </c>
      <c r="E678">
        <f>VLOOKUP($B678,Sheet2!$A:$E,4,0)</f>
        <v>112</v>
      </c>
      <c r="F678">
        <f>VLOOKUP($B678,Sheet2!$A:$E,5,0)</f>
        <v>89</v>
      </c>
      <c r="G678">
        <f>VLOOKUP($B678,Sheet2!$A:$G,7,0)</f>
        <v>79</v>
      </c>
      <c r="H678">
        <f>VLOOKUP($B678,Sheet2!$A:$G,6,0)</f>
        <v>83</v>
      </c>
    </row>
    <row r="679" spans="1:8">
      <c r="A679">
        <v>231709</v>
      </c>
      <c r="B679" t="s">
        <v>686</v>
      </c>
      <c r="C679">
        <f>VLOOKUP($B679,Sheet2!$A:$E,2,0)</f>
        <v>108</v>
      </c>
      <c r="D679">
        <f>VLOOKUP($B679,Sheet2!$A:$E,3,0)</f>
        <v>90</v>
      </c>
      <c r="E679">
        <f>VLOOKUP($B679,Sheet2!$A:$E,4,0)</f>
        <v>114</v>
      </c>
      <c r="F679">
        <f>VLOOKUP($B679,Sheet2!$A:$E,5,0)</f>
        <v>77</v>
      </c>
      <c r="G679">
        <f>VLOOKUP($B679,Sheet2!$A:$G,7,0)</f>
        <v>76</v>
      </c>
      <c r="H679">
        <f>VLOOKUP($B679,Sheet2!$A:$G,6,0)</f>
        <v>80</v>
      </c>
    </row>
    <row r="680" spans="1:8">
      <c r="A680">
        <v>231710</v>
      </c>
      <c r="B680" t="s">
        <v>687</v>
      </c>
      <c r="C680">
        <f>VLOOKUP($B680,Sheet2!$A:$E,2,0)</f>
        <v>101</v>
      </c>
      <c r="D680">
        <f>VLOOKUP($B680,Sheet2!$A:$E,3,0)</f>
        <v>93</v>
      </c>
      <c r="E680">
        <f>VLOOKUP($B680,Sheet2!$A:$E,4,0)</f>
        <v>112</v>
      </c>
      <c r="F680">
        <f>VLOOKUP($B680,Sheet2!$A:$E,5,0)</f>
        <v>84</v>
      </c>
      <c r="G680">
        <f>VLOOKUP($B680,Sheet2!$A:$G,7,0)</f>
        <v>74</v>
      </c>
      <c r="H680">
        <f>VLOOKUP($B680,Sheet2!$A:$G,6,0)</f>
        <v>78</v>
      </c>
    </row>
    <row r="681" spans="1:8">
      <c r="A681">
        <v>231711</v>
      </c>
      <c r="B681" t="s">
        <v>688</v>
      </c>
      <c r="C681">
        <f>VLOOKUP($B681,Sheet2!$A:$E,2,0)</f>
        <v>96</v>
      </c>
      <c r="D681">
        <f>VLOOKUP($B681,Sheet2!$A:$E,3,0)</f>
        <v>95</v>
      </c>
      <c r="E681">
        <f>VLOOKUP($B681,Sheet2!$A:$E,4,0)</f>
        <v>105.5</v>
      </c>
      <c r="F681">
        <f>VLOOKUP($B681,Sheet2!$A:$E,5,0)</f>
        <v>80</v>
      </c>
      <c r="G681">
        <f>VLOOKUP($B681,Sheet2!$A:$G,7,0)</f>
        <v>75</v>
      </c>
      <c r="H681">
        <f>VLOOKUP($B681,Sheet2!$A:$G,6,0)</f>
        <v>85</v>
      </c>
    </row>
    <row r="682" spans="1:8">
      <c r="A682">
        <v>231712</v>
      </c>
      <c r="B682" t="s">
        <v>689</v>
      </c>
      <c r="C682">
        <f>VLOOKUP($B682,Sheet2!$A:$E,2,0)</f>
        <v>103.5</v>
      </c>
      <c r="D682">
        <f>VLOOKUP($B682,Sheet2!$A:$E,3,0)</f>
        <v>109</v>
      </c>
      <c r="E682">
        <f>VLOOKUP($B682,Sheet2!$A:$E,4,0)</f>
        <v>115</v>
      </c>
      <c r="F682">
        <f>VLOOKUP($B682,Sheet2!$A:$E,5,0)</f>
        <v>88</v>
      </c>
      <c r="G682">
        <f>VLOOKUP($B682,Sheet2!$A:$G,7,0)</f>
        <v>78</v>
      </c>
      <c r="H682">
        <f>VLOOKUP($B682,Sheet2!$A:$G,6,0)</f>
        <v>82</v>
      </c>
    </row>
    <row r="683" spans="1:8">
      <c r="A683">
        <v>231713</v>
      </c>
      <c r="B683" t="s">
        <v>690</v>
      </c>
      <c r="C683">
        <f>VLOOKUP($B683,Sheet2!$A:$E,2,0)</f>
        <v>108</v>
      </c>
      <c r="D683">
        <f>VLOOKUP($B683,Sheet2!$A:$E,3,0)</f>
        <v>101</v>
      </c>
      <c r="E683">
        <f>VLOOKUP($B683,Sheet2!$A:$E,4,0)</f>
        <v>109.5</v>
      </c>
      <c r="F683">
        <f>VLOOKUP($B683,Sheet2!$A:$E,5,0)</f>
        <v>85</v>
      </c>
      <c r="G683">
        <f>VLOOKUP($B683,Sheet2!$A:$G,7,0)</f>
        <v>81</v>
      </c>
      <c r="H683">
        <f>VLOOKUP($B683,Sheet2!$A:$G,6,0)</f>
        <v>84</v>
      </c>
    </row>
    <row r="684" spans="1:8">
      <c r="A684">
        <v>231714</v>
      </c>
      <c r="B684" t="s">
        <v>691</v>
      </c>
      <c r="C684">
        <f>VLOOKUP($B684,Sheet2!$A:$E,2,0)</f>
        <v>93.5</v>
      </c>
      <c r="D684">
        <f>VLOOKUP($B684,Sheet2!$A:$E,3,0)</f>
        <v>80</v>
      </c>
      <c r="E684">
        <f>VLOOKUP($B684,Sheet2!$A:$E,4,0)</f>
        <v>112</v>
      </c>
      <c r="F684">
        <f>VLOOKUP($B684,Sheet2!$A:$E,5,0)</f>
        <v>89</v>
      </c>
      <c r="G684">
        <f>VLOOKUP($B684,Sheet2!$A:$G,7,0)</f>
        <v>67</v>
      </c>
      <c r="H684">
        <f>VLOOKUP($B684,Sheet2!$A:$G,6,0)</f>
        <v>73</v>
      </c>
    </row>
    <row r="685" spans="1:8">
      <c r="A685">
        <v>231715</v>
      </c>
      <c r="B685" t="s">
        <v>692</v>
      </c>
      <c r="C685">
        <f>VLOOKUP($B685,Sheet2!$A:$E,2,0)</f>
        <v>96</v>
      </c>
      <c r="D685">
        <f>VLOOKUP($B685,Sheet2!$A:$E,3,0)</f>
        <v>89</v>
      </c>
      <c r="E685">
        <f>VLOOKUP($B685,Sheet2!$A:$E,4,0)</f>
        <v>91.5</v>
      </c>
      <c r="F685">
        <f>VLOOKUP($B685,Sheet2!$A:$E,5,0)</f>
        <v>83</v>
      </c>
      <c r="G685">
        <f>VLOOKUP($B685,Sheet2!$A:$G,7,0)</f>
        <v>77</v>
      </c>
      <c r="H685">
        <f>VLOOKUP($B685,Sheet2!$A:$G,6,0)</f>
        <v>76</v>
      </c>
    </row>
    <row r="686" spans="1:8">
      <c r="A686">
        <v>231716</v>
      </c>
      <c r="B686" t="s">
        <v>693</v>
      </c>
      <c r="C686">
        <f>VLOOKUP($B686,Sheet2!$A:$E,2,0)</f>
        <v>97.5</v>
      </c>
      <c r="D686">
        <f>VLOOKUP($B686,Sheet2!$A:$E,3,0)</f>
        <v>99</v>
      </c>
      <c r="E686">
        <f>VLOOKUP($B686,Sheet2!$A:$E,4,0)</f>
        <v>103</v>
      </c>
      <c r="F686">
        <f>VLOOKUP($B686,Sheet2!$A:$E,5,0)</f>
        <v>89</v>
      </c>
      <c r="G686">
        <f>VLOOKUP($B686,Sheet2!$A:$G,7,0)</f>
        <v>73</v>
      </c>
      <c r="H686">
        <f>VLOOKUP($B686,Sheet2!$A:$G,6,0)</f>
        <v>79</v>
      </c>
    </row>
    <row r="687" spans="1:8">
      <c r="A687">
        <v>231717</v>
      </c>
      <c r="B687" t="s">
        <v>694</v>
      </c>
      <c r="C687">
        <f>VLOOKUP($B687,Sheet2!$A:$E,2,0)</f>
        <v>96</v>
      </c>
      <c r="D687">
        <f>VLOOKUP($B687,Sheet2!$A:$E,3,0)</f>
        <v>108</v>
      </c>
      <c r="E687">
        <f>VLOOKUP($B687,Sheet2!$A:$E,4,0)</f>
        <v>111</v>
      </c>
      <c r="F687">
        <f>VLOOKUP($B687,Sheet2!$A:$E,5,0)</f>
        <v>84</v>
      </c>
      <c r="G687">
        <f>VLOOKUP($B687,Sheet2!$A:$G,7,0)</f>
        <v>75</v>
      </c>
      <c r="H687">
        <f>VLOOKUP($B687,Sheet2!$A:$G,6,0)</f>
        <v>78</v>
      </c>
    </row>
    <row r="688" spans="1:8">
      <c r="A688">
        <v>231718</v>
      </c>
      <c r="B688" t="s">
        <v>695</v>
      </c>
      <c r="C688">
        <f>VLOOKUP($B688,Sheet2!$A:$E,2,0)</f>
        <v>99</v>
      </c>
      <c r="D688">
        <f>VLOOKUP($B688,Sheet2!$A:$E,3,0)</f>
        <v>100</v>
      </c>
      <c r="E688">
        <f>VLOOKUP($B688,Sheet2!$A:$E,4,0)</f>
        <v>105.5</v>
      </c>
      <c r="F688">
        <f>VLOOKUP($B688,Sheet2!$A:$E,5,0)</f>
        <v>85</v>
      </c>
      <c r="G688">
        <f>VLOOKUP($B688,Sheet2!$A:$G,7,0)</f>
        <v>77</v>
      </c>
      <c r="H688">
        <f>VLOOKUP($B688,Sheet2!$A:$G,6,0)</f>
        <v>67</v>
      </c>
    </row>
    <row r="689" spans="1:8">
      <c r="A689">
        <v>231719</v>
      </c>
      <c r="B689" t="s">
        <v>696</v>
      </c>
      <c r="C689">
        <f>VLOOKUP($B689,Sheet2!$A:$E,2,0)</f>
        <v>93</v>
      </c>
      <c r="D689">
        <f>VLOOKUP($B689,Sheet2!$A:$E,3,0)</f>
        <v>84</v>
      </c>
      <c r="E689">
        <f>VLOOKUP($B689,Sheet2!$A:$E,4,0)</f>
        <v>95.5</v>
      </c>
      <c r="F689">
        <f>VLOOKUP($B689,Sheet2!$A:$E,5,0)</f>
        <v>70</v>
      </c>
      <c r="G689">
        <f>VLOOKUP($B689,Sheet2!$A:$G,7,0)</f>
        <v>79</v>
      </c>
      <c r="H689">
        <f>VLOOKUP($B689,Sheet2!$A:$G,6,0)</f>
        <v>80</v>
      </c>
    </row>
    <row r="690" spans="1:8">
      <c r="A690">
        <v>231720</v>
      </c>
      <c r="B690" t="s">
        <v>697</v>
      </c>
      <c r="C690">
        <f>VLOOKUP($B690,Sheet2!$A:$E,2,0)</f>
        <v>95</v>
      </c>
      <c r="D690">
        <f>VLOOKUP($B690,Sheet2!$A:$E,3,0)</f>
        <v>100</v>
      </c>
      <c r="E690">
        <f>VLOOKUP($B690,Sheet2!$A:$E,4,0)</f>
        <v>115.5</v>
      </c>
      <c r="F690">
        <f>VLOOKUP($B690,Sheet2!$A:$E,5,0)</f>
        <v>82</v>
      </c>
      <c r="G690">
        <f>VLOOKUP($B690,Sheet2!$A:$G,7,0)</f>
        <v>76</v>
      </c>
      <c r="H690">
        <f>VLOOKUP($B690,Sheet2!$A:$G,6,0)</f>
        <v>73</v>
      </c>
    </row>
    <row r="691" spans="1:8">
      <c r="A691">
        <v>231721</v>
      </c>
      <c r="B691" t="s">
        <v>698</v>
      </c>
      <c r="C691">
        <f>VLOOKUP($B691,Sheet2!$A:$E,2,0)</f>
        <v>101</v>
      </c>
      <c r="D691">
        <f>VLOOKUP($B691,Sheet2!$A:$E,3,0)</f>
        <v>109</v>
      </c>
      <c r="E691">
        <f>VLOOKUP($B691,Sheet2!$A:$E,4,0)</f>
        <v>116</v>
      </c>
      <c r="F691">
        <f>VLOOKUP($B691,Sheet2!$A:$E,5,0)</f>
        <v>89</v>
      </c>
      <c r="G691">
        <f>VLOOKUP($B691,Sheet2!$A:$G,7,0)</f>
        <v>81</v>
      </c>
      <c r="H691">
        <f>VLOOKUP($B691,Sheet2!$A:$G,6,0)</f>
        <v>85</v>
      </c>
    </row>
    <row r="692" spans="1:8">
      <c r="A692">
        <v>231722</v>
      </c>
      <c r="B692" t="s">
        <v>699</v>
      </c>
      <c r="C692">
        <f>VLOOKUP($B692,Sheet2!$A:$E,2,0)</f>
        <v>107</v>
      </c>
      <c r="D692">
        <f>VLOOKUP($B692,Sheet2!$A:$E,3,0)</f>
        <v>87</v>
      </c>
      <c r="E692">
        <f>VLOOKUP($B692,Sheet2!$A:$E,4,0)</f>
        <v>115.5</v>
      </c>
      <c r="F692">
        <f>VLOOKUP($B692,Sheet2!$A:$E,5,0)</f>
        <v>83</v>
      </c>
      <c r="G692">
        <f>VLOOKUP($B692,Sheet2!$A:$G,7,0)</f>
        <v>77</v>
      </c>
      <c r="H692">
        <f>VLOOKUP($B692,Sheet2!$A:$G,6,0)</f>
        <v>76</v>
      </c>
    </row>
    <row r="693" spans="1:8">
      <c r="A693">
        <v>231723</v>
      </c>
      <c r="B693" t="s">
        <v>700</v>
      </c>
      <c r="C693">
        <f>VLOOKUP($B693,Sheet2!$A:$E,2,0)</f>
        <v>101</v>
      </c>
      <c r="D693">
        <f>VLOOKUP($B693,Sheet2!$A:$E,3,0)</f>
        <v>103</v>
      </c>
      <c r="E693">
        <f>VLOOKUP($B693,Sheet2!$A:$E,4,0)</f>
        <v>110.5</v>
      </c>
      <c r="F693">
        <f>VLOOKUP($B693,Sheet2!$A:$E,5,0)</f>
        <v>85</v>
      </c>
      <c r="G693">
        <f>VLOOKUP($B693,Sheet2!$A:$G,7,0)</f>
        <v>70</v>
      </c>
      <c r="H693">
        <f>VLOOKUP($B693,Sheet2!$A:$G,6,0)</f>
        <v>79</v>
      </c>
    </row>
    <row r="694" spans="1:8">
      <c r="A694">
        <v>231724</v>
      </c>
      <c r="B694" t="s">
        <v>701</v>
      </c>
      <c r="C694" t="e">
        <f>VLOOKUP($B694,Sheet2!$A:$E,2,0)</f>
        <v>#N/A</v>
      </c>
      <c r="D694" t="e">
        <f>VLOOKUP($B694,Sheet2!$A:$E,3,0)</f>
        <v>#N/A</v>
      </c>
      <c r="E694" t="e">
        <f>VLOOKUP($B694,Sheet2!$A:$E,4,0)</f>
        <v>#N/A</v>
      </c>
      <c r="F694" t="e">
        <f>VLOOKUP($B694,Sheet2!$A:$E,5,0)</f>
        <v>#N/A</v>
      </c>
      <c r="G694" t="e">
        <f>VLOOKUP($B694,Sheet2!$A:$G,7,0)</f>
        <v>#N/A</v>
      </c>
      <c r="H694" t="e">
        <f>VLOOKUP($B694,Sheet2!$A:$G,6,0)</f>
        <v>#N/A</v>
      </c>
    </row>
    <row r="695" spans="1:8">
      <c r="A695">
        <v>231725</v>
      </c>
      <c r="B695" t="s">
        <v>702</v>
      </c>
      <c r="C695">
        <f>VLOOKUP($B695,Sheet2!$A:$E,2,0)</f>
        <v>105</v>
      </c>
      <c r="D695">
        <f>VLOOKUP($B695,Sheet2!$A:$E,3,0)</f>
        <v>95</v>
      </c>
      <c r="E695">
        <f>VLOOKUP($B695,Sheet2!$A:$E,4,0)</f>
        <v>109</v>
      </c>
      <c r="F695">
        <f>VLOOKUP($B695,Sheet2!$A:$E,5,0)</f>
        <v>87</v>
      </c>
      <c r="G695">
        <f>VLOOKUP($B695,Sheet2!$A:$G,7,0)</f>
        <v>84</v>
      </c>
      <c r="H695">
        <f>VLOOKUP($B695,Sheet2!$A:$G,6,0)</f>
        <v>85</v>
      </c>
    </row>
    <row r="696" spans="1:8">
      <c r="A696">
        <v>231726</v>
      </c>
      <c r="B696" t="s">
        <v>703</v>
      </c>
      <c r="C696">
        <f>VLOOKUP($B696,Sheet2!$A:$E,2,0)</f>
        <v>100.5</v>
      </c>
      <c r="D696">
        <f>VLOOKUP($B696,Sheet2!$A:$E,3,0)</f>
        <v>109</v>
      </c>
      <c r="E696">
        <f>VLOOKUP($B696,Sheet2!$A:$E,4,0)</f>
        <v>108.5</v>
      </c>
      <c r="F696">
        <f>VLOOKUP($B696,Sheet2!$A:$E,5,0)</f>
        <v>85</v>
      </c>
      <c r="G696">
        <f>VLOOKUP($B696,Sheet2!$A:$G,7,0)</f>
        <v>79</v>
      </c>
      <c r="H696">
        <f>VLOOKUP($B696,Sheet2!$A:$G,6,0)</f>
        <v>81</v>
      </c>
    </row>
    <row r="697" spans="1:8">
      <c r="A697">
        <v>231727</v>
      </c>
      <c r="B697" t="s">
        <v>704</v>
      </c>
      <c r="C697">
        <f>VLOOKUP($B697,Sheet2!$A:$E,2,0)</f>
        <v>84</v>
      </c>
      <c r="D697">
        <f>VLOOKUP($B697,Sheet2!$A:$E,3,0)</f>
        <v>93</v>
      </c>
      <c r="E697">
        <f>VLOOKUP($B697,Sheet2!$A:$E,4,0)</f>
        <v>116</v>
      </c>
      <c r="F697">
        <f>VLOOKUP($B697,Sheet2!$A:$E,5,0)</f>
        <v>84</v>
      </c>
      <c r="G697">
        <f>VLOOKUP($B697,Sheet2!$A:$G,7,0)</f>
        <v>78</v>
      </c>
      <c r="H697">
        <f>VLOOKUP($B697,Sheet2!$A:$G,6,0)</f>
        <v>68</v>
      </c>
    </row>
    <row r="698" spans="1:8">
      <c r="A698">
        <v>231728</v>
      </c>
      <c r="B698" t="s">
        <v>705</v>
      </c>
      <c r="C698">
        <f>VLOOKUP($B698,Sheet2!$A:$E,2,0)</f>
        <v>98</v>
      </c>
      <c r="D698">
        <f>VLOOKUP($B698,Sheet2!$A:$E,3,0)</f>
        <v>99</v>
      </c>
      <c r="E698">
        <f>VLOOKUP($B698,Sheet2!$A:$E,4,0)</f>
        <v>106</v>
      </c>
      <c r="F698">
        <f>VLOOKUP($B698,Sheet2!$A:$E,5,0)</f>
        <v>84</v>
      </c>
      <c r="G698">
        <f>VLOOKUP($B698,Sheet2!$A:$G,7,0)</f>
        <v>74</v>
      </c>
      <c r="H698">
        <f>VLOOKUP($B698,Sheet2!$A:$G,6,0)</f>
        <v>79</v>
      </c>
    </row>
    <row r="699" spans="1:8">
      <c r="A699">
        <v>231729</v>
      </c>
      <c r="B699" t="s">
        <v>706</v>
      </c>
      <c r="C699">
        <f>VLOOKUP($B699,Sheet2!$A:$E,2,0)</f>
        <v>105</v>
      </c>
      <c r="D699">
        <f>VLOOKUP($B699,Sheet2!$A:$E,3,0)</f>
        <v>109</v>
      </c>
      <c r="E699">
        <f>VLOOKUP($B699,Sheet2!$A:$E,4,0)</f>
        <v>115</v>
      </c>
      <c r="F699">
        <f>VLOOKUP($B699,Sheet2!$A:$E,5,0)</f>
        <v>89</v>
      </c>
      <c r="G699">
        <f>VLOOKUP($B699,Sheet2!$A:$G,7,0)</f>
        <v>83</v>
      </c>
      <c r="H699">
        <f>VLOOKUP($B699,Sheet2!$A:$G,6,0)</f>
        <v>86</v>
      </c>
    </row>
    <row r="700" spans="1:8">
      <c r="A700">
        <v>231730</v>
      </c>
      <c r="B700" t="s">
        <v>707</v>
      </c>
      <c r="C700">
        <f>VLOOKUP($B700,Sheet2!$A:$E,2,0)</f>
        <v>92</v>
      </c>
      <c r="D700">
        <f>VLOOKUP($B700,Sheet2!$A:$E,3,0)</f>
        <v>102</v>
      </c>
      <c r="E700">
        <f>VLOOKUP($B700,Sheet2!$A:$E,4,0)</f>
        <v>113.5</v>
      </c>
      <c r="F700">
        <f>VLOOKUP($B700,Sheet2!$A:$E,5,0)</f>
        <v>88</v>
      </c>
      <c r="G700">
        <f>VLOOKUP($B700,Sheet2!$A:$G,7,0)</f>
        <v>71</v>
      </c>
      <c r="H700">
        <f>VLOOKUP($B700,Sheet2!$A:$G,6,0)</f>
        <v>80</v>
      </c>
    </row>
    <row r="701" spans="1:8">
      <c r="A701">
        <v>231731</v>
      </c>
      <c r="B701" t="s">
        <v>708</v>
      </c>
      <c r="C701">
        <f>VLOOKUP($B701,Sheet2!$A:$E,2,0)</f>
        <v>106</v>
      </c>
      <c r="D701">
        <f>VLOOKUP($B701,Sheet2!$A:$E,3,0)</f>
        <v>98</v>
      </c>
      <c r="E701">
        <f>VLOOKUP($B701,Sheet2!$A:$E,4,0)</f>
        <v>107.5</v>
      </c>
      <c r="F701">
        <f>VLOOKUP($B701,Sheet2!$A:$E,5,0)</f>
        <v>88</v>
      </c>
      <c r="G701">
        <f>VLOOKUP($B701,Sheet2!$A:$G,7,0)</f>
        <v>84</v>
      </c>
      <c r="H701">
        <f>VLOOKUP($B701,Sheet2!$A:$G,6,0)</f>
        <v>81</v>
      </c>
    </row>
    <row r="702" spans="1:8">
      <c r="A702">
        <v>231732</v>
      </c>
      <c r="B702" t="s">
        <v>709</v>
      </c>
      <c r="C702">
        <f>VLOOKUP($B702,Sheet2!$A:$E,2,0)</f>
        <v>94</v>
      </c>
      <c r="D702">
        <f>VLOOKUP($B702,Sheet2!$A:$E,3,0)</f>
        <v>93</v>
      </c>
      <c r="E702">
        <f>VLOOKUP($B702,Sheet2!$A:$E,4,0)</f>
        <v>112</v>
      </c>
      <c r="F702">
        <f>VLOOKUP($B702,Sheet2!$A:$E,5,0)</f>
        <v>82</v>
      </c>
      <c r="G702">
        <f>VLOOKUP($B702,Sheet2!$A:$G,7,0)</f>
        <v>82</v>
      </c>
      <c r="H702">
        <f>VLOOKUP($B702,Sheet2!$A:$G,6,0)</f>
        <v>76</v>
      </c>
    </row>
    <row r="703" spans="1:8">
      <c r="A703">
        <v>231733</v>
      </c>
      <c r="B703" t="s">
        <v>710</v>
      </c>
      <c r="C703">
        <f>VLOOKUP($B703,Sheet2!$A:$E,2,0)</f>
        <v>107</v>
      </c>
      <c r="D703">
        <f>VLOOKUP($B703,Sheet2!$A:$E,3,0)</f>
        <v>73</v>
      </c>
      <c r="E703">
        <f>VLOOKUP($B703,Sheet2!$A:$E,4,0)</f>
        <v>106</v>
      </c>
      <c r="F703">
        <f>VLOOKUP($B703,Sheet2!$A:$E,5,0)</f>
        <v>73</v>
      </c>
      <c r="G703">
        <f>VLOOKUP($B703,Sheet2!$A:$G,7,0)</f>
        <v>79</v>
      </c>
      <c r="H703">
        <f>VLOOKUP($B703,Sheet2!$A:$G,6,0)</f>
        <v>76</v>
      </c>
    </row>
    <row r="704" spans="1:8">
      <c r="A704">
        <v>231734</v>
      </c>
      <c r="B704" t="s">
        <v>711</v>
      </c>
      <c r="C704">
        <f>VLOOKUP($B704,Sheet2!$A:$E,2,0)</f>
        <v>106</v>
      </c>
      <c r="D704">
        <f>VLOOKUP($B704,Sheet2!$A:$E,3,0)</f>
        <v>101</v>
      </c>
      <c r="E704">
        <f>VLOOKUP($B704,Sheet2!$A:$E,4,0)</f>
        <v>111.5</v>
      </c>
      <c r="F704">
        <f>VLOOKUP($B704,Sheet2!$A:$E,5,0)</f>
        <v>85</v>
      </c>
      <c r="G704">
        <f>VLOOKUP($B704,Sheet2!$A:$G,7,0)</f>
        <v>72</v>
      </c>
      <c r="H704">
        <f>VLOOKUP($B704,Sheet2!$A:$G,6,0)</f>
        <v>84</v>
      </c>
    </row>
    <row r="705" spans="1:8">
      <c r="A705">
        <v>231735</v>
      </c>
      <c r="B705" t="s">
        <v>712</v>
      </c>
      <c r="C705">
        <f>VLOOKUP($B705,Sheet2!$A:$E,2,0)</f>
        <v>104</v>
      </c>
      <c r="D705">
        <f>VLOOKUP($B705,Sheet2!$A:$E,3,0)</f>
        <v>111</v>
      </c>
      <c r="E705">
        <f>VLOOKUP($B705,Sheet2!$A:$E,4,0)</f>
        <v>110.5</v>
      </c>
      <c r="F705">
        <f>VLOOKUP($B705,Sheet2!$A:$E,5,0)</f>
        <v>88</v>
      </c>
      <c r="G705">
        <f>VLOOKUP($B705,Sheet2!$A:$G,7,0)</f>
        <v>81</v>
      </c>
      <c r="H705">
        <f>VLOOKUP($B705,Sheet2!$A:$G,6,0)</f>
        <v>83</v>
      </c>
    </row>
    <row r="706" spans="1:8">
      <c r="A706">
        <v>231736</v>
      </c>
      <c r="B706" t="s">
        <v>713</v>
      </c>
      <c r="C706">
        <f>VLOOKUP($B706,Sheet2!$A:$E,2,0)</f>
        <v>90</v>
      </c>
      <c r="D706">
        <f>VLOOKUP($B706,Sheet2!$A:$E,3,0)</f>
        <v>106</v>
      </c>
      <c r="E706">
        <f>VLOOKUP($B706,Sheet2!$A:$E,4,0)</f>
        <v>109</v>
      </c>
      <c r="F706">
        <f>VLOOKUP($B706,Sheet2!$A:$E,5,0)</f>
        <v>86</v>
      </c>
      <c r="G706">
        <f>VLOOKUP($B706,Sheet2!$A:$G,7,0)</f>
        <v>74</v>
      </c>
      <c r="H706">
        <f>VLOOKUP($B706,Sheet2!$A:$G,6,0)</f>
        <v>81</v>
      </c>
    </row>
    <row r="707" spans="1:8">
      <c r="A707">
        <v>231737</v>
      </c>
      <c r="B707" t="s">
        <v>714</v>
      </c>
      <c r="C707">
        <f>VLOOKUP($B707,Sheet2!$A:$E,2,0)</f>
        <v>97.5</v>
      </c>
      <c r="D707">
        <f>VLOOKUP($B707,Sheet2!$A:$E,3,0)</f>
        <v>98</v>
      </c>
      <c r="E707">
        <f>VLOOKUP($B707,Sheet2!$A:$E,4,0)</f>
        <v>108.5</v>
      </c>
      <c r="F707">
        <f>VLOOKUP($B707,Sheet2!$A:$E,5,0)</f>
        <v>85</v>
      </c>
      <c r="G707">
        <f>VLOOKUP($B707,Sheet2!$A:$G,7,0)</f>
        <v>74</v>
      </c>
      <c r="H707">
        <f>VLOOKUP($B707,Sheet2!$A:$G,6,0)</f>
        <v>73</v>
      </c>
    </row>
    <row r="708" spans="1:8">
      <c r="A708">
        <v>231738</v>
      </c>
      <c r="B708" t="s">
        <v>715</v>
      </c>
      <c r="C708">
        <f>VLOOKUP($B708,Sheet2!$A:$E,2,0)</f>
        <v>99.5</v>
      </c>
      <c r="D708">
        <f>VLOOKUP($B708,Sheet2!$A:$E,3,0)</f>
        <v>100</v>
      </c>
      <c r="E708">
        <f>VLOOKUP($B708,Sheet2!$A:$E,4,0)</f>
        <v>111.5</v>
      </c>
      <c r="F708">
        <f>VLOOKUP($B708,Sheet2!$A:$E,5,0)</f>
        <v>86</v>
      </c>
      <c r="G708">
        <f>VLOOKUP($B708,Sheet2!$A:$G,7,0)</f>
        <v>77</v>
      </c>
      <c r="H708">
        <f>VLOOKUP($B708,Sheet2!$A:$G,6,0)</f>
        <v>86</v>
      </c>
    </row>
    <row r="709" spans="1:8">
      <c r="A709">
        <v>231739</v>
      </c>
      <c r="B709" t="s">
        <v>716</v>
      </c>
      <c r="C709">
        <f>VLOOKUP($B709,Sheet2!$A:$E,2,0)</f>
        <v>99</v>
      </c>
      <c r="D709">
        <f>VLOOKUP($B709,Sheet2!$A:$E,3,0)</f>
        <v>115</v>
      </c>
      <c r="E709">
        <f>VLOOKUP($B709,Sheet2!$A:$E,4,0)</f>
        <v>117</v>
      </c>
      <c r="F709">
        <f>VLOOKUP($B709,Sheet2!$A:$E,5,0)</f>
        <v>88</v>
      </c>
      <c r="G709">
        <f>VLOOKUP($B709,Sheet2!$A:$G,7,0)</f>
        <v>86</v>
      </c>
      <c r="H709">
        <f>VLOOKUP($B709,Sheet2!$A:$G,6,0)</f>
        <v>84</v>
      </c>
    </row>
    <row r="710" spans="1:8">
      <c r="A710">
        <v>231740</v>
      </c>
      <c r="B710" t="s">
        <v>717</v>
      </c>
      <c r="C710">
        <f>VLOOKUP($B710,Sheet2!$A:$E,2,0)</f>
        <v>109</v>
      </c>
      <c r="D710">
        <f>VLOOKUP($B710,Sheet2!$A:$E,3,0)</f>
        <v>98</v>
      </c>
      <c r="E710">
        <f>VLOOKUP($B710,Sheet2!$A:$E,4,0)</f>
        <v>111</v>
      </c>
      <c r="F710">
        <f>VLOOKUP($B710,Sheet2!$A:$E,5,0)</f>
        <v>82</v>
      </c>
      <c r="G710">
        <f>VLOOKUP($B710,Sheet2!$A:$G,7,0)</f>
        <v>80</v>
      </c>
      <c r="H710">
        <f>VLOOKUP($B710,Sheet2!$A:$G,6,0)</f>
        <v>76</v>
      </c>
    </row>
    <row r="711" spans="1:8">
      <c r="A711">
        <v>231741</v>
      </c>
      <c r="B711" t="s">
        <v>718</v>
      </c>
      <c r="C711">
        <f>VLOOKUP($B711,Sheet2!$A:$E,2,0)</f>
        <v>100</v>
      </c>
      <c r="D711">
        <f>VLOOKUP($B711,Sheet2!$A:$E,3,0)</f>
        <v>93</v>
      </c>
      <c r="E711">
        <f>VLOOKUP($B711,Sheet2!$A:$E,4,0)</f>
        <v>106.5</v>
      </c>
      <c r="F711">
        <f>VLOOKUP($B711,Sheet2!$A:$E,5,0)</f>
        <v>82</v>
      </c>
      <c r="G711">
        <f>VLOOKUP($B711,Sheet2!$A:$G,7,0)</f>
        <v>81</v>
      </c>
      <c r="H711">
        <f>VLOOKUP($B711,Sheet2!$A:$G,6,0)</f>
        <v>75</v>
      </c>
    </row>
    <row r="712" spans="1:8">
      <c r="A712">
        <v>231742</v>
      </c>
      <c r="B712" t="s">
        <v>719</v>
      </c>
      <c r="C712">
        <f>VLOOKUP($B712,Sheet2!$A:$E,2,0)</f>
        <v>92</v>
      </c>
      <c r="D712">
        <f>VLOOKUP($B712,Sheet2!$A:$E,3,0)</f>
        <v>95</v>
      </c>
      <c r="E712">
        <f>VLOOKUP($B712,Sheet2!$A:$E,4,0)</f>
        <v>110.5</v>
      </c>
      <c r="F712">
        <f>VLOOKUP($B712,Sheet2!$A:$E,5,0)</f>
        <v>84</v>
      </c>
      <c r="G712">
        <f>VLOOKUP($B712,Sheet2!$A:$G,7,0)</f>
        <v>75</v>
      </c>
      <c r="H712">
        <f>VLOOKUP($B712,Sheet2!$A:$G,6,0)</f>
        <v>77</v>
      </c>
    </row>
    <row r="713" spans="1:8">
      <c r="A713">
        <v>231743</v>
      </c>
      <c r="B713" t="s">
        <v>720</v>
      </c>
      <c r="C713">
        <f>VLOOKUP($B713,Sheet2!$A:$E,2,0)</f>
        <v>97</v>
      </c>
      <c r="D713">
        <f>VLOOKUP($B713,Sheet2!$A:$E,3,0)</f>
        <v>117</v>
      </c>
      <c r="E713">
        <f>VLOOKUP($B713,Sheet2!$A:$E,4,0)</f>
        <v>109.5</v>
      </c>
      <c r="F713">
        <f>VLOOKUP($B713,Sheet2!$A:$E,5,0)</f>
        <v>82</v>
      </c>
      <c r="G713">
        <f>VLOOKUP($B713,Sheet2!$A:$G,7,0)</f>
        <v>80</v>
      </c>
      <c r="H713">
        <f>VLOOKUP($B713,Sheet2!$A:$G,6,0)</f>
        <v>84</v>
      </c>
    </row>
    <row r="714" spans="1:8">
      <c r="A714">
        <v>231744</v>
      </c>
      <c r="B714" t="s">
        <v>721</v>
      </c>
      <c r="C714">
        <f>VLOOKUP($B714,Sheet2!$A:$E,2,0)</f>
        <v>94</v>
      </c>
      <c r="D714">
        <f>VLOOKUP($B714,Sheet2!$A:$E,3,0)</f>
        <v>101</v>
      </c>
      <c r="E714">
        <f>VLOOKUP($B714,Sheet2!$A:$E,4,0)</f>
        <v>96.5</v>
      </c>
      <c r="F714">
        <f>VLOOKUP($B714,Sheet2!$A:$E,5,0)</f>
        <v>87</v>
      </c>
      <c r="G714">
        <f>VLOOKUP($B714,Sheet2!$A:$G,7,0)</f>
        <v>65</v>
      </c>
      <c r="H714">
        <f>VLOOKUP($B714,Sheet2!$A:$G,6,0)</f>
        <v>66</v>
      </c>
    </row>
    <row r="715" spans="1:8">
      <c r="A715">
        <v>231801</v>
      </c>
      <c r="B715" t="s">
        <v>722</v>
      </c>
      <c r="C715">
        <f>VLOOKUP($B715,Sheet2!$A:$E,2,0)</f>
        <v>86</v>
      </c>
      <c r="D715">
        <f>VLOOKUP($B715,Sheet2!$A:$E,3,0)</f>
        <v>75</v>
      </c>
      <c r="E715">
        <f>VLOOKUP($B715,Sheet2!$A:$E,4,0)</f>
        <v>76.5</v>
      </c>
      <c r="F715">
        <f>VLOOKUP($B715,Sheet2!$A:$E,5,0)</f>
        <v>79</v>
      </c>
      <c r="G715">
        <f>VLOOKUP($B715,Sheet2!$A:$G,7,0)</f>
        <v>70</v>
      </c>
      <c r="H715">
        <f>VLOOKUP($B715,Sheet2!$A:$G,6,0)</f>
        <v>58</v>
      </c>
    </row>
    <row r="716" spans="1:8">
      <c r="A716">
        <v>231802</v>
      </c>
      <c r="B716" t="s">
        <v>723</v>
      </c>
      <c r="C716">
        <f>VLOOKUP($B716,Sheet2!$A:$E,2,0)</f>
        <v>105</v>
      </c>
      <c r="D716">
        <f>VLOOKUP($B716,Sheet2!$A:$E,3,0)</f>
        <v>113</v>
      </c>
      <c r="E716">
        <f>VLOOKUP($B716,Sheet2!$A:$E,4,0)</f>
        <v>109.5</v>
      </c>
      <c r="F716">
        <f>VLOOKUP($B716,Sheet2!$A:$E,5,0)</f>
        <v>86</v>
      </c>
      <c r="G716">
        <f>VLOOKUP($B716,Sheet2!$A:$G,7,0)</f>
        <v>82</v>
      </c>
      <c r="H716">
        <f>VLOOKUP($B716,Sheet2!$A:$G,6,0)</f>
        <v>86</v>
      </c>
    </row>
    <row r="717" spans="1:8">
      <c r="A717">
        <v>231803</v>
      </c>
      <c r="B717" t="s">
        <v>724</v>
      </c>
      <c r="C717">
        <f>VLOOKUP($B717,Sheet2!$A:$E,2,0)</f>
        <v>95</v>
      </c>
      <c r="D717">
        <f>VLOOKUP($B717,Sheet2!$A:$E,3,0)</f>
        <v>92</v>
      </c>
      <c r="E717">
        <f>VLOOKUP($B717,Sheet2!$A:$E,4,0)</f>
        <v>112</v>
      </c>
      <c r="F717">
        <f>VLOOKUP($B717,Sheet2!$A:$E,5,0)</f>
        <v>86</v>
      </c>
      <c r="G717">
        <f>VLOOKUP($B717,Sheet2!$A:$G,7,0)</f>
        <v>84</v>
      </c>
      <c r="H717">
        <f>VLOOKUP($B717,Sheet2!$A:$G,6,0)</f>
        <v>79</v>
      </c>
    </row>
    <row r="718" spans="1:8">
      <c r="A718">
        <v>231804</v>
      </c>
      <c r="B718" t="s">
        <v>725</v>
      </c>
      <c r="C718">
        <f>VLOOKUP($B718,Sheet2!$A:$E,2,0)</f>
        <v>105.5</v>
      </c>
      <c r="D718">
        <f>VLOOKUP($B718,Sheet2!$A:$E,3,0)</f>
        <v>105</v>
      </c>
      <c r="E718">
        <f>VLOOKUP($B718,Sheet2!$A:$E,4,0)</f>
        <v>108.5</v>
      </c>
      <c r="F718">
        <f>VLOOKUP($B718,Sheet2!$A:$E,5,0)</f>
        <v>89</v>
      </c>
      <c r="G718">
        <f>VLOOKUP($B718,Sheet2!$A:$G,7,0)</f>
        <v>82</v>
      </c>
      <c r="H718">
        <f>VLOOKUP($B718,Sheet2!$A:$G,6,0)</f>
        <v>74</v>
      </c>
    </row>
    <row r="719" spans="1:8">
      <c r="A719">
        <v>231805</v>
      </c>
      <c r="B719" t="s">
        <v>726</v>
      </c>
      <c r="C719">
        <f>VLOOKUP($B719,Sheet2!$A:$E,2,0)</f>
        <v>95</v>
      </c>
      <c r="D719">
        <f>VLOOKUP($B719,Sheet2!$A:$E,3,0)</f>
        <v>117</v>
      </c>
      <c r="E719">
        <f>VLOOKUP($B719,Sheet2!$A:$E,4,0)</f>
        <v>114</v>
      </c>
      <c r="F719">
        <f>VLOOKUP($B719,Sheet2!$A:$E,5,0)</f>
        <v>88</v>
      </c>
      <c r="G719">
        <f>VLOOKUP($B719,Sheet2!$A:$G,7,0)</f>
        <v>81</v>
      </c>
      <c r="H719">
        <f>VLOOKUP($B719,Sheet2!$A:$G,6,0)</f>
        <v>77</v>
      </c>
    </row>
    <row r="720" spans="1:8">
      <c r="A720">
        <v>231806</v>
      </c>
      <c r="B720" t="s">
        <v>727</v>
      </c>
      <c r="C720">
        <f>VLOOKUP($B720,Sheet2!$A:$E,2,0)</f>
        <v>110</v>
      </c>
      <c r="D720">
        <f>VLOOKUP($B720,Sheet2!$A:$E,3,0)</f>
        <v>108</v>
      </c>
      <c r="E720">
        <f>VLOOKUP($B720,Sheet2!$A:$E,4,0)</f>
        <v>116</v>
      </c>
      <c r="F720">
        <f>VLOOKUP($B720,Sheet2!$A:$E,5,0)</f>
        <v>89</v>
      </c>
      <c r="G720">
        <f>VLOOKUP($B720,Sheet2!$A:$G,7,0)</f>
        <v>80</v>
      </c>
      <c r="H720">
        <f>VLOOKUP($B720,Sheet2!$A:$G,6,0)</f>
        <v>81</v>
      </c>
    </row>
    <row r="721" spans="1:8">
      <c r="A721">
        <v>231807</v>
      </c>
      <c r="B721" t="s">
        <v>728</v>
      </c>
      <c r="C721">
        <f>VLOOKUP($B721,Sheet2!$A:$E,2,0)</f>
        <v>104.5</v>
      </c>
      <c r="D721">
        <f>VLOOKUP($B721,Sheet2!$A:$E,3,0)</f>
        <v>109</v>
      </c>
      <c r="E721">
        <f>VLOOKUP($B721,Sheet2!$A:$E,4,0)</f>
        <v>111</v>
      </c>
      <c r="F721">
        <f>VLOOKUP($B721,Sheet2!$A:$E,5,0)</f>
        <v>89</v>
      </c>
      <c r="G721">
        <f>VLOOKUP($B721,Sheet2!$A:$G,7,0)</f>
        <v>79</v>
      </c>
      <c r="H721">
        <f>VLOOKUP($B721,Sheet2!$A:$G,6,0)</f>
        <v>80</v>
      </c>
    </row>
    <row r="722" spans="1:8">
      <c r="A722">
        <v>231808</v>
      </c>
      <c r="B722" t="s">
        <v>729</v>
      </c>
      <c r="C722">
        <f>VLOOKUP($B722,Sheet2!$A:$E,2,0)</f>
        <v>118</v>
      </c>
      <c r="D722">
        <f>VLOOKUP($B722,Sheet2!$A:$E,3,0)</f>
        <v>109</v>
      </c>
      <c r="E722">
        <f>VLOOKUP($B722,Sheet2!$A:$E,4,0)</f>
        <v>117</v>
      </c>
      <c r="F722">
        <f>VLOOKUP($B722,Sheet2!$A:$E,5,0)</f>
        <v>88</v>
      </c>
      <c r="G722">
        <f>VLOOKUP($B722,Sheet2!$A:$G,7,0)</f>
        <v>87</v>
      </c>
      <c r="H722">
        <f>VLOOKUP($B722,Sheet2!$A:$G,6,0)</f>
        <v>88</v>
      </c>
    </row>
    <row r="723" spans="1:8">
      <c r="A723">
        <v>231809</v>
      </c>
      <c r="B723" t="s">
        <v>730</v>
      </c>
      <c r="C723">
        <f>VLOOKUP($B723,Sheet2!$A:$E,2,0)</f>
        <v>104</v>
      </c>
      <c r="D723">
        <f>VLOOKUP($B723,Sheet2!$A:$E,3,0)</f>
        <v>98</v>
      </c>
      <c r="E723">
        <f>VLOOKUP($B723,Sheet2!$A:$E,4,0)</f>
        <v>110</v>
      </c>
      <c r="F723">
        <f>VLOOKUP($B723,Sheet2!$A:$E,5,0)</f>
        <v>90</v>
      </c>
      <c r="G723">
        <f>VLOOKUP($B723,Sheet2!$A:$G,7,0)</f>
        <v>79</v>
      </c>
      <c r="H723">
        <f>VLOOKUP($B723,Sheet2!$A:$G,6,0)</f>
        <v>83</v>
      </c>
    </row>
    <row r="724" spans="1:8">
      <c r="A724">
        <v>231810</v>
      </c>
      <c r="B724" t="s">
        <v>731</v>
      </c>
      <c r="C724">
        <f>VLOOKUP($B724,Sheet2!$A:$E,2,0)</f>
        <v>104.5</v>
      </c>
      <c r="D724">
        <f>VLOOKUP($B724,Sheet2!$A:$E,3,0)</f>
        <v>101</v>
      </c>
      <c r="E724">
        <f>VLOOKUP($B724,Sheet2!$A:$E,4,0)</f>
        <v>110.5</v>
      </c>
      <c r="F724">
        <f>VLOOKUP($B724,Sheet2!$A:$E,5,0)</f>
        <v>87</v>
      </c>
      <c r="G724">
        <f>VLOOKUP($B724,Sheet2!$A:$G,7,0)</f>
        <v>84</v>
      </c>
      <c r="H724">
        <f>VLOOKUP($B724,Sheet2!$A:$G,6,0)</f>
        <v>83</v>
      </c>
    </row>
    <row r="725" spans="1:8">
      <c r="A725">
        <v>231811</v>
      </c>
      <c r="B725" t="s">
        <v>732</v>
      </c>
      <c r="C725">
        <f>VLOOKUP($B725,Sheet2!$A:$E,2,0)</f>
        <v>103.5</v>
      </c>
      <c r="D725">
        <f>VLOOKUP($B725,Sheet2!$A:$E,3,0)</f>
        <v>108</v>
      </c>
      <c r="E725">
        <f>VLOOKUP($B725,Sheet2!$A:$E,4,0)</f>
        <v>103</v>
      </c>
      <c r="F725">
        <f>VLOOKUP($B725,Sheet2!$A:$E,5,0)</f>
        <v>88</v>
      </c>
      <c r="G725">
        <f>VLOOKUP($B725,Sheet2!$A:$G,7,0)</f>
        <v>82</v>
      </c>
      <c r="H725">
        <f>VLOOKUP($B725,Sheet2!$A:$G,6,0)</f>
        <v>85</v>
      </c>
    </row>
    <row r="726" spans="1:8">
      <c r="A726">
        <v>231812</v>
      </c>
      <c r="B726" t="s">
        <v>733</v>
      </c>
      <c r="C726">
        <f>VLOOKUP($B726,Sheet2!$A:$E,2,0)</f>
        <v>93.5</v>
      </c>
      <c r="D726">
        <f>VLOOKUP($B726,Sheet2!$A:$E,3,0)</f>
        <v>92</v>
      </c>
      <c r="E726">
        <f>VLOOKUP($B726,Sheet2!$A:$E,4,0)</f>
        <v>113.5</v>
      </c>
      <c r="F726">
        <f>VLOOKUP($B726,Sheet2!$A:$E,5,0)</f>
        <v>90</v>
      </c>
      <c r="G726">
        <f>VLOOKUP($B726,Sheet2!$A:$G,7,0)</f>
        <v>85</v>
      </c>
      <c r="H726">
        <f>VLOOKUP($B726,Sheet2!$A:$G,6,0)</f>
        <v>87</v>
      </c>
    </row>
    <row r="727" spans="1:8">
      <c r="A727">
        <v>231813</v>
      </c>
      <c r="B727" t="s">
        <v>734</v>
      </c>
      <c r="C727">
        <f>VLOOKUP($B727,Sheet2!$A:$E,2,0)</f>
        <v>113</v>
      </c>
      <c r="D727">
        <f>VLOOKUP($B727,Sheet2!$A:$E,3,0)</f>
        <v>114</v>
      </c>
      <c r="E727">
        <f>VLOOKUP($B727,Sheet2!$A:$E,4,0)</f>
        <v>118.5</v>
      </c>
      <c r="F727">
        <f>VLOOKUP($B727,Sheet2!$A:$E,5,0)</f>
        <v>89</v>
      </c>
      <c r="G727">
        <f>VLOOKUP($B727,Sheet2!$A:$G,7,0)</f>
        <v>90</v>
      </c>
      <c r="H727">
        <f>VLOOKUP($B727,Sheet2!$A:$G,6,0)</f>
        <v>84</v>
      </c>
    </row>
    <row r="728" spans="1:8">
      <c r="A728">
        <v>231814</v>
      </c>
      <c r="B728" t="s">
        <v>735</v>
      </c>
      <c r="C728">
        <f>VLOOKUP($B728,Sheet2!$A:$E,2,0)</f>
        <v>90</v>
      </c>
      <c r="D728">
        <f>VLOOKUP($B728,Sheet2!$A:$E,3,0)</f>
        <v>88</v>
      </c>
      <c r="E728">
        <f>VLOOKUP($B728,Sheet2!$A:$E,4,0)</f>
        <v>106</v>
      </c>
      <c r="F728">
        <f>VLOOKUP($B728,Sheet2!$A:$E,5,0)</f>
        <v>80</v>
      </c>
      <c r="G728">
        <f>VLOOKUP($B728,Sheet2!$A:$G,7,0)</f>
        <v>66</v>
      </c>
      <c r="H728">
        <f>VLOOKUP($B728,Sheet2!$A:$G,6,0)</f>
        <v>64</v>
      </c>
    </row>
    <row r="729" spans="1:8">
      <c r="A729">
        <v>231815</v>
      </c>
      <c r="B729" t="s">
        <v>736</v>
      </c>
      <c r="C729">
        <f>VLOOKUP($B729,Sheet2!$A:$E,2,0)</f>
        <v>109</v>
      </c>
      <c r="D729">
        <f>VLOOKUP($B729,Sheet2!$A:$E,3,0)</f>
        <v>118</v>
      </c>
      <c r="E729">
        <f>VLOOKUP($B729,Sheet2!$A:$E,4,0)</f>
        <v>111</v>
      </c>
      <c r="F729">
        <f>VLOOKUP($B729,Sheet2!$A:$E,5,0)</f>
        <v>90</v>
      </c>
      <c r="G729">
        <f>VLOOKUP($B729,Sheet2!$A:$G,7,0)</f>
        <v>83</v>
      </c>
      <c r="H729">
        <f>VLOOKUP($B729,Sheet2!$A:$G,6,0)</f>
        <v>85</v>
      </c>
    </row>
    <row r="730" spans="1:8">
      <c r="A730">
        <v>231816</v>
      </c>
      <c r="B730" t="s">
        <v>737</v>
      </c>
      <c r="C730">
        <f>VLOOKUP($B730,Sheet2!$A:$E,2,0)</f>
        <v>98.5</v>
      </c>
      <c r="D730">
        <f>VLOOKUP($B730,Sheet2!$A:$E,3,0)</f>
        <v>107</v>
      </c>
      <c r="E730">
        <f>VLOOKUP($B730,Sheet2!$A:$E,4,0)</f>
        <v>104</v>
      </c>
      <c r="F730">
        <f>VLOOKUP($B730,Sheet2!$A:$E,5,0)</f>
        <v>88</v>
      </c>
      <c r="G730">
        <f>VLOOKUP($B730,Sheet2!$A:$G,7,0)</f>
        <v>86</v>
      </c>
      <c r="H730">
        <f>VLOOKUP($B730,Sheet2!$A:$G,6,0)</f>
        <v>82</v>
      </c>
    </row>
    <row r="731" spans="1:8">
      <c r="A731">
        <v>231817</v>
      </c>
      <c r="B731" t="s">
        <v>738</v>
      </c>
      <c r="C731">
        <f>VLOOKUP($B731,Sheet2!$A:$E,2,0)</f>
        <v>108</v>
      </c>
      <c r="D731">
        <f>VLOOKUP($B731,Sheet2!$A:$E,3,0)</f>
        <v>115</v>
      </c>
      <c r="E731">
        <f>VLOOKUP($B731,Sheet2!$A:$E,4,0)</f>
        <v>114</v>
      </c>
      <c r="F731">
        <f>VLOOKUP($B731,Sheet2!$A:$E,5,0)</f>
        <v>89</v>
      </c>
      <c r="G731">
        <f>VLOOKUP($B731,Sheet2!$A:$G,7,0)</f>
        <v>84</v>
      </c>
      <c r="H731">
        <f>VLOOKUP($B731,Sheet2!$A:$G,6,0)</f>
        <v>86</v>
      </c>
    </row>
    <row r="732" spans="1:8">
      <c r="A732">
        <v>231818</v>
      </c>
      <c r="B732" t="s">
        <v>739</v>
      </c>
      <c r="C732">
        <f>VLOOKUP($B732,Sheet2!$A:$E,2,0)</f>
        <v>102</v>
      </c>
      <c r="D732">
        <f>VLOOKUP($B732,Sheet2!$A:$E,3,0)</f>
        <v>112</v>
      </c>
      <c r="E732">
        <f>VLOOKUP($B732,Sheet2!$A:$E,4,0)</f>
        <v>115.5</v>
      </c>
      <c r="F732">
        <f>VLOOKUP($B732,Sheet2!$A:$E,5,0)</f>
        <v>85</v>
      </c>
      <c r="G732">
        <f>VLOOKUP($B732,Sheet2!$A:$G,7,0)</f>
        <v>84</v>
      </c>
      <c r="H732">
        <f>VLOOKUP($B732,Sheet2!$A:$G,6,0)</f>
        <v>84</v>
      </c>
    </row>
    <row r="733" spans="1:8">
      <c r="A733">
        <v>231819</v>
      </c>
      <c r="B733" t="s">
        <v>740</v>
      </c>
      <c r="C733">
        <f>VLOOKUP($B733,Sheet2!$A:$E,2,0)</f>
        <v>100</v>
      </c>
      <c r="D733">
        <f>VLOOKUP($B733,Sheet2!$A:$E,3,0)</f>
        <v>119</v>
      </c>
      <c r="E733">
        <f>VLOOKUP($B733,Sheet2!$A:$E,4,0)</f>
        <v>115</v>
      </c>
      <c r="F733">
        <f>VLOOKUP($B733,Sheet2!$A:$E,5,0)</f>
        <v>89</v>
      </c>
      <c r="G733">
        <f>VLOOKUP($B733,Sheet2!$A:$G,7,0)</f>
        <v>83</v>
      </c>
      <c r="H733">
        <f>VLOOKUP($B733,Sheet2!$A:$G,6,0)</f>
        <v>84</v>
      </c>
    </row>
    <row r="734" spans="1:8">
      <c r="A734">
        <v>231820</v>
      </c>
      <c r="B734" t="s">
        <v>741</v>
      </c>
      <c r="C734">
        <f>VLOOKUP($B734,Sheet2!$A:$E,2,0)</f>
        <v>106</v>
      </c>
      <c r="D734">
        <f>VLOOKUP($B734,Sheet2!$A:$E,3,0)</f>
        <v>100</v>
      </c>
      <c r="E734">
        <f>VLOOKUP($B734,Sheet2!$A:$E,4,0)</f>
        <v>110</v>
      </c>
      <c r="F734">
        <f>VLOOKUP($B734,Sheet2!$A:$E,5,0)</f>
        <v>88</v>
      </c>
      <c r="G734">
        <f>VLOOKUP($B734,Sheet2!$A:$G,7,0)</f>
        <v>80</v>
      </c>
      <c r="H734">
        <f>VLOOKUP($B734,Sheet2!$A:$G,6,0)</f>
        <v>87</v>
      </c>
    </row>
    <row r="735" spans="1:8">
      <c r="A735">
        <v>231821</v>
      </c>
      <c r="B735" t="s">
        <v>742</v>
      </c>
      <c r="C735">
        <f>VLOOKUP($B735,Sheet2!$A:$E,2,0)</f>
        <v>105.5</v>
      </c>
      <c r="D735">
        <f>VLOOKUP($B735,Sheet2!$A:$E,3,0)</f>
        <v>111</v>
      </c>
      <c r="E735">
        <f>VLOOKUP($B735,Sheet2!$A:$E,4,0)</f>
        <v>118.5</v>
      </c>
      <c r="F735">
        <f>VLOOKUP($B735,Sheet2!$A:$E,5,0)</f>
        <v>87</v>
      </c>
      <c r="G735">
        <f>VLOOKUP($B735,Sheet2!$A:$G,7,0)</f>
        <v>79</v>
      </c>
      <c r="H735">
        <f>VLOOKUP($B735,Sheet2!$A:$G,6,0)</f>
        <v>85</v>
      </c>
    </row>
    <row r="736" spans="1:8">
      <c r="A736">
        <v>231822</v>
      </c>
      <c r="B736" t="s">
        <v>743</v>
      </c>
      <c r="C736">
        <f>VLOOKUP($B736,Sheet2!$A:$E,2,0)</f>
        <v>103.5</v>
      </c>
      <c r="D736">
        <f>VLOOKUP($B736,Sheet2!$A:$E,3,0)</f>
        <v>109</v>
      </c>
      <c r="E736">
        <f>VLOOKUP($B736,Sheet2!$A:$E,4,0)</f>
        <v>118</v>
      </c>
      <c r="F736">
        <f>VLOOKUP($B736,Sheet2!$A:$E,5,0)</f>
        <v>90</v>
      </c>
      <c r="G736">
        <f>VLOOKUP($B736,Sheet2!$A:$G,7,0)</f>
        <v>85</v>
      </c>
      <c r="H736">
        <f>VLOOKUP($B736,Sheet2!$A:$G,6,0)</f>
        <v>82</v>
      </c>
    </row>
    <row r="737" spans="1:8">
      <c r="A737">
        <v>231823</v>
      </c>
      <c r="B737" t="s">
        <v>744</v>
      </c>
      <c r="C737">
        <f>VLOOKUP($B737,Sheet2!$A:$E,2,0)</f>
        <v>99</v>
      </c>
      <c r="D737">
        <f>VLOOKUP($B737,Sheet2!$A:$E,3,0)</f>
        <v>91</v>
      </c>
      <c r="E737">
        <f>VLOOKUP($B737,Sheet2!$A:$E,4,0)</f>
        <v>108.5</v>
      </c>
      <c r="F737">
        <f>VLOOKUP($B737,Sheet2!$A:$E,5,0)</f>
        <v>88</v>
      </c>
      <c r="G737">
        <f>VLOOKUP($B737,Sheet2!$A:$G,7,0)</f>
        <v>81</v>
      </c>
      <c r="H737">
        <f>VLOOKUP($B737,Sheet2!$A:$G,6,0)</f>
        <v>85</v>
      </c>
    </row>
    <row r="738" spans="1:8">
      <c r="A738">
        <v>231824</v>
      </c>
      <c r="B738" t="s">
        <v>745</v>
      </c>
      <c r="C738">
        <f>VLOOKUP($B738,Sheet2!$A:$E,2,0)</f>
        <v>93</v>
      </c>
      <c r="D738">
        <f>VLOOKUP($B738,Sheet2!$A:$E,3,0)</f>
        <v>108</v>
      </c>
      <c r="E738">
        <f>VLOOKUP($B738,Sheet2!$A:$E,4,0)</f>
        <v>109</v>
      </c>
      <c r="F738">
        <f>VLOOKUP($B738,Sheet2!$A:$E,5,0)</f>
        <v>85</v>
      </c>
      <c r="G738">
        <f>VLOOKUP($B738,Sheet2!$A:$G,7,0)</f>
        <v>84</v>
      </c>
      <c r="H738">
        <f>VLOOKUP($B738,Sheet2!$A:$G,6,0)</f>
        <v>87</v>
      </c>
    </row>
    <row r="739" spans="1:8">
      <c r="A739">
        <v>231825</v>
      </c>
      <c r="B739" t="s">
        <v>746</v>
      </c>
      <c r="C739">
        <f>VLOOKUP($B739,Sheet2!$A:$E,2,0)</f>
        <v>105</v>
      </c>
      <c r="D739">
        <f>VLOOKUP($B739,Sheet2!$A:$E,3,0)</f>
        <v>102</v>
      </c>
      <c r="E739">
        <f>VLOOKUP($B739,Sheet2!$A:$E,4,0)</f>
        <v>111</v>
      </c>
      <c r="F739">
        <f>VLOOKUP($B739,Sheet2!$A:$E,5,0)</f>
        <v>89</v>
      </c>
      <c r="G739">
        <f>VLOOKUP($B739,Sheet2!$A:$G,7,0)</f>
        <v>81</v>
      </c>
      <c r="H739">
        <f>VLOOKUP($B739,Sheet2!$A:$G,6,0)</f>
        <v>84</v>
      </c>
    </row>
    <row r="740" spans="1:8">
      <c r="A740">
        <v>231826</v>
      </c>
      <c r="B740" t="s">
        <v>747</v>
      </c>
      <c r="C740">
        <f>VLOOKUP($B740,Sheet2!$A:$E,2,0)</f>
        <v>106</v>
      </c>
      <c r="D740">
        <f>VLOOKUP($B740,Sheet2!$A:$E,3,0)</f>
        <v>89</v>
      </c>
      <c r="E740">
        <f>VLOOKUP($B740,Sheet2!$A:$E,4,0)</f>
        <v>107</v>
      </c>
      <c r="F740">
        <f>VLOOKUP($B740,Sheet2!$A:$E,5,0)</f>
        <v>87</v>
      </c>
      <c r="G740">
        <f>VLOOKUP($B740,Sheet2!$A:$G,7,0)</f>
        <v>84</v>
      </c>
      <c r="H740">
        <f>VLOOKUP($B740,Sheet2!$A:$G,6,0)</f>
        <v>79</v>
      </c>
    </row>
    <row r="741" spans="1:8">
      <c r="A741">
        <v>231827</v>
      </c>
      <c r="B741" t="s">
        <v>748</v>
      </c>
      <c r="C741">
        <f>VLOOKUP($B741,Sheet2!$A:$E,2,0)</f>
        <v>102.5</v>
      </c>
      <c r="D741">
        <f>VLOOKUP($B741,Sheet2!$A:$E,3,0)</f>
        <v>114</v>
      </c>
      <c r="E741">
        <f>VLOOKUP($B741,Sheet2!$A:$E,4,0)</f>
        <v>114</v>
      </c>
      <c r="F741">
        <f>VLOOKUP($B741,Sheet2!$A:$E,5,0)</f>
        <v>86</v>
      </c>
      <c r="G741">
        <f>VLOOKUP($B741,Sheet2!$A:$G,7,0)</f>
        <v>82</v>
      </c>
      <c r="H741">
        <f>VLOOKUP($B741,Sheet2!$A:$G,6,0)</f>
        <v>83</v>
      </c>
    </row>
    <row r="742" spans="1:8">
      <c r="A742">
        <v>231828</v>
      </c>
      <c r="B742" t="s">
        <v>749</v>
      </c>
      <c r="C742">
        <f>VLOOKUP($B742,Sheet2!$A:$E,2,0)</f>
        <v>95</v>
      </c>
      <c r="D742">
        <f>VLOOKUP($B742,Sheet2!$A:$E,3,0)</f>
        <v>100</v>
      </c>
      <c r="E742">
        <f>VLOOKUP($B742,Sheet2!$A:$E,4,0)</f>
        <v>112.5</v>
      </c>
      <c r="F742">
        <f>VLOOKUP($B742,Sheet2!$A:$E,5,0)</f>
        <v>86</v>
      </c>
      <c r="G742">
        <f>VLOOKUP($B742,Sheet2!$A:$G,7,0)</f>
        <v>77</v>
      </c>
      <c r="H742">
        <f>VLOOKUP($B742,Sheet2!$A:$G,6,0)</f>
        <v>77</v>
      </c>
    </row>
    <row r="743" spans="1:8">
      <c r="A743">
        <v>231829</v>
      </c>
      <c r="B743" t="s">
        <v>750</v>
      </c>
      <c r="C743">
        <f>VLOOKUP($B743,Sheet2!$A:$E,2,0)</f>
        <v>110</v>
      </c>
      <c r="D743">
        <f>VLOOKUP($B743,Sheet2!$A:$E,3,0)</f>
        <v>109</v>
      </c>
      <c r="E743">
        <f>VLOOKUP($B743,Sheet2!$A:$E,4,0)</f>
        <v>115</v>
      </c>
      <c r="F743">
        <f>VLOOKUP($B743,Sheet2!$A:$E,5,0)</f>
        <v>88</v>
      </c>
      <c r="G743">
        <f>VLOOKUP($B743,Sheet2!$A:$G,7,0)</f>
        <v>86</v>
      </c>
      <c r="H743">
        <f>VLOOKUP($B743,Sheet2!$A:$G,6,0)</f>
        <v>77</v>
      </c>
    </row>
    <row r="744" spans="1:8">
      <c r="A744">
        <v>231830</v>
      </c>
      <c r="B744" t="s">
        <v>751</v>
      </c>
      <c r="C744">
        <f>VLOOKUP($B744,Sheet2!$A:$E,2,0)</f>
        <v>92</v>
      </c>
      <c r="D744">
        <f>VLOOKUP($B744,Sheet2!$A:$E,3,0)</f>
        <v>98</v>
      </c>
      <c r="E744">
        <f>VLOOKUP($B744,Sheet2!$A:$E,4,0)</f>
        <v>107.5</v>
      </c>
      <c r="F744">
        <f>VLOOKUP($B744,Sheet2!$A:$E,5,0)</f>
        <v>81</v>
      </c>
      <c r="G744">
        <f>VLOOKUP($B744,Sheet2!$A:$G,7,0)</f>
        <v>72</v>
      </c>
      <c r="H744">
        <f>VLOOKUP($B744,Sheet2!$A:$G,6,0)</f>
        <v>83</v>
      </c>
    </row>
    <row r="745" spans="1:8">
      <c r="A745">
        <v>231831</v>
      </c>
      <c r="B745" t="s">
        <v>752</v>
      </c>
      <c r="C745">
        <f>VLOOKUP($B745,Sheet2!$A:$E,2,0)</f>
        <v>99</v>
      </c>
      <c r="D745">
        <f>VLOOKUP($B745,Sheet2!$A:$E,3,0)</f>
        <v>114</v>
      </c>
      <c r="E745">
        <f>VLOOKUP($B745,Sheet2!$A:$E,4,0)</f>
        <v>110</v>
      </c>
      <c r="F745">
        <f>VLOOKUP($B745,Sheet2!$A:$E,5,0)</f>
        <v>90</v>
      </c>
      <c r="G745">
        <f>VLOOKUP($B745,Sheet2!$A:$G,7,0)</f>
        <v>78</v>
      </c>
      <c r="H745">
        <f>VLOOKUP($B745,Sheet2!$A:$G,6,0)</f>
        <v>78</v>
      </c>
    </row>
    <row r="746" spans="1:8">
      <c r="A746">
        <v>231832</v>
      </c>
      <c r="B746" t="s">
        <v>753</v>
      </c>
      <c r="C746">
        <f>VLOOKUP($B746,Sheet2!$A:$E,2,0)</f>
        <v>115.5</v>
      </c>
      <c r="D746">
        <f>VLOOKUP($B746,Sheet2!$A:$E,3,0)</f>
        <v>104</v>
      </c>
      <c r="E746">
        <f>VLOOKUP($B746,Sheet2!$A:$E,4,0)</f>
        <v>118</v>
      </c>
      <c r="F746">
        <f>VLOOKUP($B746,Sheet2!$A:$E,5,0)</f>
        <v>88</v>
      </c>
      <c r="G746">
        <f>VLOOKUP($B746,Sheet2!$A:$G,7,0)</f>
        <v>77</v>
      </c>
      <c r="H746">
        <f>VLOOKUP($B746,Sheet2!$A:$G,6,0)</f>
        <v>85</v>
      </c>
    </row>
    <row r="747" spans="1:8">
      <c r="A747">
        <v>231833</v>
      </c>
      <c r="B747" t="s">
        <v>754</v>
      </c>
      <c r="C747">
        <f>VLOOKUP($B747,Sheet2!$A:$E,2,0)</f>
        <v>100</v>
      </c>
      <c r="D747">
        <f>VLOOKUP($B747,Sheet2!$A:$E,3,0)</f>
        <v>101</v>
      </c>
      <c r="E747">
        <f>VLOOKUP($B747,Sheet2!$A:$E,4,0)</f>
        <v>105.5</v>
      </c>
      <c r="F747">
        <f>VLOOKUP($B747,Sheet2!$A:$E,5,0)</f>
        <v>82</v>
      </c>
      <c r="G747">
        <f>VLOOKUP($B747,Sheet2!$A:$G,7,0)</f>
        <v>79</v>
      </c>
      <c r="H747">
        <f>VLOOKUP($B747,Sheet2!$A:$G,6,0)</f>
        <v>78</v>
      </c>
    </row>
    <row r="748" spans="1:8">
      <c r="A748">
        <v>231834</v>
      </c>
      <c r="B748" t="s">
        <v>755</v>
      </c>
      <c r="C748">
        <f>VLOOKUP($B748,Sheet2!$A:$E,2,0)</f>
        <v>106</v>
      </c>
      <c r="D748">
        <f>VLOOKUP($B748,Sheet2!$A:$E,3,0)</f>
        <v>107</v>
      </c>
      <c r="E748">
        <f>VLOOKUP($B748,Sheet2!$A:$E,4,0)</f>
        <v>113</v>
      </c>
      <c r="F748">
        <f>VLOOKUP($B748,Sheet2!$A:$E,5,0)</f>
        <v>88</v>
      </c>
      <c r="G748">
        <f>VLOOKUP($B748,Sheet2!$A:$G,7,0)</f>
        <v>79</v>
      </c>
      <c r="H748">
        <f>VLOOKUP($B748,Sheet2!$A:$G,6,0)</f>
        <v>80</v>
      </c>
    </row>
    <row r="749" spans="1:8">
      <c r="A749">
        <v>231835</v>
      </c>
      <c r="B749" t="s">
        <v>756</v>
      </c>
      <c r="C749">
        <f>VLOOKUP($B749,Sheet2!$A:$E,2,0)</f>
        <v>98</v>
      </c>
      <c r="D749">
        <f>VLOOKUP($B749,Sheet2!$A:$E,3,0)</f>
        <v>117</v>
      </c>
      <c r="E749">
        <f>VLOOKUP($B749,Sheet2!$A:$E,4,0)</f>
        <v>115.5</v>
      </c>
      <c r="F749">
        <f>VLOOKUP($B749,Sheet2!$A:$E,5,0)</f>
        <v>90</v>
      </c>
      <c r="G749">
        <f>VLOOKUP($B749,Sheet2!$A:$G,7,0)</f>
        <v>84</v>
      </c>
      <c r="H749">
        <f>VLOOKUP($B749,Sheet2!$A:$G,6,0)</f>
        <v>85</v>
      </c>
    </row>
    <row r="750" spans="1:8">
      <c r="A750">
        <v>231836</v>
      </c>
      <c r="B750" t="s">
        <v>757</v>
      </c>
      <c r="C750">
        <f>VLOOKUP($B750,Sheet2!$A:$E,2,0)</f>
        <v>96</v>
      </c>
      <c r="D750">
        <f>VLOOKUP($B750,Sheet2!$A:$E,3,0)</f>
        <v>107</v>
      </c>
      <c r="E750">
        <f>VLOOKUP($B750,Sheet2!$A:$E,4,0)</f>
        <v>110.5</v>
      </c>
      <c r="F750">
        <f>VLOOKUP($B750,Sheet2!$A:$E,5,0)</f>
        <v>85</v>
      </c>
      <c r="G750">
        <f>VLOOKUP($B750,Sheet2!$A:$G,7,0)</f>
        <v>86</v>
      </c>
      <c r="H750">
        <f>VLOOKUP($B750,Sheet2!$A:$G,6,0)</f>
        <v>81</v>
      </c>
    </row>
    <row r="751" spans="1:8">
      <c r="A751">
        <v>231837</v>
      </c>
      <c r="B751" t="s">
        <v>758</v>
      </c>
      <c r="C751">
        <f>VLOOKUP($B751,Sheet2!$A:$E,2,0)</f>
        <v>81</v>
      </c>
      <c r="D751">
        <f>VLOOKUP($B751,Sheet2!$A:$E,3,0)</f>
        <v>86</v>
      </c>
      <c r="E751">
        <f>VLOOKUP($B751,Sheet2!$A:$E,4,0)</f>
        <v>89.5</v>
      </c>
      <c r="F751">
        <f>VLOOKUP($B751,Sheet2!$A:$E,5,0)</f>
        <v>79</v>
      </c>
      <c r="G751">
        <f>VLOOKUP($B751,Sheet2!$A:$G,7,0)</f>
        <v>76</v>
      </c>
      <c r="H751">
        <f>VLOOKUP($B751,Sheet2!$A:$G,6,0)</f>
        <v>69</v>
      </c>
    </row>
    <row r="752" spans="1:8">
      <c r="A752">
        <v>231838</v>
      </c>
      <c r="B752" t="s">
        <v>759</v>
      </c>
      <c r="C752">
        <f>VLOOKUP($B752,Sheet2!$A:$E,2,0)</f>
        <v>93</v>
      </c>
      <c r="D752">
        <f>VLOOKUP($B752,Sheet2!$A:$E,3,0)</f>
        <v>118</v>
      </c>
      <c r="E752">
        <f>VLOOKUP($B752,Sheet2!$A:$E,4,0)</f>
        <v>118</v>
      </c>
      <c r="F752">
        <f>VLOOKUP($B752,Sheet2!$A:$E,5,0)</f>
        <v>87</v>
      </c>
      <c r="G752">
        <f>VLOOKUP($B752,Sheet2!$A:$G,7,0)</f>
        <v>78</v>
      </c>
      <c r="H752">
        <f>VLOOKUP($B752,Sheet2!$A:$G,6,0)</f>
        <v>81</v>
      </c>
    </row>
    <row r="753" spans="1:8">
      <c r="A753">
        <v>231839</v>
      </c>
      <c r="B753" t="s">
        <v>760</v>
      </c>
      <c r="C753">
        <f>VLOOKUP($B753,Sheet2!$A:$E,2,0)</f>
        <v>98</v>
      </c>
      <c r="D753">
        <f>VLOOKUP($B753,Sheet2!$A:$E,3,0)</f>
        <v>84</v>
      </c>
      <c r="E753">
        <f>VLOOKUP($B753,Sheet2!$A:$E,4,0)</f>
        <v>103.5</v>
      </c>
      <c r="F753">
        <f>VLOOKUP($B753,Sheet2!$A:$E,5,0)</f>
        <v>86</v>
      </c>
      <c r="G753">
        <f>VLOOKUP($B753,Sheet2!$A:$G,7,0)</f>
        <v>76</v>
      </c>
      <c r="H753">
        <f>VLOOKUP($B753,Sheet2!$A:$G,6,0)</f>
        <v>81</v>
      </c>
    </row>
    <row r="754" spans="1:8">
      <c r="A754">
        <v>231840</v>
      </c>
      <c r="B754" t="s">
        <v>761</v>
      </c>
      <c r="C754">
        <f>VLOOKUP($B754,Sheet2!$A:$E,2,0)</f>
        <v>102</v>
      </c>
      <c r="D754">
        <f>VLOOKUP($B754,Sheet2!$A:$E,3,0)</f>
        <v>105</v>
      </c>
      <c r="E754">
        <f>VLOOKUP($B754,Sheet2!$A:$E,4,0)</f>
        <v>114</v>
      </c>
      <c r="F754">
        <f>VLOOKUP($B754,Sheet2!$A:$E,5,0)</f>
        <v>87</v>
      </c>
      <c r="G754">
        <f>VLOOKUP($B754,Sheet2!$A:$G,7,0)</f>
        <v>80</v>
      </c>
      <c r="H754">
        <f>VLOOKUP($B754,Sheet2!$A:$G,6,0)</f>
        <v>76</v>
      </c>
    </row>
    <row r="755" spans="1:8">
      <c r="A755">
        <v>231841</v>
      </c>
      <c r="B755" t="s">
        <v>762</v>
      </c>
      <c r="C755">
        <f>VLOOKUP($B755,Sheet2!$A:$E,2,0)</f>
        <v>94</v>
      </c>
      <c r="D755">
        <f>VLOOKUP($B755,Sheet2!$A:$E,3,0)</f>
        <v>99</v>
      </c>
      <c r="E755">
        <f>VLOOKUP($B755,Sheet2!$A:$E,4,0)</f>
        <v>111</v>
      </c>
      <c r="F755">
        <f>VLOOKUP($B755,Sheet2!$A:$E,5,0)</f>
        <v>83</v>
      </c>
      <c r="G755">
        <f>VLOOKUP($B755,Sheet2!$A:$G,7,0)</f>
        <v>80</v>
      </c>
      <c r="H755">
        <f>VLOOKUP($B755,Sheet2!$A:$G,6,0)</f>
        <v>74</v>
      </c>
    </row>
    <row r="756" spans="1:8">
      <c r="A756">
        <v>231842</v>
      </c>
      <c r="B756" t="s">
        <v>763</v>
      </c>
      <c r="C756">
        <f>VLOOKUP($B756,Sheet2!$A:$E,2,0)</f>
        <v>97</v>
      </c>
      <c r="D756">
        <f>VLOOKUP($B756,Sheet2!$A:$E,3,0)</f>
        <v>100</v>
      </c>
      <c r="E756">
        <f>VLOOKUP($B756,Sheet2!$A:$E,4,0)</f>
        <v>114</v>
      </c>
      <c r="F756">
        <f>VLOOKUP($B756,Sheet2!$A:$E,5,0)</f>
        <v>89</v>
      </c>
      <c r="G756">
        <f>VLOOKUP($B756,Sheet2!$A:$G,7,0)</f>
        <v>76</v>
      </c>
      <c r="H756">
        <f>VLOOKUP($B756,Sheet2!$A:$G,6,0)</f>
        <v>79</v>
      </c>
    </row>
    <row r="757" spans="1:8">
      <c r="A757">
        <v>231843</v>
      </c>
      <c r="B757" t="s">
        <v>764</v>
      </c>
      <c r="C757">
        <f>VLOOKUP($B757,Sheet2!$A:$E,2,0)</f>
        <v>99</v>
      </c>
      <c r="D757">
        <f>VLOOKUP($B757,Sheet2!$A:$E,3,0)</f>
        <v>118</v>
      </c>
      <c r="E757">
        <f>VLOOKUP($B757,Sheet2!$A:$E,4,0)</f>
        <v>114.5</v>
      </c>
      <c r="F757">
        <f>VLOOKUP($B757,Sheet2!$A:$E,5,0)</f>
        <v>90</v>
      </c>
      <c r="G757">
        <f>VLOOKUP($B757,Sheet2!$A:$G,7,0)</f>
        <v>71</v>
      </c>
      <c r="H757">
        <f>VLOOKUP($B757,Sheet2!$A:$G,6,0)</f>
        <v>84</v>
      </c>
    </row>
    <row r="758" spans="1:8">
      <c r="A758">
        <v>231901</v>
      </c>
      <c r="B758" t="s">
        <v>765</v>
      </c>
      <c r="C758">
        <f>VLOOKUP($B758,Sheet2!$A:$E,2,0)</f>
        <v>110</v>
      </c>
      <c r="D758">
        <f>VLOOKUP($B758,Sheet2!$A:$E,3,0)</f>
        <v>110</v>
      </c>
      <c r="E758">
        <f>VLOOKUP($B758,Sheet2!$A:$E,4,0)</f>
        <v>106.5</v>
      </c>
      <c r="F758">
        <f>VLOOKUP($B758,Sheet2!$A:$E,5,0)</f>
        <v>85</v>
      </c>
      <c r="G758">
        <f>VLOOKUP($B758,Sheet2!$A:$G,7,0)</f>
        <v>76</v>
      </c>
      <c r="H758">
        <f>VLOOKUP($B758,Sheet2!$A:$G,6,0)</f>
        <v>76</v>
      </c>
    </row>
    <row r="759" spans="1:8">
      <c r="A759">
        <v>231902</v>
      </c>
      <c r="B759" t="s">
        <v>766</v>
      </c>
      <c r="C759">
        <f>VLOOKUP($B759,Sheet2!$A:$E,2,0)</f>
        <v>106</v>
      </c>
      <c r="D759">
        <f>VLOOKUP($B759,Sheet2!$A:$E,3,0)</f>
        <v>116</v>
      </c>
      <c r="E759">
        <f>VLOOKUP($B759,Sheet2!$A:$E,4,0)</f>
        <v>112.5</v>
      </c>
      <c r="F759">
        <f>VLOOKUP($B759,Sheet2!$A:$E,5,0)</f>
        <v>87</v>
      </c>
      <c r="G759">
        <f>VLOOKUP($B759,Sheet2!$A:$G,7,0)</f>
        <v>89</v>
      </c>
      <c r="H759">
        <f>VLOOKUP($B759,Sheet2!$A:$G,6,0)</f>
        <v>79</v>
      </c>
    </row>
    <row r="760" spans="1:8">
      <c r="A760">
        <v>231903</v>
      </c>
      <c r="B760" t="s">
        <v>767</v>
      </c>
      <c r="C760">
        <f>VLOOKUP($B760,Sheet2!$A:$E,2,0)</f>
        <v>105</v>
      </c>
      <c r="D760">
        <f>VLOOKUP($B760,Sheet2!$A:$E,3,0)</f>
        <v>120</v>
      </c>
      <c r="E760">
        <f>VLOOKUP($B760,Sheet2!$A:$E,4,0)</f>
        <v>118</v>
      </c>
      <c r="F760">
        <f>VLOOKUP($B760,Sheet2!$A:$E,5,0)</f>
        <v>90</v>
      </c>
      <c r="G760">
        <f>VLOOKUP($B760,Sheet2!$A:$G,7,0)</f>
        <v>83</v>
      </c>
      <c r="H760">
        <f>VLOOKUP($B760,Sheet2!$A:$G,6,0)</f>
        <v>78</v>
      </c>
    </row>
    <row r="761" spans="1:8">
      <c r="A761">
        <v>231904</v>
      </c>
      <c r="B761" t="s">
        <v>768</v>
      </c>
      <c r="C761">
        <f>VLOOKUP($B761,Sheet2!$A:$E,2,0)</f>
        <v>96</v>
      </c>
      <c r="D761">
        <f>VLOOKUP($B761,Sheet2!$A:$E,3,0)</f>
        <v>97</v>
      </c>
      <c r="E761">
        <f>VLOOKUP($B761,Sheet2!$A:$E,4,0)</f>
        <v>102.5</v>
      </c>
      <c r="F761">
        <f>VLOOKUP($B761,Sheet2!$A:$E,5,0)</f>
        <v>88</v>
      </c>
      <c r="G761">
        <f>VLOOKUP($B761,Sheet2!$A:$G,7,0)</f>
        <v>69</v>
      </c>
      <c r="H761">
        <f>VLOOKUP($B761,Sheet2!$A:$G,6,0)</f>
        <v>85</v>
      </c>
    </row>
    <row r="762" spans="1:8">
      <c r="A762">
        <v>231905</v>
      </c>
      <c r="B762" t="s">
        <v>769</v>
      </c>
      <c r="C762">
        <f>VLOOKUP($B762,Sheet2!$A:$E,2,0)</f>
        <v>97.5</v>
      </c>
      <c r="D762">
        <f>VLOOKUP($B762,Sheet2!$A:$E,3,0)</f>
        <v>109</v>
      </c>
      <c r="E762">
        <f>VLOOKUP($B762,Sheet2!$A:$E,4,0)</f>
        <v>99</v>
      </c>
      <c r="F762">
        <f>VLOOKUP($B762,Sheet2!$A:$E,5,0)</f>
        <v>85</v>
      </c>
      <c r="G762">
        <f>VLOOKUP($B762,Sheet2!$A:$G,7,0)</f>
        <v>75</v>
      </c>
      <c r="H762">
        <f>VLOOKUP($B762,Sheet2!$A:$G,6,0)</f>
        <v>87</v>
      </c>
    </row>
    <row r="763" spans="1:8">
      <c r="A763">
        <v>231906</v>
      </c>
      <c r="B763" t="s">
        <v>770</v>
      </c>
      <c r="C763">
        <f>VLOOKUP($B763,Sheet2!$A:$E,2,0)</f>
        <v>109</v>
      </c>
      <c r="D763">
        <f>VLOOKUP($B763,Sheet2!$A:$E,3,0)</f>
        <v>105</v>
      </c>
      <c r="E763">
        <f>VLOOKUP($B763,Sheet2!$A:$E,4,0)</f>
        <v>109</v>
      </c>
      <c r="F763">
        <f>VLOOKUP($B763,Sheet2!$A:$E,5,0)</f>
        <v>88</v>
      </c>
      <c r="G763">
        <f>VLOOKUP($B763,Sheet2!$A:$G,7,0)</f>
        <v>82</v>
      </c>
      <c r="H763">
        <f>VLOOKUP($B763,Sheet2!$A:$G,6,0)</f>
        <v>82</v>
      </c>
    </row>
    <row r="764" spans="1:8">
      <c r="A764">
        <v>231907</v>
      </c>
      <c r="B764" t="s">
        <v>771</v>
      </c>
      <c r="C764">
        <f>VLOOKUP($B764,Sheet2!$A:$E,2,0)</f>
        <v>104</v>
      </c>
      <c r="D764">
        <f>VLOOKUP($B764,Sheet2!$A:$E,3,0)</f>
        <v>119</v>
      </c>
      <c r="E764">
        <f>VLOOKUP($B764,Sheet2!$A:$E,4,0)</f>
        <v>114</v>
      </c>
      <c r="F764">
        <f>VLOOKUP($B764,Sheet2!$A:$E,5,0)</f>
        <v>87</v>
      </c>
      <c r="G764">
        <f>VLOOKUP($B764,Sheet2!$A:$G,7,0)</f>
        <v>85</v>
      </c>
      <c r="H764">
        <f>VLOOKUP($B764,Sheet2!$A:$G,6,0)</f>
        <v>87</v>
      </c>
    </row>
    <row r="765" spans="1:8">
      <c r="A765">
        <v>231908</v>
      </c>
      <c r="B765" t="s">
        <v>772</v>
      </c>
      <c r="C765">
        <f>VLOOKUP($B765,Sheet2!$A:$E,2,0)</f>
        <v>101.5</v>
      </c>
      <c r="D765">
        <f>VLOOKUP($B765,Sheet2!$A:$E,3,0)</f>
        <v>95</v>
      </c>
      <c r="E765">
        <f>VLOOKUP($B765,Sheet2!$A:$E,4,0)</f>
        <v>111</v>
      </c>
      <c r="F765">
        <f>VLOOKUP($B765,Sheet2!$A:$E,5,0)</f>
        <v>89</v>
      </c>
      <c r="G765">
        <f>VLOOKUP($B765,Sheet2!$A:$G,7,0)</f>
        <v>69</v>
      </c>
      <c r="H765">
        <f>VLOOKUP($B765,Sheet2!$A:$G,6,0)</f>
        <v>84</v>
      </c>
    </row>
    <row r="766" spans="1:8">
      <c r="A766">
        <v>231909</v>
      </c>
      <c r="B766" t="s">
        <v>773</v>
      </c>
      <c r="C766">
        <f>VLOOKUP($B766,Sheet2!$A:$E,2,0)</f>
        <v>114</v>
      </c>
      <c r="D766">
        <f>VLOOKUP($B766,Sheet2!$A:$E,3,0)</f>
        <v>119</v>
      </c>
      <c r="E766">
        <f>VLOOKUP($B766,Sheet2!$A:$E,4,0)</f>
        <v>113.5</v>
      </c>
      <c r="F766">
        <f>VLOOKUP($B766,Sheet2!$A:$E,5,0)</f>
        <v>88</v>
      </c>
      <c r="G766">
        <f>VLOOKUP($B766,Sheet2!$A:$G,7,0)</f>
        <v>84</v>
      </c>
      <c r="H766">
        <f>VLOOKUP($B766,Sheet2!$A:$G,6,0)</f>
        <v>90</v>
      </c>
    </row>
    <row r="767" spans="1:8">
      <c r="A767">
        <v>231910</v>
      </c>
      <c r="B767" t="s">
        <v>774</v>
      </c>
      <c r="C767">
        <f>VLOOKUP($B767,Sheet2!$A:$E,2,0)</f>
        <v>96.5</v>
      </c>
      <c r="D767">
        <f>VLOOKUP($B767,Sheet2!$A:$E,3,0)</f>
        <v>116</v>
      </c>
      <c r="E767">
        <f>VLOOKUP($B767,Sheet2!$A:$E,4,0)</f>
        <v>113.5</v>
      </c>
      <c r="F767">
        <f>VLOOKUP($B767,Sheet2!$A:$E,5,0)</f>
        <v>90</v>
      </c>
      <c r="G767">
        <f>VLOOKUP($B767,Sheet2!$A:$G,7,0)</f>
        <v>75</v>
      </c>
      <c r="H767">
        <f>VLOOKUP($B767,Sheet2!$A:$G,6,0)</f>
        <v>79</v>
      </c>
    </row>
    <row r="768" spans="1:8">
      <c r="A768">
        <v>231911</v>
      </c>
      <c r="B768" t="s">
        <v>775</v>
      </c>
      <c r="C768">
        <f>VLOOKUP($B768,Sheet2!$A:$E,2,0)</f>
        <v>94</v>
      </c>
      <c r="D768">
        <f>VLOOKUP($B768,Sheet2!$A:$E,3,0)</f>
        <v>101</v>
      </c>
      <c r="E768">
        <f>VLOOKUP($B768,Sheet2!$A:$E,4,0)</f>
        <v>109.5</v>
      </c>
      <c r="F768">
        <f>VLOOKUP($B768,Sheet2!$A:$E,5,0)</f>
        <v>88</v>
      </c>
      <c r="G768">
        <f>VLOOKUP($B768,Sheet2!$A:$G,7,0)</f>
        <v>84</v>
      </c>
      <c r="H768">
        <f>VLOOKUP($B768,Sheet2!$A:$G,6,0)</f>
        <v>80</v>
      </c>
    </row>
    <row r="769" spans="1:8">
      <c r="A769">
        <v>231912</v>
      </c>
      <c r="B769" t="s">
        <v>776</v>
      </c>
      <c r="C769">
        <f>VLOOKUP($B769,Sheet2!$A:$E,2,0)</f>
        <v>106.5</v>
      </c>
      <c r="D769">
        <f>VLOOKUP($B769,Sheet2!$A:$E,3,0)</f>
        <v>105</v>
      </c>
      <c r="E769">
        <f>VLOOKUP($B769,Sheet2!$A:$E,4,0)</f>
        <v>113</v>
      </c>
      <c r="F769">
        <f>VLOOKUP($B769,Sheet2!$A:$E,5,0)</f>
        <v>88</v>
      </c>
      <c r="G769">
        <f>VLOOKUP($B769,Sheet2!$A:$G,7,0)</f>
        <v>81</v>
      </c>
      <c r="H769">
        <f>VLOOKUP($B769,Sheet2!$A:$G,6,0)</f>
        <v>81</v>
      </c>
    </row>
    <row r="770" spans="1:8">
      <c r="A770">
        <v>231914</v>
      </c>
      <c r="B770" t="s">
        <v>777</v>
      </c>
      <c r="C770">
        <f>VLOOKUP($B770,Sheet2!$A:$E,2,0)</f>
        <v>96</v>
      </c>
      <c r="D770">
        <f>VLOOKUP($B770,Sheet2!$A:$E,3,0)</f>
        <v>106</v>
      </c>
      <c r="E770">
        <f>VLOOKUP($B770,Sheet2!$A:$E,4,0)</f>
        <v>115</v>
      </c>
      <c r="F770">
        <f>VLOOKUP($B770,Sheet2!$A:$E,5,0)</f>
        <v>86</v>
      </c>
      <c r="G770">
        <f>VLOOKUP($B770,Sheet2!$A:$G,7,0)</f>
        <v>79</v>
      </c>
      <c r="H770">
        <f>VLOOKUP($B770,Sheet2!$A:$G,6,0)</f>
        <v>82</v>
      </c>
    </row>
    <row r="771" spans="1:8">
      <c r="A771">
        <v>231915</v>
      </c>
      <c r="B771" t="s">
        <v>778</v>
      </c>
      <c r="C771">
        <f>VLOOKUP($B771,Sheet2!$A:$E,2,0)</f>
        <v>101</v>
      </c>
      <c r="D771">
        <f>VLOOKUP($B771,Sheet2!$A:$E,3,0)</f>
        <v>112</v>
      </c>
      <c r="E771">
        <f>VLOOKUP($B771,Sheet2!$A:$E,4,0)</f>
        <v>109.5</v>
      </c>
      <c r="F771">
        <f>VLOOKUP($B771,Sheet2!$A:$E,5,0)</f>
        <v>90</v>
      </c>
      <c r="G771">
        <f>VLOOKUP($B771,Sheet2!$A:$G,7,0)</f>
        <v>79</v>
      </c>
      <c r="H771">
        <f>VLOOKUP($B771,Sheet2!$A:$G,6,0)</f>
        <v>89</v>
      </c>
    </row>
    <row r="772" spans="1:8">
      <c r="A772">
        <v>231916</v>
      </c>
      <c r="B772" t="s">
        <v>779</v>
      </c>
      <c r="C772">
        <f>VLOOKUP($B772,Sheet2!$A:$E,2,0)</f>
        <v>101</v>
      </c>
      <c r="D772">
        <f>VLOOKUP($B772,Sheet2!$A:$E,3,0)</f>
        <v>105</v>
      </c>
      <c r="E772">
        <f>VLOOKUP($B772,Sheet2!$A:$E,4,0)</f>
        <v>112</v>
      </c>
      <c r="F772">
        <f>VLOOKUP($B772,Sheet2!$A:$E,5,0)</f>
        <v>89</v>
      </c>
      <c r="G772">
        <f>VLOOKUP($B772,Sheet2!$A:$G,7,0)</f>
        <v>87</v>
      </c>
      <c r="H772">
        <f>VLOOKUP($B772,Sheet2!$A:$G,6,0)</f>
        <v>80</v>
      </c>
    </row>
    <row r="773" spans="1:8">
      <c r="A773">
        <v>231917</v>
      </c>
      <c r="B773" t="s">
        <v>780</v>
      </c>
      <c r="C773">
        <f>VLOOKUP($B773,Sheet2!$A:$E,2,0)</f>
        <v>95</v>
      </c>
      <c r="D773">
        <f>VLOOKUP($B773,Sheet2!$A:$E,3,0)</f>
        <v>102</v>
      </c>
      <c r="E773">
        <f>VLOOKUP($B773,Sheet2!$A:$E,4,0)</f>
        <v>112</v>
      </c>
      <c r="F773">
        <f>VLOOKUP($B773,Sheet2!$A:$E,5,0)</f>
        <v>84</v>
      </c>
      <c r="G773">
        <f>VLOOKUP($B773,Sheet2!$A:$G,7,0)</f>
        <v>77</v>
      </c>
      <c r="H773">
        <f>VLOOKUP($B773,Sheet2!$A:$G,6,0)</f>
        <v>84</v>
      </c>
    </row>
    <row r="774" spans="1:8">
      <c r="A774">
        <v>231918</v>
      </c>
      <c r="B774" t="s">
        <v>781</v>
      </c>
      <c r="C774">
        <f>VLOOKUP($B774,Sheet2!$A:$E,2,0)</f>
        <v>98</v>
      </c>
      <c r="D774">
        <f>VLOOKUP($B774,Sheet2!$A:$E,3,0)</f>
        <v>100</v>
      </c>
      <c r="E774">
        <f>VLOOKUP($B774,Sheet2!$A:$E,4,0)</f>
        <v>99.5</v>
      </c>
      <c r="F774">
        <f>VLOOKUP($B774,Sheet2!$A:$E,5,0)</f>
        <v>87</v>
      </c>
      <c r="G774">
        <f>VLOOKUP($B774,Sheet2!$A:$G,7,0)</f>
        <v>82</v>
      </c>
      <c r="H774">
        <f>VLOOKUP($B774,Sheet2!$A:$G,6,0)</f>
        <v>77</v>
      </c>
    </row>
    <row r="775" spans="1:8">
      <c r="A775">
        <v>231919</v>
      </c>
      <c r="B775" t="s">
        <v>782</v>
      </c>
      <c r="C775">
        <f>VLOOKUP($B775,Sheet2!$A:$E,2,0)</f>
        <v>102</v>
      </c>
      <c r="D775">
        <f>VLOOKUP($B775,Sheet2!$A:$E,3,0)</f>
        <v>116</v>
      </c>
      <c r="E775">
        <f>VLOOKUP($B775,Sheet2!$A:$E,4,0)</f>
        <v>110.5</v>
      </c>
      <c r="F775">
        <f>VLOOKUP($B775,Sheet2!$A:$E,5,0)</f>
        <v>88</v>
      </c>
      <c r="G775">
        <f>VLOOKUP($B775,Sheet2!$A:$G,7,0)</f>
        <v>79</v>
      </c>
      <c r="H775">
        <f>VLOOKUP($B775,Sheet2!$A:$G,6,0)</f>
        <v>88</v>
      </c>
    </row>
    <row r="776" spans="1:8">
      <c r="A776">
        <v>231920</v>
      </c>
      <c r="B776" t="s">
        <v>783</v>
      </c>
      <c r="C776">
        <f>VLOOKUP($B776,Sheet2!$A:$E,2,0)</f>
        <v>100</v>
      </c>
      <c r="D776">
        <f>VLOOKUP($B776,Sheet2!$A:$E,3,0)</f>
        <v>108</v>
      </c>
      <c r="E776">
        <f>VLOOKUP($B776,Sheet2!$A:$E,4,0)</f>
        <v>112</v>
      </c>
      <c r="F776">
        <f>VLOOKUP($B776,Sheet2!$A:$E,5,0)</f>
        <v>88</v>
      </c>
      <c r="G776">
        <f>VLOOKUP($B776,Sheet2!$A:$G,7,0)</f>
        <v>87</v>
      </c>
      <c r="H776">
        <f>VLOOKUP($B776,Sheet2!$A:$G,6,0)</f>
        <v>84</v>
      </c>
    </row>
    <row r="777" spans="1:8">
      <c r="A777">
        <v>231921</v>
      </c>
      <c r="B777" t="s">
        <v>784</v>
      </c>
      <c r="C777">
        <f>VLOOKUP($B777,Sheet2!$A:$E,2,0)</f>
        <v>109</v>
      </c>
      <c r="D777">
        <f>VLOOKUP($B777,Sheet2!$A:$E,3,0)</f>
        <v>106</v>
      </c>
      <c r="E777">
        <f>VLOOKUP($B777,Sheet2!$A:$E,4,0)</f>
        <v>116.5</v>
      </c>
      <c r="F777">
        <f>VLOOKUP($B777,Sheet2!$A:$E,5,0)</f>
        <v>90</v>
      </c>
      <c r="G777">
        <f>VLOOKUP($B777,Sheet2!$A:$G,7,0)</f>
        <v>84</v>
      </c>
      <c r="H777">
        <f>VLOOKUP($B777,Sheet2!$A:$G,6,0)</f>
        <v>81</v>
      </c>
    </row>
    <row r="778" spans="1:8">
      <c r="A778">
        <v>231922</v>
      </c>
      <c r="B778" t="s">
        <v>785</v>
      </c>
      <c r="C778">
        <f>VLOOKUP($B778,Sheet2!$A:$E,2,0)</f>
        <v>101.5</v>
      </c>
      <c r="D778">
        <f>VLOOKUP($B778,Sheet2!$A:$E,3,0)</f>
        <v>116</v>
      </c>
      <c r="E778">
        <f>VLOOKUP($B778,Sheet2!$A:$E,4,0)</f>
        <v>118</v>
      </c>
      <c r="F778">
        <f>VLOOKUP($B778,Sheet2!$A:$E,5,0)</f>
        <v>87</v>
      </c>
      <c r="G778">
        <f>VLOOKUP($B778,Sheet2!$A:$G,7,0)</f>
        <v>79</v>
      </c>
      <c r="H778">
        <f>VLOOKUP($B778,Sheet2!$A:$G,6,0)</f>
        <v>87</v>
      </c>
    </row>
    <row r="779" spans="1:8">
      <c r="A779">
        <v>231923</v>
      </c>
      <c r="B779" t="s">
        <v>786</v>
      </c>
      <c r="C779">
        <f>VLOOKUP($B779,Sheet2!$A:$E,2,0)</f>
        <v>117</v>
      </c>
      <c r="D779">
        <f>VLOOKUP($B779,Sheet2!$A:$E,3,0)</f>
        <v>116</v>
      </c>
      <c r="E779">
        <f>VLOOKUP($B779,Sheet2!$A:$E,4,0)</f>
        <v>113</v>
      </c>
      <c r="F779">
        <f>VLOOKUP($B779,Sheet2!$A:$E,5,0)</f>
        <v>89</v>
      </c>
      <c r="G779">
        <f>VLOOKUP($B779,Sheet2!$A:$G,7,0)</f>
        <v>84</v>
      </c>
      <c r="H779">
        <f>VLOOKUP($B779,Sheet2!$A:$G,6,0)</f>
        <v>86</v>
      </c>
    </row>
    <row r="780" spans="1:8">
      <c r="A780">
        <v>231924</v>
      </c>
      <c r="B780" t="s">
        <v>787</v>
      </c>
      <c r="C780">
        <f>VLOOKUP($B780,Sheet2!$A:$E,2,0)</f>
        <v>115</v>
      </c>
      <c r="D780">
        <f>VLOOKUP($B780,Sheet2!$A:$E,3,0)</f>
        <v>118</v>
      </c>
      <c r="E780">
        <f>VLOOKUP($B780,Sheet2!$A:$E,4,0)</f>
        <v>115.5</v>
      </c>
      <c r="F780">
        <f>VLOOKUP($B780,Sheet2!$A:$E,5,0)</f>
        <v>88</v>
      </c>
      <c r="G780">
        <f>VLOOKUP($B780,Sheet2!$A:$G,7,0)</f>
        <v>82</v>
      </c>
      <c r="H780">
        <f>VLOOKUP($B780,Sheet2!$A:$G,6,0)</f>
        <v>87</v>
      </c>
    </row>
    <row r="781" spans="1:8">
      <c r="A781">
        <v>231925</v>
      </c>
      <c r="B781" t="s">
        <v>788</v>
      </c>
      <c r="C781">
        <f>VLOOKUP($B781,Sheet2!$A:$E,2,0)</f>
        <v>103</v>
      </c>
      <c r="D781">
        <f>VLOOKUP($B781,Sheet2!$A:$E,3,0)</f>
        <v>112</v>
      </c>
      <c r="E781">
        <f>VLOOKUP($B781,Sheet2!$A:$E,4,0)</f>
        <v>111.5</v>
      </c>
      <c r="F781">
        <f>VLOOKUP($B781,Sheet2!$A:$E,5,0)</f>
        <v>90</v>
      </c>
      <c r="G781">
        <f>VLOOKUP($B781,Sheet2!$A:$G,7,0)</f>
        <v>81</v>
      </c>
      <c r="H781">
        <f>VLOOKUP($B781,Sheet2!$A:$G,6,0)</f>
        <v>83</v>
      </c>
    </row>
    <row r="782" spans="1:8">
      <c r="A782">
        <v>231926</v>
      </c>
      <c r="B782" t="s">
        <v>789</v>
      </c>
      <c r="C782">
        <f>VLOOKUP($B782,Sheet2!$A:$E,2,0)</f>
        <v>113</v>
      </c>
      <c r="D782">
        <f>VLOOKUP($B782,Sheet2!$A:$E,3,0)</f>
        <v>117</v>
      </c>
      <c r="E782">
        <f>VLOOKUP($B782,Sheet2!$A:$E,4,0)</f>
        <v>114</v>
      </c>
      <c r="F782">
        <f>VLOOKUP($B782,Sheet2!$A:$E,5,0)</f>
        <v>89</v>
      </c>
      <c r="G782">
        <f>VLOOKUP($B782,Sheet2!$A:$G,7,0)</f>
        <v>75</v>
      </c>
      <c r="H782">
        <f>VLOOKUP($B782,Sheet2!$A:$G,6,0)</f>
        <v>88</v>
      </c>
    </row>
    <row r="783" spans="1:8">
      <c r="A783">
        <v>231927</v>
      </c>
      <c r="B783" t="s">
        <v>790</v>
      </c>
      <c r="C783">
        <f>VLOOKUP($B783,Sheet2!$A:$E,2,0)</f>
        <v>104</v>
      </c>
      <c r="D783">
        <f>VLOOKUP($B783,Sheet2!$A:$E,3,0)</f>
        <v>111</v>
      </c>
      <c r="E783">
        <f>VLOOKUP($B783,Sheet2!$A:$E,4,0)</f>
        <v>112</v>
      </c>
      <c r="F783">
        <f>VLOOKUP($B783,Sheet2!$A:$E,5,0)</f>
        <v>85</v>
      </c>
      <c r="G783">
        <f>VLOOKUP($B783,Sheet2!$A:$G,7,0)</f>
        <v>74</v>
      </c>
      <c r="H783">
        <f>VLOOKUP($B783,Sheet2!$A:$G,6,0)</f>
        <v>81</v>
      </c>
    </row>
    <row r="784" spans="1:8">
      <c r="A784">
        <v>231928</v>
      </c>
      <c r="B784" t="s">
        <v>791</v>
      </c>
      <c r="C784">
        <f>VLOOKUP($B784,Sheet2!$A:$E,2,0)</f>
        <v>113</v>
      </c>
      <c r="D784">
        <f>VLOOKUP($B784,Sheet2!$A:$E,3,0)</f>
        <v>107</v>
      </c>
      <c r="E784">
        <f>VLOOKUP($B784,Sheet2!$A:$E,4,0)</f>
        <v>115</v>
      </c>
      <c r="F784">
        <f>VLOOKUP($B784,Sheet2!$A:$E,5,0)</f>
        <v>85</v>
      </c>
      <c r="G784">
        <f>VLOOKUP($B784,Sheet2!$A:$G,7,0)</f>
        <v>76</v>
      </c>
      <c r="H784">
        <f>VLOOKUP($B784,Sheet2!$A:$G,6,0)</f>
        <v>86</v>
      </c>
    </row>
    <row r="785" spans="1:8">
      <c r="A785">
        <v>231929</v>
      </c>
      <c r="B785" t="s">
        <v>792</v>
      </c>
      <c r="C785">
        <f>VLOOKUP($B785,Sheet2!$A:$E,2,0)</f>
        <v>117.5</v>
      </c>
      <c r="D785">
        <f>VLOOKUP($B785,Sheet2!$A:$E,3,0)</f>
        <v>114</v>
      </c>
      <c r="E785">
        <f>VLOOKUP($B785,Sheet2!$A:$E,4,0)</f>
        <v>115</v>
      </c>
      <c r="F785">
        <f>VLOOKUP($B785,Sheet2!$A:$E,5,0)</f>
        <v>87</v>
      </c>
      <c r="G785">
        <f>VLOOKUP($B785,Sheet2!$A:$G,7,0)</f>
        <v>80</v>
      </c>
      <c r="H785">
        <f>VLOOKUP($B785,Sheet2!$A:$G,6,0)</f>
        <v>85</v>
      </c>
    </row>
    <row r="786" spans="1:8">
      <c r="A786">
        <v>231930</v>
      </c>
      <c r="B786" t="s">
        <v>793</v>
      </c>
      <c r="C786">
        <f>VLOOKUP($B786,Sheet2!$A:$E,2,0)</f>
        <v>96</v>
      </c>
      <c r="D786">
        <f>VLOOKUP($B786,Sheet2!$A:$E,3,0)</f>
        <v>119</v>
      </c>
      <c r="E786">
        <f>VLOOKUP($B786,Sheet2!$A:$E,4,0)</f>
        <v>110</v>
      </c>
      <c r="F786">
        <f>VLOOKUP($B786,Sheet2!$A:$E,5,0)</f>
        <v>86</v>
      </c>
      <c r="G786">
        <f>VLOOKUP($B786,Sheet2!$A:$G,7,0)</f>
        <v>84</v>
      </c>
      <c r="H786">
        <f>VLOOKUP($B786,Sheet2!$A:$G,6,0)</f>
        <v>85</v>
      </c>
    </row>
    <row r="787" spans="1:8">
      <c r="A787">
        <v>231931</v>
      </c>
      <c r="B787" t="s">
        <v>794</v>
      </c>
      <c r="C787">
        <f>VLOOKUP($B787,Sheet2!$A:$E,2,0)</f>
        <v>106</v>
      </c>
      <c r="D787">
        <f>VLOOKUP($B787,Sheet2!$A:$E,3,0)</f>
        <v>109</v>
      </c>
      <c r="E787">
        <f>VLOOKUP($B787,Sheet2!$A:$E,4,0)</f>
        <v>116.5</v>
      </c>
      <c r="F787">
        <f>VLOOKUP($B787,Sheet2!$A:$E,5,0)</f>
        <v>90</v>
      </c>
      <c r="G787">
        <f>VLOOKUP($B787,Sheet2!$A:$G,7,0)</f>
        <v>85</v>
      </c>
      <c r="H787">
        <f>VLOOKUP($B787,Sheet2!$A:$G,6,0)</f>
        <v>79</v>
      </c>
    </row>
    <row r="788" spans="1:8">
      <c r="A788">
        <v>231932</v>
      </c>
      <c r="B788" t="s">
        <v>795</v>
      </c>
      <c r="C788">
        <f>VLOOKUP($B788,Sheet2!$A:$E,2,0)</f>
        <v>101</v>
      </c>
      <c r="D788">
        <f>VLOOKUP($B788,Sheet2!$A:$E,3,0)</f>
        <v>113</v>
      </c>
      <c r="E788">
        <f>VLOOKUP($B788,Sheet2!$A:$E,4,0)</f>
        <v>115</v>
      </c>
      <c r="F788">
        <f>VLOOKUP($B788,Sheet2!$A:$E,5,0)</f>
        <v>90</v>
      </c>
      <c r="G788">
        <f>VLOOKUP($B788,Sheet2!$A:$G,7,0)</f>
        <v>85</v>
      </c>
      <c r="H788">
        <f>VLOOKUP($B788,Sheet2!$A:$G,6,0)</f>
        <v>87</v>
      </c>
    </row>
    <row r="789" spans="1:8">
      <c r="A789">
        <v>231933</v>
      </c>
      <c r="B789" t="s">
        <v>796</v>
      </c>
      <c r="C789">
        <f>VLOOKUP($B789,Sheet2!$A:$E,2,0)</f>
        <v>100</v>
      </c>
      <c r="D789">
        <f>VLOOKUP($B789,Sheet2!$A:$E,3,0)</f>
        <v>109</v>
      </c>
      <c r="E789">
        <f>VLOOKUP($B789,Sheet2!$A:$E,4,0)</f>
        <v>115.5</v>
      </c>
      <c r="F789">
        <f>VLOOKUP($B789,Sheet2!$A:$E,5,0)</f>
        <v>88</v>
      </c>
      <c r="G789">
        <f>VLOOKUP($B789,Sheet2!$A:$G,7,0)</f>
        <v>82</v>
      </c>
      <c r="H789">
        <f>VLOOKUP($B789,Sheet2!$A:$G,6,0)</f>
        <v>82</v>
      </c>
    </row>
    <row r="790" spans="1:8">
      <c r="A790">
        <v>231934</v>
      </c>
      <c r="B790" t="s">
        <v>797</v>
      </c>
      <c r="C790">
        <f>VLOOKUP($B790,Sheet2!$A:$E,2,0)</f>
        <v>100</v>
      </c>
      <c r="D790">
        <f>VLOOKUP($B790,Sheet2!$A:$E,3,0)</f>
        <v>112</v>
      </c>
      <c r="E790">
        <f>VLOOKUP($B790,Sheet2!$A:$E,4,0)</f>
        <v>111</v>
      </c>
      <c r="F790">
        <f>VLOOKUP($B790,Sheet2!$A:$E,5,0)</f>
        <v>86</v>
      </c>
      <c r="G790">
        <f>VLOOKUP($B790,Sheet2!$A:$G,7,0)</f>
        <v>79</v>
      </c>
      <c r="H790">
        <f>VLOOKUP($B790,Sheet2!$A:$G,6,0)</f>
        <v>82</v>
      </c>
    </row>
    <row r="791" spans="1:8">
      <c r="A791">
        <v>231935</v>
      </c>
      <c r="B791" t="s">
        <v>798</v>
      </c>
      <c r="C791">
        <f>VLOOKUP($B791,Sheet2!$A:$E,2,0)</f>
        <v>113</v>
      </c>
      <c r="D791">
        <f>VLOOKUP($B791,Sheet2!$A:$E,3,0)</f>
        <v>112</v>
      </c>
      <c r="E791">
        <f>VLOOKUP($B791,Sheet2!$A:$E,4,0)</f>
        <v>106</v>
      </c>
      <c r="F791">
        <f>VLOOKUP($B791,Sheet2!$A:$E,5,0)</f>
        <v>89</v>
      </c>
      <c r="G791">
        <f>VLOOKUP($B791,Sheet2!$A:$G,7,0)</f>
        <v>81</v>
      </c>
      <c r="H791">
        <f>VLOOKUP($B791,Sheet2!$A:$G,6,0)</f>
        <v>89</v>
      </c>
    </row>
    <row r="792" spans="1:8">
      <c r="A792">
        <v>231936</v>
      </c>
      <c r="B792" t="s">
        <v>799</v>
      </c>
      <c r="C792">
        <f>VLOOKUP($B792,Sheet2!$A:$E,2,0)</f>
        <v>97.5</v>
      </c>
      <c r="D792">
        <f>VLOOKUP($B792,Sheet2!$A:$E,3,0)</f>
        <v>103</v>
      </c>
      <c r="E792">
        <f>VLOOKUP($B792,Sheet2!$A:$E,4,0)</f>
        <v>108.5</v>
      </c>
      <c r="F792">
        <f>VLOOKUP($B792,Sheet2!$A:$E,5,0)</f>
        <v>87</v>
      </c>
      <c r="G792">
        <f>VLOOKUP($B792,Sheet2!$A:$G,7,0)</f>
        <v>71</v>
      </c>
      <c r="H792">
        <f>VLOOKUP($B792,Sheet2!$A:$G,6,0)</f>
        <v>81</v>
      </c>
    </row>
    <row r="793" spans="1:8">
      <c r="A793">
        <v>231937</v>
      </c>
      <c r="B793" t="s">
        <v>800</v>
      </c>
      <c r="C793">
        <f>VLOOKUP($B793,Sheet2!$A:$E,2,0)</f>
        <v>104</v>
      </c>
      <c r="D793">
        <f>VLOOKUP($B793,Sheet2!$A:$E,3,0)</f>
        <v>95</v>
      </c>
      <c r="E793">
        <f>VLOOKUP($B793,Sheet2!$A:$E,4,0)</f>
        <v>111</v>
      </c>
      <c r="F793">
        <f>VLOOKUP($B793,Sheet2!$A:$E,5,0)</f>
        <v>86</v>
      </c>
      <c r="G793">
        <f>VLOOKUP($B793,Sheet2!$A:$G,7,0)</f>
        <v>78</v>
      </c>
      <c r="H793">
        <f>VLOOKUP($B793,Sheet2!$A:$G,6,0)</f>
        <v>79</v>
      </c>
    </row>
    <row r="794" spans="1:8">
      <c r="A794">
        <v>231938</v>
      </c>
      <c r="B794" t="s">
        <v>801</v>
      </c>
      <c r="C794">
        <f>VLOOKUP($B794,Sheet2!$A:$E,2,0)</f>
        <v>102</v>
      </c>
      <c r="D794">
        <f>VLOOKUP($B794,Sheet2!$A:$E,3,0)</f>
        <v>96</v>
      </c>
      <c r="E794">
        <f>VLOOKUP($B794,Sheet2!$A:$E,4,0)</f>
        <v>109</v>
      </c>
      <c r="F794">
        <f>VLOOKUP($B794,Sheet2!$A:$E,5,0)</f>
        <v>85</v>
      </c>
      <c r="G794">
        <f>VLOOKUP($B794,Sheet2!$A:$G,7,0)</f>
        <v>75</v>
      </c>
      <c r="H794">
        <f>VLOOKUP($B794,Sheet2!$A:$G,6,0)</f>
        <v>80</v>
      </c>
    </row>
    <row r="795" spans="1:8">
      <c r="A795">
        <v>231939</v>
      </c>
      <c r="B795" t="s">
        <v>802</v>
      </c>
      <c r="C795">
        <f>VLOOKUP($B795,Sheet2!$A:$E,2,0)</f>
        <v>99</v>
      </c>
      <c r="D795">
        <f>VLOOKUP($B795,Sheet2!$A:$E,3,0)</f>
        <v>110</v>
      </c>
      <c r="E795">
        <f>VLOOKUP($B795,Sheet2!$A:$E,4,0)</f>
        <v>110</v>
      </c>
      <c r="F795">
        <f>VLOOKUP($B795,Sheet2!$A:$E,5,0)</f>
        <v>87</v>
      </c>
      <c r="G795">
        <f>VLOOKUP($B795,Sheet2!$A:$G,7,0)</f>
        <v>69</v>
      </c>
      <c r="H795">
        <f>VLOOKUP($B795,Sheet2!$A:$G,6,0)</f>
        <v>85</v>
      </c>
    </row>
    <row r="796" spans="1:8">
      <c r="A796">
        <v>231940</v>
      </c>
      <c r="B796" t="s">
        <v>803</v>
      </c>
      <c r="C796">
        <f>VLOOKUP($B796,Sheet2!$A:$E,2,0)</f>
        <v>105</v>
      </c>
      <c r="D796">
        <f>VLOOKUP($B796,Sheet2!$A:$E,3,0)</f>
        <v>104</v>
      </c>
      <c r="E796">
        <f>VLOOKUP($B796,Sheet2!$A:$E,4,0)</f>
        <v>113.5</v>
      </c>
      <c r="F796">
        <f>VLOOKUP($B796,Sheet2!$A:$E,5,0)</f>
        <v>87</v>
      </c>
      <c r="G796">
        <f>VLOOKUP($B796,Sheet2!$A:$G,7,0)</f>
        <v>84</v>
      </c>
      <c r="H796">
        <f>VLOOKUP($B796,Sheet2!$A:$G,6,0)</f>
        <v>77</v>
      </c>
    </row>
    <row r="797" spans="1:8">
      <c r="A797">
        <v>231941</v>
      </c>
      <c r="B797" t="s">
        <v>804</v>
      </c>
      <c r="C797">
        <f>VLOOKUP($B797,Sheet2!$A:$E,2,0)</f>
        <v>106</v>
      </c>
      <c r="D797">
        <f>VLOOKUP($B797,Sheet2!$A:$E,3,0)</f>
        <v>94</v>
      </c>
      <c r="E797">
        <f>VLOOKUP($B797,Sheet2!$A:$E,4,0)</f>
        <v>115</v>
      </c>
      <c r="F797">
        <f>VLOOKUP($B797,Sheet2!$A:$E,5,0)</f>
        <v>86</v>
      </c>
      <c r="G797">
        <f>VLOOKUP($B797,Sheet2!$A:$G,7,0)</f>
        <v>77</v>
      </c>
      <c r="H797">
        <f>VLOOKUP($B797,Sheet2!$A:$G,6,0)</f>
        <v>85</v>
      </c>
    </row>
    <row r="798" spans="1:8">
      <c r="A798">
        <v>231942</v>
      </c>
      <c r="B798" t="s">
        <v>805</v>
      </c>
      <c r="C798">
        <f>VLOOKUP($B798,Sheet2!$A:$E,2,0)</f>
        <v>99</v>
      </c>
      <c r="D798">
        <f>VLOOKUP($B798,Sheet2!$A:$E,3,0)</f>
        <v>101</v>
      </c>
      <c r="E798">
        <f>VLOOKUP($B798,Sheet2!$A:$E,4,0)</f>
        <v>113</v>
      </c>
      <c r="F798">
        <f>VLOOKUP($B798,Sheet2!$A:$E,5,0)</f>
        <v>85</v>
      </c>
      <c r="G798">
        <f>VLOOKUP($B798,Sheet2!$A:$G,7,0)</f>
        <v>75</v>
      </c>
      <c r="H798">
        <f>VLOOKUP($B798,Sheet2!$A:$G,6,0)</f>
        <v>81</v>
      </c>
    </row>
    <row r="799" spans="1:8">
      <c r="A799">
        <v>231943</v>
      </c>
      <c r="B799" t="s">
        <v>806</v>
      </c>
      <c r="C799">
        <f>VLOOKUP($B799,Sheet2!$A:$E,2,0)</f>
        <v>100</v>
      </c>
      <c r="D799">
        <f>VLOOKUP($B799,Sheet2!$A:$E,3,0)</f>
        <v>100</v>
      </c>
      <c r="E799">
        <f>VLOOKUP($B799,Sheet2!$A:$E,4,0)</f>
        <v>111</v>
      </c>
      <c r="F799">
        <f>VLOOKUP($B799,Sheet2!$A:$E,5,0)</f>
        <v>90</v>
      </c>
      <c r="G799">
        <f>VLOOKUP($B799,Sheet2!$A:$G,7,0)</f>
        <v>76</v>
      </c>
      <c r="H799">
        <f>VLOOKUP($B799,Sheet2!$A:$G,6,0)</f>
        <v>80</v>
      </c>
    </row>
    <row r="800" spans="1:8">
      <c r="A800">
        <v>231944</v>
      </c>
      <c r="B800" t="s">
        <v>807</v>
      </c>
      <c r="C800">
        <f>VLOOKUP($B800,Sheet2!$A:$E,2,0)</f>
        <v>110</v>
      </c>
      <c r="D800">
        <f>VLOOKUP($B800,Sheet2!$A:$E,3,0)</f>
        <v>102</v>
      </c>
      <c r="E800">
        <f>VLOOKUP($B800,Sheet2!$A:$E,4,0)</f>
        <v>118.5</v>
      </c>
      <c r="F800">
        <f>VLOOKUP($B800,Sheet2!$A:$E,5,0)</f>
        <v>89</v>
      </c>
      <c r="G800">
        <f>VLOOKUP($B800,Sheet2!$A:$G,7,0)</f>
        <v>84</v>
      </c>
      <c r="H800">
        <f>VLOOKUP($B800,Sheet2!$A:$G,6,0)</f>
        <v>85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34"/>
  <sheetViews>
    <sheetView workbookViewId="0">
      <selection activeCell="A516" sqref="A516"/>
    </sheetView>
  </sheetViews>
  <sheetFormatPr defaultColWidth="9.23076923076923" defaultRowHeight="16.8" outlineLevelCol="6"/>
  <sheetData>
    <row r="1" spans="1:7">
      <c r="A1" s="1" t="s">
        <v>808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7</v>
      </c>
      <c r="G1" s="2" t="s">
        <v>809</v>
      </c>
    </row>
    <row r="2" spans="1:7">
      <c r="A2" s="3"/>
      <c r="B2" s="4" t="s">
        <v>810</v>
      </c>
      <c r="C2" s="4" t="s">
        <v>810</v>
      </c>
      <c r="D2" s="4" t="s">
        <v>810</v>
      </c>
      <c r="E2" s="4" t="s">
        <v>810</v>
      </c>
      <c r="F2" s="4" t="s">
        <v>810</v>
      </c>
      <c r="G2" s="4" t="s">
        <v>810</v>
      </c>
    </row>
    <row r="3" spans="1:7">
      <c r="A3" s="4" t="s">
        <v>773</v>
      </c>
      <c r="B3" s="4">
        <v>114</v>
      </c>
      <c r="C3" s="4">
        <v>119</v>
      </c>
      <c r="D3" s="5">
        <v>113.5</v>
      </c>
      <c r="E3" s="4">
        <v>88</v>
      </c>
      <c r="F3" s="4">
        <v>90</v>
      </c>
      <c r="G3" s="4">
        <v>84</v>
      </c>
    </row>
    <row r="4" spans="1:7">
      <c r="A4" s="4" t="s">
        <v>734</v>
      </c>
      <c r="B4" s="4">
        <v>113</v>
      </c>
      <c r="C4" s="4">
        <v>114</v>
      </c>
      <c r="D4" s="5">
        <v>118.5</v>
      </c>
      <c r="E4" s="4">
        <v>89</v>
      </c>
      <c r="F4" s="4">
        <v>84</v>
      </c>
      <c r="G4" s="4">
        <v>90</v>
      </c>
    </row>
    <row r="5" spans="1:7">
      <c r="A5" s="4" t="s">
        <v>729</v>
      </c>
      <c r="B5" s="4">
        <v>118</v>
      </c>
      <c r="C5" s="4">
        <v>109</v>
      </c>
      <c r="D5" s="4">
        <v>117</v>
      </c>
      <c r="E5" s="4">
        <v>88</v>
      </c>
      <c r="F5" s="4">
        <v>88</v>
      </c>
      <c r="G5" s="4">
        <v>87</v>
      </c>
    </row>
    <row r="6" spans="1:7">
      <c r="A6" s="4" t="s">
        <v>787</v>
      </c>
      <c r="B6" s="4">
        <v>115</v>
      </c>
      <c r="C6" s="4">
        <v>118</v>
      </c>
      <c r="D6" s="5">
        <v>115.5</v>
      </c>
      <c r="E6" s="4">
        <v>88</v>
      </c>
      <c r="F6" s="4">
        <v>87</v>
      </c>
      <c r="G6" s="4">
        <v>82</v>
      </c>
    </row>
    <row r="7" spans="1:7">
      <c r="A7" s="4" t="s">
        <v>786</v>
      </c>
      <c r="B7" s="4">
        <v>117</v>
      </c>
      <c r="C7" s="4">
        <v>116</v>
      </c>
      <c r="D7" s="4">
        <v>113</v>
      </c>
      <c r="E7" s="4">
        <v>89</v>
      </c>
      <c r="F7" s="4">
        <v>86</v>
      </c>
      <c r="G7" s="4">
        <v>84</v>
      </c>
    </row>
    <row r="8" spans="1:7">
      <c r="A8" s="4" t="s">
        <v>792</v>
      </c>
      <c r="B8" s="5">
        <v>117.5</v>
      </c>
      <c r="C8" s="4">
        <v>114</v>
      </c>
      <c r="D8" s="4">
        <v>115</v>
      </c>
      <c r="E8" s="4">
        <v>87</v>
      </c>
      <c r="F8" s="4">
        <v>85</v>
      </c>
      <c r="G8" s="4">
        <v>80</v>
      </c>
    </row>
    <row r="9" spans="1:7">
      <c r="A9" s="4" t="s">
        <v>635</v>
      </c>
      <c r="B9" s="4">
        <v>102</v>
      </c>
      <c r="C9" s="4">
        <v>116</v>
      </c>
      <c r="D9" s="4">
        <v>119</v>
      </c>
      <c r="E9" s="4">
        <v>85</v>
      </c>
      <c r="F9" s="4">
        <v>88</v>
      </c>
      <c r="G9" s="4">
        <v>88</v>
      </c>
    </row>
    <row r="10" spans="1:7">
      <c r="A10" s="4" t="s">
        <v>771</v>
      </c>
      <c r="B10" s="4">
        <v>104</v>
      </c>
      <c r="C10" s="4">
        <v>119</v>
      </c>
      <c r="D10" s="4">
        <v>114</v>
      </c>
      <c r="E10" s="4">
        <v>87</v>
      </c>
      <c r="F10" s="4">
        <v>87</v>
      </c>
      <c r="G10" s="4">
        <v>85</v>
      </c>
    </row>
    <row r="11" spans="1:7">
      <c r="A11" s="4" t="s">
        <v>789</v>
      </c>
      <c r="B11" s="4">
        <v>113</v>
      </c>
      <c r="C11" s="4">
        <v>117</v>
      </c>
      <c r="D11" s="4">
        <v>114</v>
      </c>
      <c r="E11" s="4">
        <v>89</v>
      </c>
      <c r="F11" s="4">
        <v>88</v>
      </c>
      <c r="G11" s="4">
        <v>75</v>
      </c>
    </row>
    <row r="12" spans="1:7">
      <c r="A12" s="4" t="s">
        <v>736</v>
      </c>
      <c r="B12" s="4">
        <v>109</v>
      </c>
      <c r="C12" s="4">
        <v>118</v>
      </c>
      <c r="D12" s="4">
        <v>111</v>
      </c>
      <c r="E12" s="4">
        <v>90</v>
      </c>
      <c r="F12" s="4">
        <v>85</v>
      </c>
      <c r="G12" s="4">
        <v>83</v>
      </c>
    </row>
    <row r="13" spans="1:7">
      <c r="A13" s="4" t="s">
        <v>738</v>
      </c>
      <c r="B13" s="4">
        <v>108</v>
      </c>
      <c r="C13" s="4">
        <v>115</v>
      </c>
      <c r="D13" s="4">
        <v>114</v>
      </c>
      <c r="E13" s="4">
        <v>89</v>
      </c>
      <c r="F13" s="4">
        <v>86</v>
      </c>
      <c r="G13" s="4">
        <v>84</v>
      </c>
    </row>
    <row r="14" spans="1:7">
      <c r="A14" s="4" t="s">
        <v>613</v>
      </c>
      <c r="B14" s="4">
        <v>107</v>
      </c>
      <c r="C14" s="4">
        <v>114</v>
      </c>
      <c r="D14" s="4">
        <v>117</v>
      </c>
      <c r="E14" s="4">
        <v>85</v>
      </c>
      <c r="F14" s="4">
        <v>86</v>
      </c>
      <c r="G14" s="4">
        <v>86</v>
      </c>
    </row>
    <row r="15" spans="1:7">
      <c r="A15" s="4" t="s">
        <v>767</v>
      </c>
      <c r="B15" s="4">
        <v>105</v>
      </c>
      <c r="C15" s="4">
        <v>120</v>
      </c>
      <c r="D15" s="4">
        <v>118</v>
      </c>
      <c r="E15" s="4">
        <v>90</v>
      </c>
      <c r="F15" s="4">
        <v>78</v>
      </c>
      <c r="G15" s="4">
        <v>83</v>
      </c>
    </row>
    <row r="16" spans="1:7">
      <c r="A16" s="4" t="s">
        <v>676</v>
      </c>
      <c r="B16" s="4">
        <v>107</v>
      </c>
      <c r="C16" s="4">
        <v>119</v>
      </c>
      <c r="D16" s="4">
        <v>114</v>
      </c>
      <c r="E16" s="4">
        <v>90</v>
      </c>
      <c r="F16" s="4">
        <v>84</v>
      </c>
      <c r="G16" s="4">
        <v>78</v>
      </c>
    </row>
    <row r="17" spans="1:7">
      <c r="A17" s="4" t="s">
        <v>795</v>
      </c>
      <c r="B17" s="4">
        <v>101</v>
      </c>
      <c r="C17" s="4">
        <v>113</v>
      </c>
      <c r="D17" s="4">
        <v>115</v>
      </c>
      <c r="E17" s="4">
        <v>90</v>
      </c>
      <c r="F17" s="4">
        <v>87</v>
      </c>
      <c r="G17" s="4">
        <v>85</v>
      </c>
    </row>
    <row r="18" spans="1:7">
      <c r="A18" s="4" t="s">
        <v>664</v>
      </c>
      <c r="B18" s="5">
        <v>118.5</v>
      </c>
      <c r="C18" s="4">
        <v>104</v>
      </c>
      <c r="D18" s="4">
        <v>113</v>
      </c>
      <c r="E18" s="4">
        <v>87</v>
      </c>
      <c r="F18" s="4">
        <v>87</v>
      </c>
      <c r="G18" s="4">
        <v>81</v>
      </c>
    </row>
    <row r="19" spans="1:7">
      <c r="A19" s="4" t="s">
        <v>798</v>
      </c>
      <c r="B19" s="4">
        <v>113</v>
      </c>
      <c r="C19" s="4">
        <v>112</v>
      </c>
      <c r="D19" s="4">
        <v>106</v>
      </c>
      <c r="E19" s="4">
        <v>89</v>
      </c>
      <c r="F19" s="4">
        <v>89</v>
      </c>
      <c r="G19" s="4">
        <v>81</v>
      </c>
    </row>
    <row r="20" spans="1:7">
      <c r="A20" s="4" t="s">
        <v>740</v>
      </c>
      <c r="B20" s="4">
        <v>100</v>
      </c>
      <c r="C20" s="4">
        <v>119</v>
      </c>
      <c r="D20" s="4">
        <v>115</v>
      </c>
      <c r="E20" s="4">
        <v>89</v>
      </c>
      <c r="F20" s="4">
        <v>84</v>
      </c>
      <c r="G20" s="4">
        <v>83</v>
      </c>
    </row>
    <row r="21" spans="1:7">
      <c r="A21" s="4" t="s">
        <v>766</v>
      </c>
      <c r="B21" s="4">
        <v>106</v>
      </c>
      <c r="C21" s="4">
        <v>116</v>
      </c>
      <c r="D21" s="5">
        <v>112.5</v>
      </c>
      <c r="E21" s="4">
        <v>87</v>
      </c>
      <c r="F21" s="4">
        <v>79</v>
      </c>
      <c r="G21" s="4">
        <v>89</v>
      </c>
    </row>
    <row r="22" spans="1:7">
      <c r="A22" s="4" t="s">
        <v>756</v>
      </c>
      <c r="B22" s="4">
        <v>98</v>
      </c>
      <c r="C22" s="4">
        <v>117</v>
      </c>
      <c r="D22" s="5">
        <v>115.5</v>
      </c>
      <c r="E22" s="4">
        <v>90</v>
      </c>
      <c r="F22" s="4">
        <v>85</v>
      </c>
      <c r="G22" s="4">
        <v>84</v>
      </c>
    </row>
    <row r="23" spans="1:7">
      <c r="A23" s="4" t="s">
        <v>716</v>
      </c>
      <c r="B23" s="4">
        <v>99</v>
      </c>
      <c r="C23" s="4">
        <v>115</v>
      </c>
      <c r="D23" s="4">
        <v>117</v>
      </c>
      <c r="E23" s="4">
        <v>88</v>
      </c>
      <c r="F23" s="4">
        <v>84</v>
      </c>
      <c r="G23" s="4">
        <v>86</v>
      </c>
    </row>
    <row r="24" spans="1:7">
      <c r="A24" s="4" t="s">
        <v>785</v>
      </c>
      <c r="B24" s="5">
        <v>101.5</v>
      </c>
      <c r="C24" s="4">
        <v>116</v>
      </c>
      <c r="D24" s="4">
        <v>118</v>
      </c>
      <c r="E24" s="4">
        <v>87</v>
      </c>
      <c r="F24" s="4">
        <v>87</v>
      </c>
      <c r="G24" s="4">
        <v>79</v>
      </c>
    </row>
    <row r="25" spans="1:7">
      <c r="A25" s="4" t="s">
        <v>807</v>
      </c>
      <c r="B25" s="4">
        <v>110</v>
      </c>
      <c r="C25" s="4">
        <v>102</v>
      </c>
      <c r="D25" s="5">
        <v>118.5</v>
      </c>
      <c r="E25" s="4">
        <v>89</v>
      </c>
      <c r="F25" s="4">
        <v>85</v>
      </c>
      <c r="G25" s="4">
        <v>84</v>
      </c>
    </row>
    <row r="26" spans="1:7">
      <c r="A26" s="4" t="s">
        <v>398</v>
      </c>
      <c r="B26" s="4">
        <v>107</v>
      </c>
      <c r="C26" s="4">
        <v>113</v>
      </c>
      <c r="D26" s="5">
        <v>113.5</v>
      </c>
      <c r="E26" s="4">
        <v>87</v>
      </c>
      <c r="F26" s="4">
        <v>85</v>
      </c>
      <c r="G26" s="4">
        <v>83</v>
      </c>
    </row>
    <row r="27" spans="1:7">
      <c r="A27" s="4" t="s">
        <v>743</v>
      </c>
      <c r="B27" s="5">
        <v>103.5</v>
      </c>
      <c r="C27" s="4">
        <v>109</v>
      </c>
      <c r="D27" s="4">
        <v>118</v>
      </c>
      <c r="E27" s="4">
        <v>90</v>
      </c>
      <c r="F27" s="4">
        <v>82</v>
      </c>
      <c r="G27" s="4">
        <v>85</v>
      </c>
    </row>
    <row r="28" spans="1:7">
      <c r="A28" s="4" t="s">
        <v>753</v>
      </c>
      <c r="B28" s="5">
        <v>115.5</v>
      </c>
      <c r="C28" s="4">
        <v>104</v>
      </c>
      <c r="D28" s="4">
        <v>118</v>
      </c>
      <c r="E28" s="4">
        <v>88</v>
      </c>
      <c r="F28" s="4">
        <v>85</v>
      </c>
      <c r="G28" s="4">
        <v>77</v>
      </c>
    </row>
    <row r="29" spans="1:7">
      <c r="A29" s="4" t="s">
        <v>706</v>
      </c>
      <c r="B29" s="4">
        <v>105</v>
      </c>
      <c r="C29" s="4">
        <v>109</v>
      </c>
      <c r="D29" s="4">
        <v>115</v>
      </c>
      <c r="E29" s="4">
        <v>89</v>
      </c>
      <c r="F29" s="4">
        <v>86</v>
      </c>
      <c r="G29" s="4">
        <v>83</v>
      </c>
    </row>
    <row r="30" spans="1:7">
      <c r="A30" s="4" t="s">
        <v>622</v>
      </c>
      <c r="B30" s="4">
        <v>111</v>
      </c>
      <c r="C30" s="4">
        <v>107</v>
      </c>
      <c r="D30" s="4">
        <v>114</v>
      </c>
      <c r="E30" s="4">
        <v>85</v>
      </c>
      <c r="F30" s="4">
        <v>88</v>
      </c>
      <c r="G30" s="4">
        <v>82</v>
      </c>
    </row>
    <row r="31" spans="1:7">
      <c r="A31" s="4" t="s">
        <v>575</v>
      </c>
      <c r="B31" s="5">
        <v>106.5</v>
      </c>
      <c r="C31" s="4">
        <v>108</v>
      </c>
      <c r="D31" s="5">
        <v>112.5</v>
      </c>
      <c r="E31" s="4">
        <v>90</v>
      </c>
      <c r="F31" s="4">
        <v>85</v>
      </c>
      <c r="G31" s="4">
        <v>85</v>
      </c>
    </row>
    <row r="32" spans="1:7">
      <c r="A32" s="4" t="s">
        <v>784</v>
      </c>
      <c r="B32" s="4">
        <v>109</v>
      </c>
      <c r="C32" s="4">
        <v>106</v>
      </c>
      <c r="D32" s="5">
        <v>116.5</v>
      </c>
      <c r="E32" s="4">
        <v>90</v>
      </c>
      <c r="F32" s="4">
        <v>81</v>
      </c>
      <c r="G32" s="4">
        <v>84</v>
      </c>
    </row>
    <row r="33" spans="1:7">
      <c r="A33" s="4" t="s">
        <v>404</v>
      </c>
      <c r="B33" s="4">
        <v>105</v>
      </c>
      <c r="C33" s="4">
        <v>111</v>
      </c>
      <c r="D33" s="5">
        <v>115.5</v>
      </c>
      <c r="E33" s="4">
        <v>87</v>
      </c>
      <c r="F33" s="4">
        <v>84</v>
      </c>
      <c r="G33" s="4">
        <v>84</v>
      </c>
    </row>
    <row r="34" spans="1:7">
      <c r="A34" s="4" t="s">
        <v>661</v>
      </c>
      <c r="B34" s="4">
        <v>102</v>
      </c>
      <c r="C34" s="4">
        <v>120</v>
      </c>
      <c r="D34" s="5">
        <v>106.5</v>
      </c>
      <c r="E34" s="4">
        <v>90</v>
      </c>
      <c r="F34" s="4">
        <v>89</v>
      </c>
      <c r="G34" s="4">
        <v>79</v>
      </c>
    </row>
    <row r="35" spans="1:7">
      <c r="A35" s="4" t="s">
        <v>614</v>
      </c>
      <c r="B35" s="4">
        <v>102</v>
      </c>
      <c r="C35" s="4">
        <v>114</v>
      </c>
      <c r="D35" s="5">
        <v>114.5</v>
      </c>
      <c r="E35" s="4">
        <v>89</v>
      </c>
      <c r="F35" s="4">
        <v>86</v>
      </c>
      <c r="G35" s="4">
        <v>81</v>
      </c>
    </row>
    <row r="36" spans="1:7">
      <c r="A36" s="4" t="s">
        <v>531</v>
      </c>
      <c r="B36" s="4">
        <v>111</v>
      </c>
      <c r="C36" s="4">
        <v>112</v>
      </c>
      <c r="D36" s="4">
        <v>119</v>
      </c>
      <c r="E36" s="4">
        <v>88</v>
      </c>
      <c r="F36" s="4">
        <v>80</v>
      </c>
      <c r="G36" s="4">
        <v>76</v>
      </c>
    </row>
    <row r="37" spans="1:7">
      <c r="A37" s="4" t="s">
        <v>742</v>
      </c>
      <c r="B37" s="5">
        <v>105.5</v>
      </c>
      <c r="C37" s="4">
        <v>111</v>
      </c>
      <c r="D37" s="5">
        <v>118.5</v>
      </c>
      <c r="E37" s="4">
        <v>87</v>
      </c>
      <c r="F37" s="4">
        <v>85</v>
      </c>
      <c r="G37" s="4">
        <v>79</v>
      </c>
    </row>
    <row r="38" spans="1:7">
      <c r="A38" s="4" t="s">
        <v>794</v>
      </c>
      <c r="B38" s="4">
        <v>106</v>
      </c>
      <c r="C38" s="4">
        <v>109</v>
      </c>
      <c r="D38" s="5">
        <v>116.5</v>
      </c>
      <c r="E38" s="4">
        <v>90</v>
      </c>
      <c r="F38" s="4">
        <v>79</v>
      </c>
      <c r="G38" s="4">
        <v>85</v>
      </c>
    </row>
    <row r="39" spans="1:7">
      <c r="A39" s="4" t="s">
        <v>750</v>
      </c>
      <c r="B39" s="4">
        <v>110</v>
      </c>
      <c r="C39" s="4">
        <v>109</v>
      </c>
      <c r="D39" s="4">
        <v>115</v>
      </c>
      <c r="E39" s="4">
        <v>88</v>
      </c>
      <c r="F39" s="4">
        <v>77</v>
      </c>
      <c r="G39" s="4">
        <v>86</v>
      </c>
    </row>
    <row r="40" spans="1:7">
      <c r="A40" s="4" t="s">
        <v>295</v>
      </c>
      <c r="B40" s="4">
        <v>94</v>
      </c>
      <c r="C40" s="4">
        <v>114</v>
      </c>
      <c r="D40" s="4">
        <v>113</v>
      </c>
      <c r="E40" s="4">
        <v>90</v>
      </c>
      <c r="F40" s="4">
        <v>89</v>
      </c>
      <c r="G40" s="4">
        <v>85</v>
      </c>
    </row>
    <row r="41" spans="1:7">
      <c r="A41" s="4" t="s">
        <v>629</v>
      </c>
      <c r="B41" s="4">
        <v>104</v>
      </c>
      <c r="C41" s="4">
        <v>110</v>
      </c>
      <c r="D41" s="5">
        <v>114.5</v>
      </c>
      <c r="E41" s="4">
        <v>90</v>
      </c>
      <c r="F41" s="4">
        <v>79</v>
      </c>
      <c r="G41" s="4">
        <v>87</v>
      </c>
    </row>
    <row r="42" spans="1:7">
      <c r="A42" s="4" t="s">
        <v>631</v>
      </c>
      <c r="B42" s="4">
        <v>111</v>
      </c>
      <c r="C42" s="4">
        <v>107</v>
      </c>
      <c r="D42" s="5">
        <v>110.5</v>
      </c>
      <c r="E42" s="4">
        <v>88</v>
      </c>
      <c r="F42" s="4">
        <v>85</v>
      </c>
      <c r="G42" s="4">
        <v>83</v>
      </c>
    </row>
    <row r="43" spans="1:7">
      <c r="A43" s="4" t="s">
        <v>472</v>
      </c>
      <c r="B43" s="4">
        <v>103</v>
      </c>
      <c r="C43" s="4">
        <v>113</v>
      </c>
      <c r="D43" s="4">
        <v>110</v>
      </c>
      <c r="E43" s="4">
        <v>86</v>
      </c>
      <c r="F43" s="4">
        <v>86</v>
      </c>
      <c r="G43" s="4">
        <v>86</v>
      </c>
    </row>
    <row r="44" spans="1:7">
      <c r="A44" s="4" t="s">
        <v>727</v>
      </c>
      <c r="B44" s="4">
        <v>110</v>
      </c>
      <c r="C44" s="4">
        <v>108</v>
      </c>
      <c r="D44" s="4">
        <v>116</v>
      </c>
      <c r="E44" s="4">
        <v>89</v>
      </c>
      <c r="F44" s="4">
        <v>81</v>
      </c>
      <c r="G44" s="4">
        <v>80</v>
      </c>
    </row>
    <row r="45" spans="1:7">
      <c r="A45" s="4" t="s">
        <v>284</v>
      </c>
      <c r="B45" s="4">
        <v>111</v>
      </c>
      <c r="C45" s="4">
        <v>104</v>
      </c>
      <c r="D45" s="4">
        <v>107</v>
      </c>
      <c r="E45" s="4">
        <v>89</v>
      </c>
      <c r="F45" s="4">
        <v>87</v>
      </c>
      <c r="G45" s="4">
        <v>86</v>
      </c>
    </row>
    <row r="46" spans="1:7">
      <c r="A46" s="4" t="s">
        <v>782</v>
      </c>
      <c r="B46" s="4">
        <v>102</v>
      </c>
      <c r="C46" s="4">
        <v>116</v>
      </c>
      <c r="D46" s="5">
        <v>110.5</v>
      </c>
      <c r="E46" s="4">
        <v>88</v>
      </c>
      <c r="F46" s="4">
        <v>88</v>
      </c>
      <c r="G46" s="4">
        <v>79</v>
      </c>
    </row>
    <row r="47" spans="1:7">
      <c r="A47" s="4" t="s">
        <v>403</v>
      </c>
      <c r="B47" s="4">
        <v>104</v>
      </c>
      <c r="C47" s="4">
        <v>106</v>
      </c>
      <c r="D47" s="5">
        <v>115.5</v>
      </c>
      <c r="E47" s="4">
        <v>86</v>
      </c>
      <c r="F47" s="4">
        <v>86</v>
      </c>
      <c r="G47" s="4">
        <v>86</v>
      </c>
    </row>
    <row r="48" spans="1:7">
      <c r="A48" s="4" t="s">
        <v>683</v>
      </c>
      <c r="B48" s="5">
        <v>99.5</v>
      </c>
      <c r="C48" s="4">
        <v>110</v>
      </c>
      <c r="D48" s="5">
        <v>115.5</v>
      </c>
      <c r="E48" s="4">
        <v>89</v>
      </c>
      <c r="F48" s="4">
        <v>87</v>
      </c>
      <c r="G48" s="4">
        <v>82</v>
      </c>
    </row>
    <row r="49" spans="1:7">
      <c r="A49" s="4" t="s">
        <v>739</v>
      </c>
      <c r="B49" s="4">
        <v>102</v>
      </c>
      <c r="C49" s="4">
        <v>112</v>
      </c>
      <c r="D49" s="5">
        <v>115.5</v>
      </c>
      <c r="E49" s="4">
        <v>85</v>
      </c>
      <c r="F49" s="4">
        <v>84</v>
      </c>
      <c r="G49" s="4">
        <v>84</v>
      </c>
    </row>
    <row r="50" spans="1:7">
      <c r="A50" s="4" t="s">
        <v>791</v>
      </c>
      <c r="B50" s="4">
        <v>113</v>
      </c>
      <c r="C50" s="4">
        <v>107</v>
      </c>
      <c r="D50" s="4">
        <v>115</v>
      </c>
      <c r="E50" s="4">
        <v>85</v>
      </c>
      <c r="F50" s="4">
        <v>86</v>
      </c>
      <c r="G50" s="4">
        <v>76</v>
      </c>
    </row>
    <row r="51" spans="1:7">
      <c r="A51" s="4" t="s">
        <v>723</v>
      </c>
      <c r="B51" s="4">
        <v>105</v>
      </c>
      <c r="C51" s="4">
        <v>113</v>
      </c>
      <c r="D51" s="5">
        <v>109.5</v>
      </c>
      <c r="E51" s="4">
        <v>86</v>
      </c>
      <c r="F51" s="4">
        <v>86</v>
      </c>
      <c r="G51" s="4">
        <v>82</v>
      </c>
    </row>
    <row r="52" spans="1:7">
      <c r="A52" s="4" t="s">
        <v>748</v>
      </c>
      <c r="B52" s="5">
        <v>102.5</v>
      </c>
      <c r="C52" s="4">
        <v>114</v>
      </c>
      <c r="D52" s="4">
        <v>114</v>
      </c>
      <c r="E52" s="4">
        <v>86</v>
      </c>
      <c r="F52" s="4">
        <v>83</v>
      </c>
      <c r="G52" s="4">
        <v>82</v>
      </c>
    </row>
    <row r="53" spans="1:7">
      <c r="A53" s="4" t="s">
        <v>811</v>
      </c>
      <c r="B53" s="4">
        <v>107</v>
      </c>
      <c r="C53" s="4">
        <v>107</v>
      </c>
      <c r="D53" s="5">
        <v>114.5</v>
      </c>
      <c r="E53" s="4">
        <v>90</v>
      </c>
      <c r="F53" s="4">
        <v>78</v>
      </c>
      <c r="G53" s="4">
        <v>85</v>
      </c>
    </row>
    <row r="54" spans="1:7">
      <c r="A54" s="4" t="s">
        <v>698</v>
      </c>
      <c r="B54" s="4">
        <v>101</v>
      </c>
      <c r="C54" s="4">
        <v>109</v>
      </c>
      <c r="D54" s="4">
        <v>116</v>
      </c>
      <c r="E54" s="4">
        <v>89</v>
      </c>
      <c r="F54" s="4">
        <v>85</v>
      </c>
      <c r="G54" s="4">
        <v>81</v>
      </c>
    </row>
    <row r="55" spans="1:7">
      <c r="A55" s="4" t="s">
        <v>651</v>
      </c>
      <c r="B55" s="4">
        <v>102</v>
      </c>
      <c r="C55" s="4">
        <v>111</v>
      </c>
      <c r="D55" s="4">
        <v>113</v>
      </c>
      <c r="E55" s="4">
        <v>90</v>
      </c>
      <c r="F55" s="4">
        <v>83</v>
      </c>
      <c r="G55" s="4">
        <v>82</v>
      </c>
    </row>
    <row r="56" spans="1:7">
      <c r="A56" s="4" t="s">
        <v>778</v>
      </c>
      <c r="B56" s="4">
        <v>101</v>
      </c>
      <c r="C56" s="4">
        <v>112</v>
      </c>
      <c r="D56" s="5">
        <v>109.5</v>
      </c>
      <c r="E56" s="4">
        <v>90</v>
      </c>
      <c r="F56" s="4">
        <v>89</v>
      </c>
      <c r="G56" s="4">
        <v>79</v>
      </c>
    </row>
    <row r="57" spans="1:7">
      <c r="A57" s="4" t="s">
        <v>788</v>
      </c>
      <c r="B57" s="4">
        <v>103</v>
      </c>
      <c r="C57" s="4">
        <v>112</v>
      </c>
      <c r="D57" s="5">
        <v>111.5</v>
      </c>
      <c r="E57" s="4">
        <v>90</v>
      </c>
      <c r="F57" s="4">
        <v>83</v>
      </c>
      <c r="G57" s="4">
        <v>81</v>
      </c>
    </row>
    <row r="58" spans="1:7">
      <c r="A58" s="4" t="s">
        <v>576</v>
      </c>
      <c r="B58" s="4">
        <v>103</v>
      </c>
      <c r="C58" s="4">
        <v>117</v>
      </c>
      <c r="D58" s="5">
        <v>114.5</v>
      </c>
      <c r="E58" s="4">
        <v>86</v>
      </c>
      <c r="F58" s="4">
        <v>81</v>
      </c>
      <c r="G58" s="4">
        <v>79</v>
      </c>
    </row>
    <row r="59" spans="1:7">
      <c r="A59" s="4" t="s">
        <v>793</v>
      </c>
      <c r="B59" s="4">
        <v>96</v>
      </c>
      <c r="C59" s="4">
        <v>119</v>
      </c>
      <c r="D59" s="4">
        <v>110</v>
      </c>
      <c r="E59" s="4">
        <v>86</v>
      </c>
      <c r="F59" s="4">
        <v>85</v>
      </c>
      <c r="G59" s="4">
        <v>84</v>
      </c>
    </row>
    <row r="60" spans="1:7">
      <c r="A60" s="4" t="s">
        <v>652</v>
      </c>
      <c r="B60" s="4">
        <v>109</v>
      </c>
      <c r="C60" s="4">
        <v>120</v>
      </c>
      <c r="D60" s="4">
        <v>103</v>
      </c>
      <c r="E60" s="4">
        <v>88</v>
      </c>
      <c r="F60" s="4">
        <v>80</v>
      </c>
      <c r="G60" s="4">
        <v>80</v>
      </c>
    </row>
    <row r="61" spans="1:7">
      <c r="A61" s="4" t="s">
        <v>783</v>
      </c>
      <c r="B61" s="4">
        <v>100</v>
      </c>
      <c r="C61" s="4">
        <v>108</v>
      </c>
      <c r="D61" s="4">
        <v>112</v>
      </c>
      <c r="E61" s="4">
        <v>88</v>
      </c>
      <c r="F61" s="4">
        <v>84</v>
      </c>
      <c r="G61" s="4">
        <v>87</v>
      </c>
    </row>
    <row r="62" spans="1:7">
      <c r="A62" s="4" t="s">
        <v>528</v>
      </c>
      <c r="B62" s="4">
        <v>101</v>
      </c>
      <c r="C62" s="4">
        <v>108</v>
      </c>
      <c r="D62" s="4">
        <v>111</v>
      </c>
      <c r="E62" s="4">
        <v>90</v>
      </c>
      <c r="F62" s="4">
        <v>87</v>
      </c>
      <c r="G62" s="4">
        <v>82</v>
      </c>
    </row>
    <row r="63" spans="1:7">
      <c r="A63" s="4" t="s">
        <v>557</v>
      </c>
      <c r="B63" s="4">
        <v>105</v>
      </c>
      <c r="C63" s="4">
        <v>117</v>
      </c>
      <c r="D63" s="4">
        <v>107</v>
      </c>
      <c r="E63" s="4">
        <v>86</v>
      </c>
      <c r="F63" s="4">
        <v>81</v>
      </c>
      <c r="G63" s="4">
        <v>83</v>
      </c>
    </row>
    <row r="64" spans="1:7">
      <c r="A64" s="4" t="s">
        <v>581</v>
      </c>
      <c r="B64" s="4">
        <v>110</v>
      </c>
      <c r="C64" s="4">
        <v>109</v>
      </c>
      <c r="D64" s="5">
        <v>107.5</v>
      </c>
      <c r="E64" s="4">
        <v>87</v>
      </c>
      <c r="F64" s="4">
        <v>87</v>
      </c>
      <c r="G64" s="4">
        <v>78</v>
      </c>
    </row>
    <row r="65" spans="1:7">
      <c r="A65" s="4" t="s">
        <v>583</v>
      </c>
      <c r="B65" s="5">
        <v>111.5</v>
      </c>
      <c r="C65" s="4">
        <v>107</v>
      </c>
      <c r="D65" s="4">
        <v>112</v>
      </c>
      <c r="E65" s="4">
        <v>81</v>
      </c>
      <c r="F65" s="4">
        <v>82</v>
      </c>
      <c r="G65" s="4">
        <v>85</v>
      </c>
    </row>
    <row r="66" spans="1:7">
      <c r="A66" s="4" t="s">
        <v>569</v>
      </c>
      <c r="B66" s="5">
        <v>104.5</v>
      </c>
      <c r="C66" s="4">
        <v>95</v>
      </c>
      <c r="D66" s="5">
        <v>117.5</v>
      </c>
      <c r="E66" s="4">
        <v>86</v>
      </c>
      <c r="F66" s="4">
        <v>88</v>
      </c>
      <c r="G66" s="4">
        <v>87</v>
      </c>
    </row>
    <row r="67" spans="1:7">
      <c r="A67" s="4" t="s">
        <v>309</v>
      </c>
      <c r="B67" s="4">
        <v>103</v>
      </c>
      <c r="C67" s="4">
        <v>109</v>
      </c>
      <c r="D67" s="4">
        <v>117</v>
      </c>
      <c r="E67" s="4">
        <v>89</v>
      </c>
      <c r="F67" s="4">
        <v>80</v>
      </c>
      <c r="G67" s="4">
        <v>80</v>
      </c>
    </row>
    <row r="68" spans="1:7">
      <c r="A68" s="4" t="s">
        <v>712</v>
      </c>
      <c r="B68" s="4">
        <v>104</v>
      </c>
      <c r="C68" s="4">
        <v>111</v>
      </c>
      <c r="D68" s="5">
        <v>110.5</v>
      </c>
      <c r="E68" s="4">
        <v>88</v>
      </c>
      <c r="F68" s="4">
        <v>83</v>
      </c>
      <c r="G68" s="4">
        <v>81</v>
      </c>
    </row>
    <row r="69" spans="1:7">
      <c r="A69" s="4" t="s">
        <v>812</v>
      </c>
      <c r="B69" s="4">
        <v>106</v>
      </c>
      <c r="C69" s="4">
        <v>100</v>
      </c>
      <c r="D69" s="4">
        <v>116</v>
      </c>
      <c r="E69" s="4">
        <v>90</v>
      </c>
      <c r="F69" s="4">
        <v>89</v>
      </c>
      <c r="G69" s="4">
        <v>76</v>
      </c>
    </row>
    <row r="70" spans="1:7">
      <c r="A70" s="4" t="s">
        <v>796</v>
      </c>
      <c r="B70" s="4">
        <v>100</v>
      </c>
      <c r="C70" s="4">
        <v>109</v>
      </c>
      <c r="D70" s="5">
        <v>115.5</v>
      </c>
      <c r="E70" s="4">
        <v>88</v>
      </c>
      <c r="F70" s="4">
        <v>82</v>
      </c>
      <c r="G70" s="4">
        <v>82</v>
      </c>
    </row>
    <row r="71" spans="1:7">
      <c r="A71" s="4" t="s">
        <v>764</v>
      </c>
      <c r="B71" s="4">
        <v>99</v>
      </c>
      <c r="C71" s="4">
        <v>118</v>
      </c>
      <c r="D71" s="5">
        <v>114.5</v>
      </c>
      <c r="E71" s="4">
        <v>90</v>
      </c>
      <c r="F71" s="4">
        <v>84</v>
      </c>
      <c r="G71" s="4">
        <v>71</v>
      </c>
    </row>
    <row r="72" spans="1:7">
      <c r="A72" s="4" t="s">
        <v>560</v>
      </c>
      <c r="B72" s="4">
        <v>106</v>
      </c>
      <c r="C72" s="4">
        <v>116</v>
      </c>
      <c r="D72" s="5">
        <v>106.5</v>
      </c>
      <c r="E72" s="4">
        <v>87</v>
      </c>
      <c r="F72" s="4">
        <v>85</v>
      </c>
      <c r="G72" s="4">
        <v>76</v>
      </c>
    </row>
    <row r="73" spans="1:7">
      <c r="A73" s="4" t="s">
        <v>675</v>
      </c>
      <c r="B73" s="4">
        <v>104</v>
      </c>
      <c r="C73" s="4">
        <v>110</v>
      </c>
      <c r="D73" s="4">
        <v>117</v>
      </c>
      <c r="E73" s="4">
        <v>89</v>
      </c>
      <c r="F73" s="4">
        <v>77</v>
      </c>
      <c r="G73" s="4">
        <v>79</v>
      </c>
    </row>
    <row r="74" spans="1:7">
      <c r="A74" s="4" t="s">
        <v>597</v>
      </c>
      <c r="B74" s="4">
        <v>104</v>
      </c>
      <c r="C74" s="4">
        <v>108</v>
      </c>
      <c r="D74" s="4">
        <v>112</v>
      </c>
      <c r="E74" s="4">
        <v>88</v>
      </c>
      <c r="F74" s="4">
        <v>81</v>
      </c>
      <c r="G74" s="4">
        <v>83</v>
      </c>
    </row>
    <row r="75" spans="1:7">
      <c r="A75" s="4" t="s">
        <v>689</v>
      </c>
      <c r="B75" s="5">
        <v>103.5</v>
      </c>
      <c r="C75" s="4">
        <v>109</v>
      </c>
      <c r="D75" s="4">
        <v>115</v>
      </c>
      <c r="E75" s="4">
        <v>88</v>
      </c>
      <c r="F75" s="4">
        <v>82</v>
      </c>
      <c r="G75" s="4">
        <v>78</v>
      </c>
    </row>
    <row r="76" spans="1:7">
      <c r="A76" s="4" t="s">
        <v>770</v>
      </c>
      <c r="B76" s="4">
        <v>109</v>
      </c>
      <c r="C76" s="4">
        <v>105</v>
      </c>
      <c r="D76" s="4">
        <v>109</v>
      </c>
      <c r="E76" s="4">
        <v>88</v>
      </c>
      <c r="F76" s="4">
        <v>82</v>
      </c>
      <c r="G76" s="4">
        <v>82</v>
      </c>
    </row>
    <row r="77" spans="1:7">
      <c r="A77" s="4" t="s">
        <v>759</v>
      </c>
      <c r="B77" s="4">
        <v>93</v>
      </c>
      <c r="C77" s="4">
        <v>118</v>
      </c>
      <c r="D77" s="4">
        <v>118</v>
      </c>
      <c r="E77" s="4">
        <v>87</v>
      </c>
      <c r="F77" s="4">
        <v>81</v>
      </c>
      <c r="G77" s="4">
        <v>78</v>
      </c>
    </row>
    <row r="78" spans="1:7">
      <c r="A78" s="4" t="s">
        <v>552</v>
      </c>
      <c r="B78" s="4">
        <v>103</v>
      </c>
      <c r="C78" s="4">
        <v>104</v>
      </c>
      <c r="D78" s="4">
        <v>113</v>
      </c>
      <c r="E78" s="4">
        <v>84</v>
      </c>
      <c r="F78" s="4">
        <v>87</v>
      </c>
      <c r="G78" s="4">
        <v>84</v>
      </c>
    </row>
    <row r="79" spans="1:7">
      <c r="A79" s="4" t="s">
        <v>558</v>
      </c>
      <c r="B79" s="4">
        <v>102</v>
      </c>
      <c r="C79" s="4">
        <v>113</v>
      </c>
      <c r="D79" s="4">
        <v>109</v>
      </c>
      <c r="E79" s="4">
        <v>85</v>
      </c>
      <c r="F79" s="4">
        <v>85</v>
      </c>
      <c r="G79" s="4">
        <v>81</v>
      </c>
    </row>
    <row r="80" spans="1:7">
      <c r="A80" s="4" t="s">
        <v>776</v>
      </c>
      <c r="B80" s="5">
        <v>106.5</v>
      </c>
      <c r="C80" s="4">
        <v>105</v>
      </c>
      <c r="D80" s="4">
        <v>113</v>
      </c>
      <c r="E80" s="4">
        <v>88</v>
      </c>
      <c r="F80" s="4">
        <v>81</v>
      </c>
      <c r="G80" s="4">
        <v>81</v>
      </c>
    </row>
    <row r="81" spans="1:7">
      <c r="A81" s="4" t="s">
        <v>779</v>
      </c>
      <c r="B81" s="4">
        <v>101</v>
      </c>
      <c r="C81" s="4">
        <v>105</v>
      </c>
      <c r="D81" s="4">
        <v>112</v>
      </c>
      <c r="E81" s="4">
        <v>89</v>
      </c>
      <c r="F81" s="4">
        <v>80</v>
      </c>
      <c r="G81" s="4">
        <v>87</v>
      </c>
    </row>
    <row r="82" spans="1:7">
      <c r="A82" s="4" t="s">
        <v>587</v>
      </c>
      <c r="B82" s="4">
        <v>108</v>
      </c>
      <c r="C82" s="4">
        <v>106</v>
      </c>
      <c r="D82" s="4">
        <v>112</v>
      </c>
      <c r="E82" s="4">
        <v>84</v>
      </c>
      <c r="F82" s="4">
        <v>86</v>
      </c>
      <c r="G82" s="4">
        <v>78</v>
      </c>
    </row>
    <row r="83" spans="1:7">
      <c r="A83" s="4" t="s">
        <v>755</v>
      </c>
      <c r="B83" s="4">
        <v>106</v>
      </c>
      <c r="C83" s="4">
        <v>107</v>
      </c>
      <c r="D83" s="4">
        <v>113</v>
      </c>
      <c r="E83" s="4">
        <v>88</v>
      </c>
      <c r="F83" s="4">
        <v>80</v>
      </c>
      <c r="G83" s="4">
        <v>79</v>
      </c>
    </row>
    <row r="84" spans="1:7">
      <c r="A84" s="4" t="s">
        <v>663</v>
      </c>
      <c r="B84" s="5">
        <v>102.5</v>
      </c>
      <c r="C84" s="4">
        <v>107</v>
      </c>
      <c r="D84" s="5">
        <v>110.5</v>
      </c>
      <c r="E84" s="4">
        <v>87</v>
      </c>
      <c r="F84" s="4">
        <v>86</v>
      </c>
      <c r="G84" s="4">
        <v>80</v>
      </c>
    </row>
    <row r="85" spans="1:7">
      <c r="A85" s="4" t="s">
        <v>298</v>
      </c>
      <c r="B85" s="4">
        <v>106</v>
      </c>
      <c r="C85" s="4">
        <v>105</v>
      </c>
      <c r="D85" s="4">
        <v>115</v>
      </c>
      <c r="E85" s="4">
        <v>85</v>
      </c>
      <c r="F85" s="4">
        <v>80</v>
      </c>
      <c r="G85" s="4">
        <v>82</v>
      </c>
    </row>
    <row r="86" spans="1:7">
      <c r="A86" s="4" t="s">
        <v>728</v>
      </c>
      <c r="B86" s="5">
        <v>104.5</v>
      </c>
      <c r="C86" s="4">
        <v>109</v>
      </c>
      <c r="D86" s="4">
        <v>111</v>
      </c>
      <c r="E86" s="4">
        <v>89</v>
      </c>
      <c r="F86" s="4">
        <v>80</v>
      </c>
      <c r="G86" s="4">
        <v>79</v>
      </c>
    </row>
    <row r="87" spans="1:7">
      <c r="A87" s="4" t="s">
        <v>521</v>
      </c>
      <c r="B87" s="4">
        <v>108</v>
      </c>
      <c r="C87" s="4">
        <v>109</v>
      </c>
      <c r="D87" s="4">
        <v>116</v>
      </c>
      <c r="E87" s="4">
        <v>88</v>
      </c>
      <c r="F87" s="4">
        <v>76</v>
      </c>
      <c r="G87" s="4">
        <v>75</v>
      </c>
    </row>
    <row r="88" spans="1:7">
      <c r="A88" s="4" t="s">
        <v>726</v>
      </c>
      <c r="B88" s="4">
        <v>95</v>
      </c>
      <c r="C88" s="4">
        <v>117</v>
      </c>
      <c r="D88" s="4">
        <v>114</v>
      </c>
      <c r="E88" s="4">
        <v>88</v>
      </c>
      <c r="F88" s="4">
        <v>77</v>
      </c>
      <c r="G88" s="4">
        <v>81</v>
      </c>
    </row>
    <row r="89" spans="1:7">
      <c r="A89" s="4" t="s">
        <v>746</v>
      </c>
      <c r="B89" s="4">
        <v>105</v>
      </c>
      <c r="C89" s="4">
        <v>102</v>
      </c>
      <c r="D89" s="4">
        <v>111</v>
      </c>
      <c r="E89" s="4">
        <v>89</v>
      </c>
      <c r="F89" s="4">
        <v>84</v>
      </c>
      <c r="G89" s="4">
        <v>81</v>
      </c>
    </row>
    <row r="90" spans="1:7">
      <c r="A90" s="4" t="s">
        <v>638</v>
      </c>
      <c r="B90" s="4">
        <v>97</v>
      </c>
      <c r="C90" s="4">
        <v>116</v>
      </c>
      <c r="D90" s="4">
        <v>107</v>
      </c>
      <c r="E90" s="4">
        <v>90</v>
      </c>
      <c r="F90" s="4">
        <v>85</v>
      </c>
      <c r="G90" s="4">
        <v>77</v>
      </c>
    </row>
    <row r="91" spans="1:7">
      <c r="A91" s="4" t="s">
        <v>247</v>
      </c>
      <c r="B91" s="4">
        <v>103</v>
      </c>
      <c r="C91" s="4">
        <v>109</v>
      </c>
      <c r="D91" s="4">
        <v>113</v>
      </c>
      <c r="E91" s="4">
        <v>87</v>
      </c>
      <c r="F91" s="4">
        <v>82</v>
      </c>
      <c r="G91" s="4">
        <v>77</v>
      </c>
    </row>
    <row r="92" spans="1:7">
      <c r="A92" s="4" t="s">
        <v>741</v>
      </c>
      <c r="B92" s="4">
        <v>106</v>
      </c>
      <c r="C92" s="4">
        <v>100</v>
      </c>
      <c r="D92" s="4">
        <v>110</v>
      </c>
      <c r="E92" s="4">
        <v>88</v>
      </c>
      <c r="F92" s="4">
        <v>87</v>
      </c>
      <c r="G92" s="4">
        <v>80</v>
      </c>
    </row>
    <row r="93" spans="1:7">
      <c r="A93" s="4" t="s">
        <v>395</v>
      </c>
      <c r="B93" s="4">
        <v>105</v>
      </c>
      <c r="C93" s="4">
        <v>99</v>
      </c>
      <c r="D93" s="4">
        <v>110</v>
      </c>
      <c r="E93" s="4">
        <v>88</v>
      </c>
      <c r="F93" s="4">
        <v>85</v>
      </c>
      <c r="G93" s="4">
        <v>84</v>
      </c>
    </row>
    <row r="94" spans="1:7">
      <c r="A94" s="4" t="s">
        <v>624</v>
      </c>
      <c r="B94" s="4">
        <v>104</v>
      </c>
      <c r="C94" s="4">
        <v>113</v>
      </c>
      <c r="D94" s="4">
        <v>115</v>
      </c>
      <c r="E94" s="4">
        <v>89</v>
      </c>
      <c r="F94" s="4">
        <v>80</v>
      </c>
      <c r="G94" s="4">
        <v>70</v>
      </c>
    </row>
    <row r="95" spans="1:7">
      <c r="A95" s="4" t="s">
        <v>803</v>
      </c>
      <c r="B95" s="4">
        <v>105</v>
      </c>
      <c r="C95" s="4">
        <v>104</v>
      </c>
      <c r="D95" s="5">
        <v>113.5</v>
      </c>
      <c r="E95" s="4">
        <v>87</v>
      </c>
      <c r="F95" s="4">
        <v>77</v>
      </c>
      <c r="G95" s="4">
        <v>84</v>
      </c>
    </row>
    <row r="96" spans="1:7">
      <c r="A96" s="4" t="s">
        <v>517</v>
      </c>
      <c r="B96" s="5">
        <v>101.5</v>
      </c>
      <c r="C96" s="4">
        <v>102</v>
      </c>
      <c r="D96" s="4">
        <v>115</v>
      </c>
      <c r="E96" s="4">
        <v>89</v>
      </c>
      <c r="F96" s="4">
        <v>80</v>
      </c>
      <c r="G96" s="4">
        <v>83</v>
      </c>
    </row>
    <row r="97" spans="1:7">
      <c r="A97" s="4" t="s">
        <v>489</v>
      </c>
      <c r="B97" s="4">
        <v>99</v>
      </c>
      <c r="C97" s="4">
        <v>108</v>
      </c>
      <c r="D97" s="5">
        <v>113.5</v>
      </c>
      <c r="E97" s="4">
        <v>90</v>
      </c>
      <c r="F97" s="4">
        <v>82</v>
      </c>
      <c r="G97" s="4">
        <v>78</v>
      </c>
    </row>
    <row r="98" spans="1:7">
      <c r="A98" s="4" t="s">
        <v>454</v>
      </c>
      <c r="B98" s="4">
        <v>96</v>
      </c>
      <c r="C98" s="4">
        <v>106</v>
      </c>
      <c r="D98" s="5">
        <v>114.5</v>
      </c>
      <c r="E98" s="4">
        <v>90</v>
      </c>
      <c r="F98" s="4">
        <v>84</v>
      </c>
      <c r="G98" s="4">
        <v>80</v>
      </c>
    </row>
    <row r="99" spans="1:7">
      <c r="A99" s="4" t="s">
        <v>774</v>
      </c>
      <c r="B99" s="5">
        <v>96.5</v>
      </c>
      <c r="C99" s="4">
        <v>116</v>
      </c>
      <c r="D99" s="5">
        <v>113.5</v>
      </c>
      <c r="E99" s="4">
        <v>90</v>
      </c>
      <c r="F99" s="4">
        <v>79</v>
      </c>
      <c r="G99" s="4">
        <v>75</v>
      </c>
    </row>
    <row r="100" spans="1:7">
      <c r="A100" s="4" t="s">
        <v>797</v>
      </c>
      <c r="B100" s="4">
        <v>100</v>
      </c>
      <c r="C100" s="4">
        <v>112</v>
      </c>
      <c r="D100" s="4">
        <v>111</v>
      </c>
      <c r="E100" s="4">
        <v>86</v>
      </c>
      <c r="F100" s="4">
        <v>82</v>
      </c>
      <c r="G100" s="4">
        <v>79</v>
      </c>
    </row>
    <row r="101" spans="1:7">
      <c r="A101" s="4" t="s">
        <v>731</v>
      </c>
      <c r="B101" s="5">
        <v>104.5</v>
      </c>
      <c r="C101" s="4">
        <v>101</v>
      </c>
      <c r="D101" s="5">
        <v>110.5</v>
      </c>
      <c r="E101" s="4">
        <v>87</v>
      </c>
      <c r="F101" s="4">
        <v>83</v>
      </c>
      <c r="G101" s="4">
        <v>84</v>
      </c>
    </row>
    <row r="102" spans="1:7">
      <c r="A102" s="4" t="s">
        <v>619</v>
      </c>
      <c r="B102" s="4">
        <v>106</v>
      </c>
      <c r="C102" s="4">
        <v>108</v>
      </c>
      <c r="D102" s="4">
        <v>105</v>
      </c>
      <c r="E102" s="4">
        <v>90</v>
      </c>
      <c r="F102" s="4">
        <v>81</v>
      </c>
      <c r="G102" s="4">
        <v>80</v>
      </c>
    </row>
    <row r="103" spans="1:7">
      <c r="A103" s="4" t="s">
        <v>630</v>
      </c>
      <c r="B103" s="4">
        <v>107</v>
      </c>
      <c r="C103" s="4">
        <v>96</v>
      </c>
      <c r="D103" s="4">
        <v>109</v>
      </c>
      <c r="E103" s="4">
        <v>87</v>
      </c>
      <c r="F103" s="4">
        <v>84</v>
      </c>
      <c r="G103" s="4">
        <v>87</v>
      </c>
    </row>
    <row r="104" spans="1:7">
      <c r="A104" s="4" t="s">
        <v>241</v>
      </c>
      <c r="B104" s="5">
        <v>94.5</v>
      </c>
      <c r="C104" s="4">
        <v>109</v>
      </c>
      <c r="D104" s="4">
        <v>112</v>
      </c>
      <c r="E104" s="4">
        <v>88</v>
      </c>
      <c r="F104" s="4">
        <v>85</v>
      </c>
      <c r="G104" s="4">
        <v>81</v>
      </c>
    </row>
    <row r="105" spans="1:7">
      <c r="A105" s="4" t="s">
        <v>720</v>
      </c>
      <c r="B105" s="4">
        <v>97</v>
      </c>
      <c r="C105" s="4">
        <v>117</v>
      </c>
      <c r="D105" s="5">
        <v>109.5</v>
      </c>
      <c r="E105" s="4">
        <v>82</v>
      </c>
      <c r="F105" s="4">
        <v>84</v>
      </c>
      <c r="G105" s="4">
        <v>80</v>
      </c>
    </row>
    <row r="106" spans="1:7">
      <c r="A106" s="4" t="s">
        <v>732</v>
      </c>
      <c r="B106" s="5">
        <v>103.5</v>
      </c>
      <c r="C106" s="4">
        <v>108</v>
      </c>
      <c r="D106" s="4">
        <v>103</v>
      </c>
      <c r="E106" s="4">
        <v>88</v>
      </c>
      <c r="F106" s="4">
        <v>85</v>
      </c>
      <c r="G106" s="4">
        <v>82</v>
      </c>
    </row>
    <row r="107" spans="1:7">
      <c r="A107" s="4" t="s">
        <v>608</v>
      </c>
      <c r="B107" s="5">
        <v>98.5</v>
      </c>
      <c r="C107" s="4">
        <v>108</v>
      </c>
      <c r="D107" s="4">
        <v>111</v>
      </c>
      <c r="E107" s="4">
        <v>84</v>
      </c>
      <c r="F107" s="4">
        <v>87</v>
      </c>
      <c r="G107" s="4">
        <v>81</v>
      </c>
    </row>
    <row r="108" spans="1:7">
      <c r="A108" s="4" t="s">
        <v>627</v>
      </c>
      <c r="B108" s="4">
        <v>95</v>
      </c>
      <c r="C108" s="4">
        <v>115</v>
      </c>
      <c r="D108" s="5">
        <v>111.5</v>
      </c>
      <c r="E108" s="4">
        <v>88</v>
      </c>
      <c r="F108" s="4">
        <v>81</v>
      </c>
      <c r="G108" s="4">
        <v>79</v>
      </c>
    </row>
    <row r="109" spans="1:7">
      <c r="A109" s="4" t="s">
        <v>445</v>
      </c>
      <c r="B109" s="5">
        <v>96.5</v>
      </c>
      <c r="C109" s="4">
        <v>106</v>
      </c>
      <c r="D109" s="4">
        <v>116</v>
      </c>
      <c r="E109" s="4">
        <v>86</v>
      </c>
      <c r="F109" s="4">
        <v>80</v>
      </c>
      <c r="G109" s="4">
        <v>85</v>
      </c>
    </row>
    <row r="110" spans="1:7">
      <c r="A110" s="4" t="s">
        <v>752</v>
      </c>
      <c r="B110" s="4">
        <v>99</v>
      </c>
      <c r="C110" s="4">
        <v>114</v>
      </c>
      <c r="D110" s="4">
        <v>110</v>
      </c>
      <c r="E110" s="4">
        <v>90</v>
      </c>
      <c r="F110" s="4">
        <v>78</v>
      </c>
      <c r="G110" s="4">
        <v>78</v>
      </c>
    </row>
    <row r="111" spans="1:7">
      <c r="A111" s="4" t="s">
        <v>561</v>
      </c>
      <c r="B111" s="4">
        <v>96</v>
      </c>
      <c r="C111" s="4">
        <v>106</v>
      </c>
      <c r="D111" s="4">
        <v>110</v>
      </c>
      <c r="E111" s="4">
        <v>89</v>
      </c>
      <c r="F111" s="4">
        <v>85</v>
      </c>
      <c r="G111" s="4">
        <v>83</v>
      </c>
    </row>
    <row r="112" spans="1:7">
      <c r="A112" s="4" t="s">
        <v>443</v>
      </c>
      <c r="B112" s="4">
        <v>103</v>
      </c>
      <c r="C112" s="4">
        <v>101</v>
      </c>
      <c r="D112" s="4">
        <v>111</v>
      </c>
      <c r="E112" s="4">
        <v>86</v>
      </c>
      <c r="F112" s="4">
        <v>88</v>
      </c>
      <c r="G112" s="4">
        <v>80</v>
      </c>
    </row>
    <row r="113" spans="1:7">
      <c r="A113" s="4" t="s">
        <v>690</v>
      </c>
      <c r="B113" s="4">
        <v>108</v>
      </c>
      <c r="C113" s="4">
        <v>101</v>
      </c>
      <c r="D113" s="5">
        <v>109.5</v>
      </c>
      <c r="E113" s="4">
        <v>85</v>
      </c>
      <c r="F113" s="4">
        <v>84</v>
      </c>
      <c r="G113" s="4">
        <v>81</v>
      </c>
    </row>
    <row r="114" spans="1:7">
      <c r="A114" s="4" t="s">
        <v>644</v>
      </c>
      <c r="B114" s="4">
        <v>101</v>
      </c>
      <c r="C114" s="4">
        <v>106</v>
      </c>
      <c r="D114" s="5">
        <v>113.5</v>
      </c>
      <c r="E114" s="4">
        <v>89</v>
      </c>
      <c r="F114" s="4">
        <v>80</v>
      </c>
      <c r="G114" s="4">
        <v>79</v>
      </c>
    </row>
    <row r="115" spans="1:7">
      <c r="A115" s="4" t="s">
        <v>508</v>
      </c>
      <c r="B115" s="4">
        <v>106</v>
      </c>
      <c r="C115" s="4">
        <v>102</v>
      </c>
      <c r="D115" s="5">
        <v>110.5</v>
      </c>
      <c r="E115" s="4">
        <v>85</v>
      </c>
      <c r="F115" s="4">
        <v>85</v>
      </c>
      <c r="G115" s="4">
        <v>80</v>
      </c>
    </row>
    <row r="116" spans="1:7">
      <c r="A116" s="4" t="s">
        <v>237</v>
      </c>
      <c r="B116" s="4">
        <v>96</v>
      </c>
      <c r="C116" s="4">
        <v>109</v>
      </c>
      <c r="D116" s="4">
        <v>110</v>
      </c>
      <c r="E116" s="4">
        <v>87</v>
      </c>
      <c r="F116" s="4">
        <v>78</v>
      </c>
      <c r="G116" s="4">
        <v>88</v>
      </c>
    </row>
    <row r="117" spans="1:7">
      <c r="A117" s="4" t="s">
        <v>416</v>
      </c>
      <c r="B117" s="4">
        <v>101</v>
      </c>
      <c r="C117" s="4">
        <v>110</v>
      </c>
      <c r="D117" s="4">
        <v>107</v>
      </c>
      <c r="E117" s="4">
        <v>84</v>
      </c>
      <c r="F117" s="4">
        <v>83</v>
      </c>
      <c r="G117" s="4">
        <v>83</v>
      </c>
    </row>
    <row r="118" spans="1:7">
      <c r="A118" s="4" t="s">
        <v>477</v>
      </c>
      <c r="B118" s="5">
        <v>97.5</v>
      </c>
      <c r="C118" s="4">
        <v>107</v>
      </c>
      <c r="D118" s="4">
        <v>108</v>
      </c>
      <c r="E118" s="4">
        <v>88</v>
      </c>
      <c r="F118" s="4">
        <v>86</v>
      </c>
      <c r="G118" s="4">
        <v>81</v>
      </c>
    </row>
    <row r="119" spans="1:7">
      <c r="A119" s="4" t="s">
        <v>532</v>
      </c>
      <c r="B119" s="4">
        <v>91</v>
      </c>
      <c r="C119" s="4">
        <v>104</v>
      </c>
      <c r="D119" s="5">
        <v>114.5</v>
      </c>
      <c r="E119" s="4">
        <v>90</v>
      </c>
      <c r="F119" s="4">
        <v>84</v>
      </c>
      <c r="G119" s="4">
        <v>84</v>
      </c>
    </row>
    <row r="120" spans="1:7">
      <c r="A120" s="4" t="s">
        <v>399</v>
      </c>
      <c r="B120" s="4">
        <v>108</v>
      </c>
      <c r="C120" s="4">
        <v>106</v>
      </c>
      <c r="D120" s="5">
        <v>111.5</v>
      </c>
      <c r="E120" s="4">
        <v>88</v>
      </c>
      <c r="F120" s="4">
        <v>78</v>
      </c>
      <c r="G120" s="4">
        <v>76</v>
      </c>
    </row>
    <row r="121" spans="1:7">
      <c r="A121" s="4" t="s">
        <v>498</v>
      </c>
      <c r="B121" s="4">
        <v>106</v>
      </c>
      <c r="C121" s="4">
        <v>101</v>
      </c>
      <c r="D121" s="5">
        <v>105.5</v>
      </c>
      <c r="E121" s="4">
        <v>89</v>
      </c>
      <c r="F121" s="4">
        <v>87</v>
      </c>
      <c r="G121" s="4">
        <v>79</v>
      </c>
    </row>
    <row r="122" spans="1:7">
      <c r="A122" s="4" t="s">
        <v>565</v>
      </c>
      <c r="B122" s="4">
        <v>103</v>
      </c>
      <c r="C122" s="4">
        <v>103</v>
      </c>
      <c r="D122" s="5">
        <v>108.5</v>
      </c>
      <c r="E122" s="4">
        <v>87</v>
      </c>
      <c r="F122" s="4">
        <v>88</v>
      </c>
      <c r="G122" s="4">
        <v>78</v>
      </c>
    </row>
    <row r="123" spans="1:7">
      <c r="A123" s="4" t="s">
        <v>790</v>
      </c>
      <c r="B123" s="4">
        <v>104</v>
      </c>
      <c r="C123" s="4">
        <v>111</v>
      </c>
      <c r="D123" s="4">
        <v>112</v>
      </c>
      <c r="E123" s="4">
        <v>85</v>
      </c>
      <c r="F123" s="4">
        <v>81</v>
      </c>
      <c r="G123" s="4">
        <v>74</v>
      </c>
    </row>
    <row r="124" spans="1:7">
      <c r="A124" s="4" t="s">
        <v>682</v>
      </c>
      <c r="B124" s="4">
        <v>106</v>
      </c>
      <c r="C124" s="4">
        <v>101</v>
      </c>
      <c r="D124" s="4">
        <v>118</v>
      </c>
      <c r="E124" s="4">
        <v>86</v>
      </c>
      <c r="F124" s="4">
        <v>81</v>
      </c>
      <c r="G124" s="4">
        <v>75</v>
      </c>
    </row>
    <row r="125" spans="1:7">
      <c r="A125" s="4" t="s">
        <v>657</v>
      </c>
      <c r="B125" s="4">
        <v>99</v>
      </c>
      <c r="C125" s="4">
        <v>101</v>
      </c>
      <c r="D125" s="4">
        <v>113</v>
      </c>
      <c r="E125" s="4">
        <v>87</v>
      </c>
      <c r="F125" s="4">
        <v>83</v>
      </c>
      <c r="G125" s="4">
        <v>84</v>
      </c>
    </row>
    <row r="126" spans="1:7">
      <c r="A126" s="4" t="s">
        <v>745</v>
      </c>
      <c r="B126" s="4">
        <v>93</v>
      </c>
      <c r="C126" s="4">
        <v>108</v>
      </c>
      <c r="D126" s="4">
        <v>109</v>
      </c>
      <c r="E126" s="4">
        <v>85</v>
      </c>
      <c r="F126" s="4">
        <v>87</v>
      </c>
      <c r="G126" s="4">
        <v>84</v>
      </c>
    </row>
    <row r="127" spans="1:7">
      <c r="A127" s="4" t="s">
        <v>737</v>
      </c>
      <c r="B127" s="5">
        <v>98.5</v>
      </c>
      <c r="C127" s="4">
        <v>107</v>
      </c>
      <c r="D127" s="4">
        <v>104</v>
      </c>
      <c r="E127" s="4">
        <v>88</v>
      </c>
      <c r="F127" s="4">
        <v>82</v>
      </c>
      <c r="G127" s="4">
        <v>86</v>
      </c>
    </row>
    <row r="128" spans="1:7">
      <c r="A128" s="4" t="s">
        <v>757</v>
      </c>
      <c r="B128" s="4">
        <v>96</v>
      </c>
      <c r="C128" s="4">
        <v>107</v>
      </c>
      <c r="D128" s="5">
        <v>110.5</v>
      </c>
      <c r="E128" s="4">
        <v>85</v>
      </c>
      <c r="F128" s="4">
        <v>81</v>
      </c>
      <c r="G128" s="4">
        <v>86</v>
      </c>
    </row>
    <row r="129" spans="1:7">
      <c r="A129" s="4" t="s">
        <v>620</v>
      </c>
      <c r="B129" s="4">
        <v>92</v>
      </c>
      <c r="C129" s="4">
        <v>118</v>
      </c>
      <c r="D129" s="5">
        <v>105.5</v>
      </c>
      <c r="E129" s="4">
        <v>89</v>
      </c>
      <c r="F129" s="4">
        <v>81</v>
      </c>
      <c r="G129" s="4">
        <v>80</v>
      </c>
    </row>
    <row r="130" spans="1:7">
      <c r="A130" s="4" t="s">
        <v>584</v>
      </c>
      <c r="B130" s="4">
        <v>111</v>
      </c>
      <c r="C130" s="4">
        <v>98</v>
      </c>
      <c r="D130" s="5">
        <v>111.5</v>
      </c>
      <c r="E130" s="4">
        <v>87</v>
      </c>
      <c r="F130" s="4">
        <v>78</v>
      </c>
      <c r="G130" s="4">
        <v>80</v>
      </c>
    </row>
    <row r="131" spans="1:7">
      <c r="A131" s="4" t="s">
        <v>702</v>
      </c>
      <c r="B131" s="4">
        <v>105</v>
      </c>
      <c r="C131" s="4">
        <v>95</v>
      </c>
      <c r="D131" s="4">
        <v>109</v>
      </c>
      <c r="E131" s="4">
        <v>87</v>
      </c>
      <c r="F131" s="4">
        <v>85</v>
      </c>
      <c r="G131" s="4">
        <v>84</v>
      </c>
    </row>
    <row r="132" spans="1:7">
      <c r="A132" s="4" t="s">
        <v>390</v>
      </c>
      <c r="B132" s="4">
        <v>109</v>
      </c>
      <c r="C132" s="4">
        <v>95</v>
      </c>
      <c r="D132" s="4">
        <v>106</v>
      </c>
      <c r="E132" s="4">
        <v>87</v>
      </c>
      <c r="F132" s="4">
        <v>88</v>
      </c>
      <c r="G132" s="4">
        <v>80</v>
      </c>
    </row>
    <row r="133" spans="1:7">
      <c r="A133" s="4" t="s">
        <v>592</v>
      </c>
      <c r="B133" s="4">
        <v>96</v>
      </c>
      <c r="C133" s="4">
        <v>110</v>
      </c>
      <c r="D133" s="4">
        <v>112</v>
      </c>
      <c r="E133" s="4">
        <v>82</v>
      </c>
      <c r="F133" s="4">
        <v>84</v>
      </c>
      <c r="G133" s="4">
        <v>81</v>
      </c>
    </row>
    <row r="134" spans="1:7">
      <c r="A134" s="4" t="s">
        <v>708</v>
      </c>
      <c r="B134" s="4">
        <v>106</v>
      </c>
      <c r="C134" s="4">
        <v>98</v>
      </c>
      <c r="D134" s="5">
        <v>107.5</v>
      </c>
      <c r="E134" s="4">
        <v>88</v>
      </c>
      <c r="F134" s="4">
        <v>81</v>
      </c>
      <c r="G134" s="4">
        <v>84</v>
      </c>
    </row>
    <row r="135" spans="1:7">
      <c r="A135" s="4" t="s">
        <v>559</v>
      </c>
      <c r="B135" s="4">
        <v>102</v>
      </c>
      <c r="C135" s="4">
        <v>109</v>
      </c>
      <c r="D135" s="5">
        <v>108.5</v>
      </c>
      <c r="E135" s="4">
        <v>81</v>
      </c>
      <c r="F135" s="4">
        <v>85</v>
      </c>
      <c r="G135" s="4">
        <v>79</v>
      </c>
    </row>
    <row r="136" spans="1:7">
      <c r="A136" s="4" t="s">
        <v>777</v>
      </c>
      <c r="B136" s="4">
        <v>96</v>
      </c>
      <c r="C136" s="4">
        <v>106</v>
      </c>
      <c r="D136" s="4">
        <v>115</v>
      </c>
      <c r="E136" s="4">
        <v>86</v>
      </c>
      <c r="F136" s="4">
        <v>82</v>
      </c>
      <c r="G136" s="4">
        <v>79</v>
      </c>
    </row>
    <row r="137" spans="1:7">
      <c r="A137" s="4" t="s">
        <v>487</v>
      </c>
      <c r="B137" s="4">
        <v>99</v>
      </c>
      <c r="C137" s="4">
        <v>106</v>
      </c>
      <c r="D137" s="4">
        <v>109</v>
      </c>
      <c r="E137" s="4">
        <v>90</v>
      </c>
      <c r="F137" s="4">
        <v>79</v>
      </c>
      <c r="G137" s="4">
        <v>81</v>
      </c>
    </row>
    <row r="138" spans="1:7">
      <c r="A138" s="4" t="s">
        <v>725</v>
      </c>
      <c r="B138" s="5">
        <v>105.5</v>
      </c>
      <c r="C138" s="4">
        <v>105</v>
      </c>
      <c r="D138" s="5">
        <v>108.5</v>
      </c>
      <c r="E138" s="4">
        <v>89</v>
      </c>
      <c r="F138" s="4">
        <v>74</v>
      </c>
      <c r="G138" s="4">
        <v>82</v>
      </c>
    </row>
    <row r="139" spans="1:7">
      <c r="A139" s="4" t="s">
        <v>730</v>
      </c>
      <c r="B139" s="4">
        <v>104</v>
      </c>
      <c r="C139" s="4">
        <v>98</v>
      </c>
      <c r="D139" s="4">
        <v>110</v>
      </c>
      <c r="E139" s="4">
        <v>90</v>
      </c>
      <c r="F139" s="4">
        <v>83</v>
      </c>
      <c r="G139" s="4">
        <v>79</v>
      </c>
    </row>
    <row r="140" spans="1:7">
      <c r="A140" s="4" t="s">
        <v>761</v>
      </c>
      <c r="B140" s="4">
        <v>102</v>
      </c>
      <c r="C140" s="4">
        <v>105</v>
      </c>
      <c r="D140" s="4">
        <v>114</v>
      </c>
      <c r="E140" s="4">
        <v>87</v>
      </c>
      <c r="F140" s="4">
        <v>76</v>
      </c>
      <c r="G140" s="4">
        <v>80</v>
      </c>
    </row>
    <row r="141" spans="1:7">
      <c r="A141" s="4" t="s">
        <v>465</v>
      </c>
      <c r="B141" s="4">
        <v>105</v>
      </c>
      <c r="C141" s="4">
        <v>100</v>
      </c>
      <c r="D141" s="4">
        <v>110</v>
      </c>
      <c r="E141" s="4">
        <v>88</v>
      </c>
      <c r="F141" s="4">
        <v>81</v>
      </c>
      <c r="G141" s="4">
        <v>80</v>
      </c>
    </row>
    <row r="142" spans="1:7">
      <c r="A142" s="4" t="s">
        <v>765</v>
      </c>
      <c r="B142" s="4">
        <v>110</v>
      </c>
      <c r="C142" s="4">
        <v>110</v>
      </c>
      <c r="D142" s="5">
        <v>106.5</v>
      </c>
      <c r="E142" s="4">
        <v>85</v>
      </c>
      <c r="F142" s="4">
        <v>76</v>
      </c>
      <c r="G142" s="4">
        <v>76</v>
      </c>
    </row>
    <row r="143" spans="1:7">
      <c r="A143" s="4" t="s">
        <v>343</v>
      </c>
      <c r="B143" s="4">
        <v>112</v>
      </c>
      <c r="C143" s="4">
        <v>97</v>
      </c>
      <c r="D143" s="5">
        <v>105.5</v>
      </c>
      <c r="E143" s="4">
        <v>88</v>
      </c>
      <c r="F143" s="4">
        <v>81</v>
      </c>
      <c r="G143" s="4">
        <v>80</v>
      </c>
    </row>
    <row r="144" spans="1:7">
      <c r="A144" s="4" t="s">
        <v>302</v>
      </c>
      <c r="B144" s="4">
        <v>100</v>
      </c>
      <c r="C144" s="4">
        <v>101</v>
      </c>
      <c r="D144" s="5">
        <v>110.5</v>
      </c>
      <c r="E144" s="4">
        <v>85</v>
      </c>
      <c r="F144" s="4">
        <v>82</v>
      </c>
      <c r="G144" s="4">
        <v>85</v>
      </c>
    </row>
    <row r="145" spans="1:7">
      <c r="A145" s="4" t="s">
        <v>546</v>
      </c>
      <c r="B145" s="4">
        <v>99</v>
      </c>
      <c r="C145" s="4">
        <v>114</v>
      </c>
      <c r="D145" s="5">
        <v>110.5</v>
      </c>
      <c r="E145" s="4">
        <v>86</v>
      </c>
      <c r="F145" s="4">
        <v>75</v>
      </c>
      <c r="G145" s="4">
        <v>79</v>
      </c>
    </row>
    <row r="146" spans="1:7">
      <c r="A146" s="4" t="s">
        <v>568</v>
      </c>
      <c r="B146" s="4">
        <v>106</v>
      </c>
      <c r="C146" s="4">
        <v>112</v>
      </c>
      <c r="D146" s="5">
        <v>98.5</v>
      </c>
      <c r="E146" s="4">
        <v>89</v>
      </c>
      <c r="F146" s="4">
        <v>80</v>
      </c>
      <c r="G146" s="4">
        <v>78</v>
      </c>
    </row>
    <row r="147" spans="1:7">
      <c r="A147" s="4" t="s">
        <v>222</v>
      </c>
      <c r="B147" s="4">
        <v>95</v>
      </c>
      <c r="C147" s="4">
        <v>112</v>
      </c>
      <c r="D147" s="4">
        <v>115</v>
      </c>
      <c r="E147" s="4">
        <v>83</v>
      </c>
      <c r="F147" s="4">
        <v>81</v>
      </c>
      <c r="G147" s="4">
        <v>77</v>
      </c>
    </row>
    <row r="148" spans="1:7">
      <c r="A148" s="4" t="s">
        <v>804</v>
      </c>
      <c r="B148" s="4">
        <v>106</v>
      </c>
      <c r="C148" s="4">
        <v>94</v>
      </c>
      <c r="D148" s="4">
        <v>115</v>
      </c>
      <c r="E148" s="4">
        <v>86</v>
      </c>
      <c r="F148" s="4">
        <v>85</v>
      </c>
      <c r="G148" s="4">
        <v>77</v>
      </c>
    </row>
    <row r="149" spans="1:7">
      <c r="A149" s="4" t="s">
        <v>703</v>
      </c>
      <c r="B149" s="5">
        <v>100.5</v>
      </c>
      <c r="C149" s="4">
        <v>109</v>
      </c>
      <c r="D149" s="5">
        <v>108.5</v>
      </c>
      <c r="E149" s="4">
        <v>85</v>
      </c>
      <c r="F149" s="4">
        <v>81</v>
      </c>
      <c r="G149" s="4">
        <v>79</v>
      </c>
    </row>
    <row r="150" spans="1:7">
      <c r="A150" s="4" t="s">
        <v>550</v>
      </c>
      <c r="B150" s="4">
        <v>96</v>
      </c>
      <c r="C150" s="4">
        <v>108</v>
      </c>
      <c r="D150" s="4">
        <v>115</v>
      </c>
      <c r="E150" s="4">
        <v>89</v>
      </c>
      <c r="F150" s="4">
        <v>84</v>
      </c>
      <c r="G150" s="4">
        <v>71</v>
      </c>
    </row>
    <row r="151" spans="1:7">
      <c r="A151" s="4" t="s">
        <v>397</v>
      </c>
      <c r="B151" s="4">
        <v>101</v>
      </c>
      <c r="C151" s="4">
        <v>106</v>
      </c>
      <c r="D151" s="4">
        <v>100</v>
      </c>
      <c r="E151" s="4">
        <v>86</v>
      </c>
      <c r="F151" s="4">
        <v>84</v>
      </c>
      <c r="G151" s="4">
        <v>86</v>
      </c>
    </row>
    <row r="152" spans="1:7">
      <c r="A152" s="4" t="s">
        <v>642</v>
      </c>
      <c r="B152" s="4">
        <v>103</v>
      </c>
      <c r="C152" s="4">
        <v>109</v>
      </c>
      <c r="D152" s="4">
        <v>106</v>
      </c>
      <c r="E152" s="4">
        <v>86</v>
      </c>
      <c r="F152" s="4">
        <v>82</v>
      </c>
      <c r="G152" s="4">
        <v>77</v>
      </c>
    </row>
    <row r="153" spans="1:7">
      <c r="A153" s="4" t="s">
        <v>673</v>
      </c>
      <c r="B153" s="4">
        <v>103</v>
      </c>
      <c r="C153" s="4">
        <v>105</v>
      </c>
      <c r="D153" s="4">
        <v>108</v>
      </c>
      <c r="E153" s="4">
        <v>84</v>
      </c>
      <c r="F153" s="4">
        <v>82</v>
      </c>
      <c r="G153" s="4">
        <v>81</v>
      </c>
    </row>
    <row r="154" spans="1:7">
      <c r="A154" s="4" t="s">
        <v>223</v>
      </c>
      <c r="B154" s="4">
        <v>98</v>
      </c>
      <c r="C154" s="4">
        <v>101</v>
      </c>
      <c r="D154" s="4">
        <v>114</v>
      </c>
      <c r="E154" s="4">
        <v>90</v>
      </c>
      <c r="F154" s="4">
        <v>80</v>
      </c>
      <c r="G154" s="4">
        <v>79</v>
      </c>
    </row>
    <row r="155" spans="1:7">
      <c r="A155" s="4" t="s">
        <v>544</v>
      </c>
      <c r="B155" s="5">
        <v>100.5</v>
      </c>
      <c r="C155" s="4">
        <v>98</v>
      </c>
      <c r="D155" s="5">
        <v>115.5</v>
      </c>
      <c r="E155" s="4">
        <v>88</v>
      </c>
      <c r="F155" s="4">
        <v>76</v>
      </c>
      <c r="G155" s="4">
        <v>84</v>
      </c>
    </row>
    <row r="156" spans="1:7">
      <c r="A156" s="4" t="s">
        <v>400</v>
      </c>
      <c r="B156" s="4">
        <v>102</v>
      </c>
      <c r="C156" s="4">
        <v>110</v>
      </c>
      <c r="D156" s="4">
        <v>105</v>
      </c>
      <c r="E156" s="4">
        <v>87</v>
      </c>
      <c r="F156" s="4">
        <v>77</v>
      </c>
      <c r="G156" s="4">
        <v>81</v>
      </c>
    </row>
    <row r="157" spans="1:7">
      <c r="A157" s="4" t="s">
        <v>410</v>
      </c>
      <c r="B157" s="4">
        <v>99</v>
      </c>
      <c r="C157" s="4">
        <v>101</v>
      </c>
      <c r="D157" s="4">
        <v>110</v>
      </c>
      <c r="E157" s="4">
        <v>87</v>
      </c>
      <c r="F157" s="4">
        <v>85</v>
      </c>
      <c r="G157" s="4">
        <v>80</v>
      </c>
    </row>
    <row r="158" spans="1:7">
      <c r="A158" s="4" t="s">
        <v>554</v>
      </c>
      <c r="B158" s="4">
        <v>104</v>
      </c>
      <c r="C158" s="4">
        <v>101</v>
      </c>
      <c r="D158" s="4">
        <v>109</v>
      </c>
      <c r="E158" s="4">
        <v>84</v>
      </c>
      <c r="F158" s="4">
        <v>82</v>
      </c>
      <c r="G158" s="4">
        <v>82</v>
      </c>
    </row>
    <row r="159" spans="1:7">
      <c r="A159" s="4" t="s">
        <v>577</v>
      </c>
      <c r="B159" s="4">
        <v>89</v>
      </c>
      <c r="C159" s="4">
        <v>117</v>
      </c>
      <c r="D159" s="4">
        <v>105</v>
      </c>
      <c r="E159" s="4">
        <v>82</v>
      </c>
      <c r="F159" s="4">
        <v>87</v>
      </c>
      <c r="G159" s="4">
        <v>82</v>
      </c>
    </row>
    <row r="160" spans="1:7">
      <c r="A160" s="4" t="s">
        <v>525</v>
      </c>
      <c r="B160" s="4">
        <v>94</v>
      </c>
      <c r="C160" s="4">
        <v>108</v>
      </c>
      <c r="D160" s="5">
        <v>115.5</v>
      </c>
      <c r="E160" s="4">
        <v>88</v>
      </c>
      <c r="F160" s="4">
        <v>86</v>
      </c>
      <c r="G160" s="4">
        <v>70</v>
      </c>
    </row>
    <row r="161" spans="1:7">
      <c r="A161" s="4" t="s">
        <v>551</v>
      </c>
      <c r="B161" s="4">
        <v>100</v>
      </c>
      <c r="C161" s="4">
        <v>109</v>
      </c>
      <c r="D161" s="5">
        <v>109.5</v>
      </c>
      <c r="E161" s="4">
        <v>84</v>
      </c>
      <c r="F161" s="4">
        <v>79</v>
      </c>
      <c r="G161" s="4">
        <v>80</v>
      </c>
    </row>
    <row r="162" spans="1:7">
      <c r="A162" s="4" t="s">
        <v>593</v>
      </c>
      <c r="B162" s="4">
        <v>106</v>
      </c>
      <c r="C162" s="4">
        <v>101</v>
      </c>
      <c r="D162" s="5">
        <v>113.5</v>
      </c>
      <c r="E162" s="4">
        <v>88</v>
      </c>
      <c r="F162" s="4">
        <v>77</v>
      </c>
      <c r="G162" s="4">
        <v>76</v>
      </c>
    </row>
    <row r="163" spans="1:7">
      <c r="A163" s="4" t="s">
        <v>733</v>
      </c>
      <c r="B163" s="5">
        <v>93.5</v>
      </c>
      <c r="C163" s="4">
        <v>92</v>
      </c>
      <c r="D163" s="5">
        <v>113.5</v>
      </c>
      <c r="E163" s="4">
        <v>90</v>
      </c>
      <c r="F163" s="4">
        <v>87</v>
      </c>
      <c r="G163" s="4">
        <v>85</v>
      </c>
    </row>
    <row r="164" spans="1:7">
      <c r="A164" s="4" t="s">
        <v>187</v>
      </c>
      <c r="B164" s="4">
        <v>103</v>
      </c>
      <c r="C164" s="4">
        <v>104</v>
      </c>
      <c r="D164" s="4">
        <v>114</v>
      </c>
      <c r="E164" s="4">
        <v>83</v>
      </c>
      <c r="F164" s="4">
        <v>78</v>
      </c>
      <c r="G164" s="4">
        <v>78</v>
      </c>
    </row>
    <row r="165" spans="1:7">
      <c r="A165" s="4" t="s">
        <v>240</v>
      </c>
      <c r="B165" s="5">
        <v>106.5</v>
      </c>
      <c r="C165" s="4">
        <v>114</v>
      </c>
      <c r="D165" s="5">
        <v>86.5</v>
      </c>
      <c r="E165" s="4">
        <v>87</v>
      </c>
      <c r="F165" s="4">
        <v>86</v>
      </c>
      <c r="G165" s="4">
        <v>80</v>
      </c>
    </row>
    <row r="166" spans="1:7">
      <c r="A166" s="4" t="s">
        <v>802</v>
      </c>
      <c r="B166" s="4">
        <v>99</v>
      </c>
      <c r="C166" s="4">
        <v>110</v>
      </c>
      <c r="D166" s="4">
        <v>110</v>
      </c>
      <c r="E166" s="4">
        <v>87</v>
      </c>
      <c r="F166" s="4">
        <v>85</v>
      </c>
      <c r="G166" s="4">
        <v>69</v>
      </c>
    </row>
    <row r="167" spans="1:7">
      <c r="A167" s="4" t="s">
        <v>715</v>
      </c>
      <c r="B167" s="5">
        <v>99.5</v>
      </c>
      <c r="C167" s="4">
        <v>100</v>
      </c>
      <c r="D167" s="5">
        <v>111.5</v>
      </c>
      <c r="E167" s="4">
        <v>86</v>
      </c>
      <c r="F167" s="4">
        <v>86</v>
      </c>
      <c r="G167" s="4">
        <v>77</v>
      </c>
    </row>
    <row r="168" spans="1:7">
      <c r="A168" s="4" t="s">
        <v>813</v>
      </c>
      <c r="B168" s="4">
        <v>98</v>
      </c>
      <c r="C168" s="4">
        <v>106</v>
      </c>
      <c r="D168" s="4">
        <v>103</v>
      </c>
      <c r="E168" s="4">
        <v>89</v>
      </c>
      <c r="F168" s="4">
        <v>79</v>
      </c>
      <c r="G168" s="4">
        <v>85</v>
      </c>
    </row>
    <row r="169" spans="1:7">
      <c r="A169" s="4" t="s">
        <v>711</v>
      </c>
      <c r="B169" s="4">
        <v>106</v>
      </c>
      <c r="C169" s="4">
        <v>101</v>
      </c>
      <c r="D169" s="5">
        <v>111.5</v>
      </c>
      <c r="E169" s="4">
        <v>85</v>
      </c>
      <c r="F169" s="4">
        <v>84</v>
      </c>
      <c r="G169" s="4">
        <v>72</v>
      </c>
    </row>
    <row r="170" spans="1:7">
      <c r="A170" s="4" t="s">
        <v>617</v>
      </c>
      <c r="B170" s="4">
        <v>96</v>
      </c>
      <c r="C170" s="4">
        <v>107</v>
      </c>
      <c r="D170" s="4">
        <v>105</v>
      </c>
      <c r="E170" s="4">
        <v>89</v>
      </c>
      <c r="F170" s="4">
        <v>82</v>
      </c>
      <c r="G170" s="4">
        <v>80</v>
      </c>
    </row>
    <row r="171" spans="1:7">
      <c r="A171" s="4" t="s">
        <v>459</v>
      </c>
      <c r="B171" s="4">
        <v>95</v>
      </c>
      <c r="C171" s="4">
        <v>90</v>
      </c>
      <c r="D171" s="4">
        <v>116</v>
      </c>
      <c r="E171" s="4">
        <v>87</v>
      </c>
      <c r="F171" s="4">
        <v>89</v>
      </c>
      <c r="G171" s="4">
        <v>82</v>
      </c>
    </row>
    <row r="172" spans="1:7">
      <c r="A172" s="4" t="s">
        <v>814</v>
      </c>
      <c r="B172" s="4">
        <v>97</v>
      </c>
      <c r="C172" s="4">
        <v>104</v>
      </c>
      <c r="D172" s="5">
        <v>104.5</v>
      </c>
      <c r="E172" s="4">
        <v>89</v>
      </c>
      <c r="F172" s="4">
        <v>83</v>
      </c>
      <c r="G172" s="4">
        <v>81</v>
      </c>
    </row>
    <row r="173" spans="1:7">
      <c r="A173" s="4" t="s">
        <v>662</v>
      </c>
      <c r="B173" s="4">
        <v>102</v>
      </c>
      <c r="C173" s="4">
        <v>101</v>
      </c>
      <c r="D173" s="5">
        <v>110.5</v>
      </c>
      <c r="E173" s="4">
        <v>88</v>
      </c>
      <c r="F173" s="4">
        <v>81</v>
      </c>
      <c r="G173" s="4">
        <v>76</v>
      </c>
    </row>
    <row r="174" spans="1:7">
      <c r="A174" s="4" t="s">
        <v>667</v>
      </c>
      <c r="B174" s="4">
        <v>106</v>
      </c>
      <c r="C174" s="4">
        <v>98</v>
      </c>
      <c r="D174" s="5">
        <v>112.5</v>
      </c>
      <c r="E174" s="4">
        <v>90</v>
      </c>
      <c r="F174" s="4">
        <v>78</v>
      </c>
      <c r="G174" s="4">
        <v>74</v>
      </c>
    </row>
    <row r="175" spans="1:7">
      <c r="A175" s="4" t="s">
        <v>670</v>
      </c>
      <c r="B175" s="4">
        <v>104</v>
      </c>
      <c r="C175" s="4">
        <v>95</v>
      </c>
      <c r="D175" s="5">
        <v>104.5</v>
      </c>
      <c r="E175" s="4">
        <v>88</v>
      </c>
      <c r="F175" s="4">
        <v>85</v>
      </c>
      <c r="G175" s="4">
        <v>82</v>
      </c>
    </row>
    <row r="176" spans="1:7">
      <c r="A176" s="4" t="s">
        <v>625</v>
      </c>
      <c r="B176" s="4">
        <v>93</v>
      </c>
      <c r="C176" s="4">
        <v>102</v>
      </c>
      <c r="D176" s="4">
        <v>110</v>
      </c>
      <c r="E176" s="4">
        <v>90</v>
      </c>
      <c r="F176" s="4">
        <v>82</v>
      </c>
      <c r="G176" s="4">
        <v>81</v>
      </c>
    </row>
    <row r="177" spans="1:7">
      <c r="A177" s="4" t="s">
        <v>590</v>
      </c>
      <c r="B177" s="4">
        <v>94</v>
      </c>
      <c r="C177" s="4">
        <v>99</v>
      </c>
      <c r="D177" s="4">
        <v>114</v>
      </c>
      <c r="E177" s="4">
        <v>83</v>
      </c>
      <c r="F177" s="4">
        <v>85</v>
      </c>
      <c r="G177" s="4">
        <v>83</v>
      </c>
    </row>
    <row r="178" spans="1:7">
      <c r="A178" s="4" t="s">
        <v>618</v>
      </c>
      <c r="B178" s="5">
        <v>89.5</v>
      </c>
      <c r="C178" s="4">
        <v>103</v>
      </c>
      <c r="D178" s="4">
        <v>111</v>
      </c>
      <c r="E178" s="4">
        <v>88</v>
      </c>
      <c r="F178" s="4">
        <v>87</v>
      </c>
      <c r="G178" s="4">
        <v>79</v>
      </c>
    </row>
    <row r="179" spans="1:7">
      <c r="A179" s="4" t="s">
        <v>579</v>
      </c>
      <c r="B179" s="4">
        <v>99</v>
      </c>
      <c r="C179" s="4">
        <v>98</v>
      </c>
      <c r="D179" s="5">
        <v>110.5</v>
      </c>
      <c r="E179" s="4">
        <v>90</v>
      </c>
      <c r="F179" s="4">
        <v>79</v>
      </c>
      <c r="G179" s="4">
        <v>81</v>
      </c>
    </row>
    <row r="180" spans="1:7">
      <c r="A180" s="4" t="s">
        <v>290</v>
      </c>
      <c r="B180" s="4">
        <v>101</v>
      </c>
      <c r="C180" s="4">
        <v>98</v>
      </c>
      <c r="D180" s="5">
        <v>115.5</v>
      </c>
      <c r="E180" s="4">
        <v>84</v>
      </c>
      <c r="F180" s="4">
        <v>79</v>
      </c>
      <c r="G180" s="4">
        <v>80</v>
      </c>
    </row>
    <row r="181" spans="1:7">
      <c r="A181" s="4" t="s">
        <v>806</v>
      </c>
      <c r="B181" s="4">
        <v>100</v>
      </c>
      <c r="C181" s="4">
        <v>100</v>
      </c>
      <c r="D181" s="4">
        <v>111</v>
      </c>
      <c r="E181" s="4">
        <v>90</v>
      </c>
      <c r="F181" s="4">
        <v>80</v>
      </c>
      <c r="G181" s="4">
        <v>76</v>
      </c>
    </row>
    <row r="182" spans="1:7">
      <c r="A182" s="4" t="s">
        <v>646</v>
      </c>
      <c r="B182" s="4">
        <v>100</v>
      </c>
      <c r="C182" s="4">
        <v>104</v>
      </c>
      <c r="D182" s="4">
        <v>111</v>
      </c>
      <c r="E182" s="4">
        <v>89</v>
      </c>
      <c r="F182" s="4">
        <v>74</v>
      </c>
      <c r="G182" s="4">
        <v>79</v>
      </c>
    </row>
    <row r="183" spans="1:7">
      <c r="A183" s="4" t="s">
        <v>674</v>
      </c>
      <c r="B183" s="4">
        <v>95</v>
      </c>
      <c r="C183" s="4">
        <v>103</v>
      </c>
      <c r="D183" s="4">
        <v>111</v>
      </c>
      <c r="E183" s="4">
        <v>89</v>
      </c>
      <c r="F183" s="4">
        <v>82</v>
      </c>
      <c r="G183" s="4">
        <v>77</v>
      </c>
    </row>
    <row r="184" spans="1:7">
      <c r="A184" s="4" t="s">
        <v>677</v>
      </c>
      <c r="B184" s="4">
        <v>102</v>
      </c>
      <c r="C184" s="4">
        <v>108</v>
      </c>
      <c r="D184" s="4">
        <v>94</v>
      </c>
      <c r="E184" s="4">
        <v>88</v>
      </c>
      <c r="F184" s="4">
        <v>83</v>
      </c>
      <c r="G184" s="4">
        <v>82</v>
      </c>
    </row>
    <row r="185" spans="1:7">
      <c r="A185" s="4" t="s">
        <v>610</v>
      </c>
      <c r="B185" s="4">
        <v>91</v>
      </c>
      <c r="C185" s="4">
        <v>119</v>
      </c>
      <c r="D185" s="4">
        <v>105</v>
      </c>
      <c r="E185" s="4">
        <v>85</v>
      </c>
      <c r="F185" s="4">
        <v>81</v>
      </c>
      <c r="G185" s="4">
        <v>76</v>
      </c>
    </row>
    <row r="186" spans="1:7">
      <c r="A186" s="4" t="s">
        <v>633</v>
      </c>
      <c r="B186" s="5">
        <v>97.5</v>
      </c>
      <c r="C186" s="4">
        <v>115</v>
      </c>
      <c r="D186" s="5">
        <v>109.5</v>
      </c>
      <c r="E186" s="4">
        <v>89</v>
      </c>
      <c r="F186" s="4">
        <v>74</v>
      </c>
      <c r="G186" s="4">
        <v>72</v>
      </c>
    </row>
    <row r="187" spans="1:7">
      <c r="A187" s="4" t="s">
        <v>775</v>
      </c>
      <c r="B187" s="4">
        <v>94</v>
      </c>
      <c r="C187" s="4">
        <v>101</v>
      </c>
      <c r="D187" s="5">
        <v>109.5</v>
      </c>
      <c r="E187" s="4">
        <v>88</v>
      </c>
      <c r="F187" s="4">
        <v>80</v>
      </c>
      <c r="G187" s="4">
        <v>84</v>
      </c>
    </row>
    <row r="188" spans="1:7">
      <c r="A188" s="4" t="s">
        <v>591</v>
      </c>
      <c r="B188" s="4">
        <v>101</v>
      </c>
      <c r="C188" s="4">
        <v>105</v>
      </c>
      <c r="D188" s="5">
        <v>108.5</v>
      </c>
      <c r="E188" s="4">
        <v>84</v>
      </c>
      <c r="F188" s="4">
        <v>81</v>
      </c>
      <c r="G188" s="4">
        <v>77</v>
      </c>
    </row>
    <row r="189" spans="1:7">
      <c r="A189" s="4" t="s">
        <v>269</v>
      </c>
      <c r="B189" s="4">
        <v>89</v>
      </c>
      <c r="C189" s="4">
        <v>110</v>
      </c>
      <c r="D189" s="5">
        <v>111.5</v>
      </c>
      <c r="E189" s="4">
        <v>85</v>
      </c>
      <c r="F189" s="4">
        <v>82</v>
      </c>
      <c r="G189" s="4">
        <v>79</v>
      </c>
    </row>
    <row r="190" spans="1:7">
      <c r="A190" s="4" t="s">
        <v>717</v>
      </c>
      <c r="B190" s="4">
        <v>109</v>
      </c>
      <c r="C190" s="4">
        <v>98</v>
      </c>
      <c r="D190" s="4">
        <v>111</v>
      </c>
      <c r="E190" s="4">
        <v>82</v>
      </c>
      <c r="F190" s="4">
        <v>76</v>
      </c>
      <c r="G190" s="4">
        <v>80</v>
      </c>
    </row>
    <row r="191" spans="1:7">
      <c r="A191" s="4" t="s">
        <v>388</v>
      </c>
      <c r="B191" s="4">
        <v>104</v>
      </c>
      <c r="C191" s="4">
        <v>102</v>
      </c>
      <c r="D191" s="5">
        <v>106.5</v>
      </c>
      <c r="E191" s="4">
        <v>88</v>
      </c>
      <c r="F191" s="4">
        <v>81</v>
      </c>
      <c r="G191" s="4">
        <v>74</v>
      </c>
    </row>
    <row r="192" spans="1:7">
      <c r="A192" s="4" t="s">
        <v>567</v>
      </c>
      <c r="B192" s="4">
        <v>102</v>
      </c>
      <c r="C192" s="4">
        <v>100</v>
      </c>
      <c r="D192" s="5">
        <v>112.5</v>
      </c>
      <c r="E192" s="4">
        <v>83</v>
      </c>
      <c r="F192" s="4">
        <v>81</v>
      </c>
      <c r="G192" s="4">
        <v>77</v>
      </c>
    </row>
    <row r="193" spans="1:7">
      <c r="A193" s="4" t="s">
        <v>763</v>
      </c>
      <c r="B193" s="4">
        <v>97</v>
      </c>
      <c r="C193" s="4">
        <v>100</v>
      </c>
      <c r="D193" s="4">
        <v>114</v>
      </c>
      <c r="E193" s="4">
        <v>89</v>
      </c>
      <c r="F193" s="4">
        <v>79</v>
      </c>
      <c r="G193" s="4">
        <v>76</v>
      </c>
    </row>
    <row r="194" spans="1:7">
      <c r="A194" s="4" t="s">
        <v>628</v>
      </c>
      <c r="B194" s="4">
        <v>97</v>
      </c>
      <c r="C194" s="4">
        <v>113</v>
      </c>
      <c r="D194" s="4">
        <v>103</v>
      </c>
      <c r="E194" s="4">
        <v>82</v>
      </c>
      <c r="F194" s="4">
        <v>85</v>
      </c>
      <c r="G194" s="4">
        <v>75</v>
      </c>
    </row>
    <row r="195" spans="1:7">
      <c r="A195" s="4" t="s">
        <v>273</v>
      </c>
      <c r="B195" s="5">
        <v>107.5</v>
      </c>
      <c r="C195" s="4">
        <v>88</v>
      </c>
      <c r="D195" s="5">
        <v>109.5</v>
      </c>
      <c r="E195" s="4">
        <v>86</v>
      </c>
      <c r="F195" s="4">
        <v>79</v>
      </c>
      <c r="G195" s="4">
        <v>85</v>
      </c>
    </row>
    <row r="196" spans="1:7">
      <c r="A196" s="4" t="s">
        <v>420</v>
      </c>
      <c r="B196" s="4">
        <v>93</v>
      </c>
      <c r="C196" s="4">
        <v>100</v>
      </c>
      <c r="D196" s="4">
        <v>111</v>
      </c>
      <c r="E196" s="4">
        <v>86</v>
      </c>
      <c r="F196" s="4">
        <v>84</v>
      </c>
      <c r="G196" s="4">
        <v>81</v>
      </c>
    </row>
    <row r="197" spans="1:7">
      <c r="A197" s="4" t="s">
        <v>248</v>
      </c>
      <c r="B197" s="4">
        <v>99</v>
      </c>
      <c r="C197" s="4">
        <v>100</v>
      </c>
      <c r="D197" s="5">
        <v>101.5</v>
      </c>
      <c r="E197" s="4">
        <v>88</v>
      </c>
      <c r="F197" s="4">
        <v>82</v>
      </c>
      <c r="G197" s="4">
        <v>84</v>
      </c>
    </row>
    <row r="198" spans="1:7">
      <c r="A198" s="4" t="s">
        <v>815</v>
      </c>
      <c r="B198" s="5">
        <v>93.5</v>
      </c>
      <c r="C198" s="4">
        <v>116</v>
      </c>
      <c r="D198" s="4">
        <v>103</v>
      </c>
      <c r="E198" s="4">
        <v>88</v>
      </c>
      <c r="F198" s="4">
        <v>79</v>
      </c>
      <c r="G198" s="4">
        <v>75</v>
      </c>
    </row>
    <row r="199" spans="1:7">
      <c r="A199" s="4" t="s">
        <v>492</v>
      </c>
      <c r="B199" s="4">
        <v>98</v>
      </c>
      <c r="C199" s="4">
        <v>98</v>
      </c>
      <c r="D199" s="5">
        <v>111.5</v>
      </c>
      <c r="E199" s="4">
        <v>88</v>
      </c>
      <c r="F199" s="4">
        <v>80</v>
      </c>
      <c r="G199" s="4">
        <v>79</v>
      </c>
    </row>
    <row r="200" spans="1:7">
      <c r="A200" s="4" t="s">
        <v>780</v>
      </c>
      <c r="B200" s="4">
        <v>95</v>
      </c>
      <c r="C200" s="4">
        <v>102</v>
      </c>
      <c r="D200" s="4">
        <v>112</v>
      </c>
      <c r="E200" s="4">
        <v>84</v>
      </c>
      <c r="F200" s="4">
        <v>84</v>
      </c>
      <c r="G200" s="4">
        <v>77</v>
      </c>
    </row>
    <row r="201" spans="1:7">
      <c r="A201" s="4" t="s">
        <v>805</v>
      </c>
      <c r="B201" s="4">
        <v>99</v>
      </c>
      <c r="C201" s="4">
        <v>101</v>
      </c>
      <c r="D201" s="4">
        <v>113</v>
      </c>
      <c r="E201" s="4">
        <v>85</v>
      </c>
      <c r="F201" s="4">
        <v>81</v>
      </c>
      <c r="G201" s="4">
        <v>75</v>
      </c>
    </row>
    <row r="202" spans="1:7">
      <c r="A202" s="4" t="s">
        <v>406</v>
      </c>
      <c r="B202" s="4">
        <v>105</v>
      </c>
      <c r="C202" s="4">
        <v>91</v>
      </c>
      <c r="D202" s="4">
        <v>113</v>
      </c>
      <c r="E202" s="4">
        <v>86</v>
      </c>
      <c r="F202" s="4">
        <v>82</v>
      </c>
      <c r="G202" s="4">
        <v>77</v>
      </c>
    </row>
    <row r="203" spans="1:7">
      <c r="A203" s="4" t="s">
        <v>681</v>
      </c>
      <c r="B203" s="4">
        <v>97</v>
      </c>
      <c r="C203" s="4">
        <v>93</v>
      </c>
      <c r="D203" s="5">
        <v>109.5</v>
      </c>
      <c r="E203" s="4">
        <v>87</v>
      </c>
      <c r="F203" s="4">
        <v>81</v>
      </c>
      <c r="G203" s="4">
        <v>86</v>
      </c>
    </row>
    <row r="204" spans="1:7">
      <c r="A204" s="4" t="s">
        <v>522</v>
      </c>
      <c r="B204" s="4">
        <v>95</v>
      </c>
      <c r="C204" s="4">
        <v>113</v>
      </c>
      <c r="D204" s="5">
        <v>112.5</v>
      </c>
      <c r="E204" s="4">
        <v>85</v>
      </c>
      <c r="F204" s="4">
        <v>79</v>
      </c>
      <c r="G204" s="4">
        <v>69</v>
      </c>
    </row>
    <row r="205" spans="1:7">
      <c r="A205" s="4" t="s">
        <v>634</v>
      </c>
      <c r="B205" s="4">
        <v>90</v>
      </c>
      <c r="C205" s="4">
        <v>106</v>
      </c>
      <c r="D205" s="5">
        <v>114.5</v>
      </c>
      <c r="E205" s="4">
        <v>86</v>
      </c>
      <c r="F205" s="4">
        <v>78</v>
      </c>
      <c r="G205" s="4">
        <v>79</v>
      </c>
    </row>
    <row r="206" spans="1:7">
      <c r="A206" s="4" t="s">
        <v>450</v>
      </c>
      <c r="B206" s="4">
        <v>109</v>
      </c>
      <c r="C206" s="4">
        <v>98</v>
      </c>
      <c r="D206" s="5">
        <v>102.5</v>
      </c>
      <c r="E206" s="4">
        <v>86</v>
      </c>
      <c r="F206" s="4">
        <v>84</v>
      </c>
      <c r="G206" s="4">
        <v>74</v>
      </c>
    </row>
    <row r="207" spans="1:7">
      <c r="A207" s="4" t="s">
        <v>800</v>
      </c>
      <c r="B207" s="4">
        <v>104</v>
      </c>
      <c r="C207" s="4">
        <v>95</v>
      </c>
      <c r="D207" s="4">
        <v>111</v>
      </c>
      <c r="E207" s="4">
        <v>86</v>
      </c>
      <c r="F207" s="4">
        <v>79</v>
      </c>
      <c r="G207" s="4">
        <v>78</v>
      </c>
    </row>
    <row r="208" spans="1:7">
      <c r="A208" s="4" t="s">
        <v>640</v>
      </c>
      <c r="B208" s="4">
        <v>100</v>
      </c>
      <c r="C208" s="4">
        <v>96</v>
      </c>
      <c r="D208" s="4">
        <v>108</v>
      </c>
      <c r="E208" s="4">
        <v>89</v>
      </c>
      <c r="F208" s="4">
        <v>78</v>
      </c>
      <c r="G208" s="4">
        <v>82</v>
      </c>
    </row>
    <row r="209" spans="1:7">
      <c r="A209" s="4" t="s">
        <v>658</v>
      </c>
      <c r="B209" s="4">
        <v>99</v>
      </c>
      <c r="C209" s="4">
        <v>104</v>
      </c>
      <c r="D209" s="4">
        <v>105</v>
      </c>
      <c r="E209" s="4">
        <v>90</v>
      </c>
      <c r="F209" s="4">
        <v>78</v>
      </c>
      <c r="G209" s="4">
        <v>77</v>
      </c>
    </row>
    <row r="210" spans="1:7">
      <c r="A210" s="4" t="s">
        <v>659</v>
      </c>
      <c r="B210" s="5">
        <v>92.5</v>
      </c>
      <c r="C210" s="4">
        <v>98</v>
      </c>
      <c r="D210" s="5">
        <v>106.5</v>
      </c>
      <c r="E210" s="4">
        <v>88</v>
      </c>
      <c r="F210" s="4">
        <v>89</v>
      </c>
      <c r="G210" s="4">
        <v>79</v>
      </c>
    </row>
    <row r="211" spans="1:7">
      <c r="A211" s="4" t="s">
        <v>672</v>
      </c>
      <c r="B211" s="4">
        <v>93</v>
      </c>
      <c r="C211" s="4">
        <v>103</v>
      </c>
      <c r="D211" s="4">
        <v>115</v>
      </c>
      <c r="E211" s="4">
        <v>86</v>
      </c>
      <c r="F211" s="4">
        <v>77</v>
      </c>
      <c r="G211" s="4">
        <v>79</v>
      </c>
    </row>
    <row r="212" spans="1:7">
      <c r="A212" s="4" t="s">
        <v>615</v>
      </c>
      <c r="B212" s="4">
        <v>101</v>
      </c>
      <c r="C212" s="4">
        <v>99</v>
      </c>
      <c r="D212" s="4">
        <v>107</v>
      </c>
      <c r="E212" s="4">
        <v>85</v>
      </c>
      <c r="F212" s="4">
        <v>75</v>
      </c>
      <c r="G212" s="4">
        <v>86</v>
      </c>
    </row>
    <row r="213" spans="1:7">
      <c r="A213" s="4" t="s">
        <v>769</v>
      </c>
      <c r="B213" s="5">
        <v>97.5</v>
      </c>
      <c r="C213" s="4">
        <v>109</v>
      </c>
      <c r="D213" s="4">
        <v>99</v>
      </c>
      <c r="E213" s="4">
        <v>85</v>
      </c>
      <c r="F213" s="4">
        <v>87</v>
      </c>
      <c r="G213" s="4">
        <v>75</v>
      </c>
    </row>
    <row r="214" spans="1:7">
      <c r="A214" s="4" t="s">
        <v>744</v>
      </c>
      <c r="B214" s="4">
        <v>99</v>
      </c>
      <c r="C214" s="4">
        <v>91</v>
      </c>
      <c r="D214" s="5">
        <v>108.5</v>
      </c>
      <c r="E214" s="4">
        <v>88</v>
      </c>
      <c r="F214" s="4">
        <v>85</v>
      </c>
      <c r="G214" s="4">
        <v>81</v>
      </c>
    </row>
    <row r="215" spans="1:7">
      <c r="A215" s="4" t="s">
        <v>637</v>
      </c>
      <c r="B215" s="5">
        <v>95.5</v>
      </c>
      <c r="C215" s="4">
        <v>103</v>
      </c>
      <c r="D215" s="4">
        <v>110</v>
      </c>
      <c r="E215" s="4">
        <v>84</v>
      </c>
      <c r="F215" s="4">
        <v>79</v>
      </c>
      <c r="G215" s="4">
        <v>81</v>
      </c>
    </row>
    <row r="216" spans="1:7">
      <c r="A216" s="4" t="s">
        <v>685</v>
      </c>
      <c r="B216" s="4">
        <v>94</v>
      </c>
      <c r="C216" s="4">
        <v>95</v>
      </c>
      <c r="D216" s="4">
        <v>112</v>
      </c>
      <c r="E216" s="4">
        <v>89</v>
      </c>
      <c r="F216" s="4">
        <v>83</v>
      </c>
      <c r="G216" s="4">
        <v>79</v>
      </c>
    </row>
    <row r="217" spans="1:7">
      <c r="A217" s="4" t="s">
        <v>694</v>
      </c>
      <c r="B217" s="4">
        <v>96</v>
      </c>
      <c r="C217" s="4">
        <v>108</v>
      </c>
      <c r="D217" s="4">
        <v>111</v>
      </c>
      <c r="E217" s="4">
        <v>84</v>
      </c>
      <c r="F217" s="4">
        <v>78</v>
      </c>
      <c r="G217" s="4">
        <v>75</v>
      </c>
    </row>
    <row r="218" spans="1:7">
      <c r="A218" s="4" t="s">
        <v>545</v>
      </c>
      <c r="B218" s="4">
        <v>106</v>
      </c>
      <c r="C218" s="4">
        <v>95</v>
      </c>
      <c r="D218" s="4">
        <v>103</v>
      </c>
      <c r="E218" s="4">
        <v>89</v>
      </c>
      <c r="F218" s="4">
        <v>81</v>
      </c>
      <c r="G218" s="4">
        <v>78</v>
      </c>
    </row>
    <row r="219" spans="1:7">
      <c r="A219" s="4" t="s">
        <v>421</v>
      </c>
      <c r="B219" s="4">
        <v>96</v>
      </c>
      <c r="C219" s="4">
        <v>101</v>
      </c>
      <c r="D219" s="4">
        <v>107</v>
      </c>
      <c r="E219" s="4">
        <v>87</v>
      </c>
      <c r="F219" s="4">
        <v>83</v>
      </c>
      <c r="G219" s="4">
        <v>78</v>
      </c>
    </row>
    <row r="220" spans="1:7">
      <c r="A220" s="4" t="s">
        <v>747</v>
      </c>
      <c r="B220" s="4">
        <v>106</v>
      </c>
      <c r="C220" s="4">
        <v>89</v>
      </c>
      <c r="D220" s="4">
        <v>107</v>
      </c>
      <c r="E220" s="4">
        <v>87</v>
      </c>
      <c r="F220" s="4">
        <v>79</v>
      </c>
      <c r="G220" s="4">
        <v>84</v>
      </c>
    </row>
    <row r="221" spans="1:7">
      <c r="A221" s="4" t="s">
        <v>389</v>
      </c>
      <c r="B221" s="4">
        <v>93</v>
      </c>
      <c r="C221" s="4">
        <v>109</v>
      </c>
      <c r="D221" s="4">
        <v>108</v>
      </c>
      <c r="E221" s="4">
        <v>83</v>
      </c>
      <c r="F221" s="4">
        <v>76</v>
      </c>
      <c r="G221" s="4">
        <v>83</v>
      </c>
    </row>
    <row r="222" spans="1:7">
      <c r="A222" s="4" t="s">
        <v>641</v>
      </c>
      <c r="B222" s="4">
        <v>97</v>
      </c>
      <c r="C222" s="4">
        <v>108</v>
      </c>
      <c r="D222" s="4">
        <v>107</v>
      </c>
      <c r="E222" s="4">
        <v>84</v>
      </c>
      <c r="F222" s="4">
        <v>82</v>
      </c>
      <c r="G222" s="4">
        <v>74</v>
      </c>
    </row>
    <row r="223" spans="1:7">
      <c r="A223" s="4" t="s">
        <v>653</v>
      </c>
      <c r="B223" s="4">
        <v>92</v>
      </c>
      <c r="C223" s="4">
        <v>100</v>
      </c>
      <c r="D223" s="4">
        <v>111</v>
      </c>
      <c r="E223" s="4">
        <v>85</v>
      </c>
      <c r="F223" s="4">
        <v>78</v>
      </c>
      <c r="G223" s="4">
        <v>86</v>
      </c>
    </row>
    <row r="224" spans="1:7">
      <c r="A224" s="4" t="s">
        <v>506</v>
      </c>
      <c r="B224" s="4">
        <v>100</v>
      </c>
      <c r="C224" s="4">
        <v>103</v>
      </c>
      <c r="D224" s="4">
        <v>112</v>
      </c>
      <c r="E224" s="4">
        <v>89</v>
      </c>
      <c r="F224" s="4">
        <v>75</v>
      </c>
      <c r="G224" s="4">
        <v>73</v>
      </c>
    </row>
    <row r="225" spans="1:7">
      <c r="A225" s="4" t="s">
        <v>553</v>
      </c>
      <c r="B225" s="5">
        <v>96.5</v>
      </c>
      <c r="C225" s="4">
        <v>101</v>
      </c>
      <c r="D225" s="5">
        <v>106.5</v>
      </c>
      <c r="E225" s="4">
        <v>89</v>
      </c>
      <c r="F225" s="4">
        <v>84</v>
      </c>
      <c r="G225" s="4">
        <v>75</v>
      </c>
    </row>
    <row r="226" spans="1:7">
      <c r="A226" s="4" t="s">
        <v>564</v>
      </c>
      <c r="B226" s="4">
        <v>97</v>
      </c>
      <c r="C226" s="4">
        <v>106</v>
      </c>
      <c r="D226" s="4">
        <v>109</v>
      </c>
      <c r="E226" s="4">
        <v>83</v>
      </c>
      <c r="F226" s="4">
        <v>78</v>
      </c>
      <c r="G226" s="4">
        <v>79</v>
      </c>
    </row>
    <row r="227" spans="1:7">
      <c r="A227" s="4" t="s">
        <v>586</v>
      </c>
      <c r="B227" s="4">
        <v>95</v>
      </c>
      <c r="C227" s="4">
        <v>99</v>
      </c>
      <c r="D227" s="4">
        <v>109</v>
      </c>
      <c r="E227" s="4">
        <v>89</v>
      </c>
      <c r="F227" s="4">
        <v>80</v>
      </c>
      <c r="G227" s="4">
        <v>80</v>
      </c>
    </row>
    <row r="228" spans="1:7">
      <c r="A228" s="4" t="s">
        <v>516</v>
      </c>
      <c r="B228" s="4">
        <v>102</v>
      </c>
      <c r="C228" s="4">
        <v>92</v>
      </c>
      <c r="D228" s="5">
        <v>110.5</v>
      </c>
      <c r="E228" s="4">
        <v>85</v>
      </c>
      <c r="F228" s="4">
        <v>80</v>
      </c>
      <c r="G228" s="4">
        <v>82</v>
      </c>
    </row>
    <row r="229" spans="1:7">
      <c r="A229" s="4" t="s">
        <v>529</v>
      </c>
      <c r="B229" s="4">
        <v>101</v>
      </c>
      <c r="C229" s="4">
        <v>98</v>
      </c>
      <c r="D229" s="5">
        <v>106.5</v>
      </c>
      <c r="E229" s="4">
        <v>87</v>
      </c>
      <c r="F229" s="4">
        <v>76</v>
      </c>
      <c r="G229" s="4">
        <v>83</v>
      </c>
    </row>
    <row r="230" spans="1:7">
      <c r="A230" s="4" t="s">
        <v>816</v>
      </c>
      <c r="B230" s="5">
        <v>109.5</v>
      </c>
      <c r="C230" s="4">
        <v>96</v>
      </c>
      <c r="D230" s="4">
        <v>110</v>
      </c>
      <c r="E230" s="4">
        <v>82</v>
      </c>
      <c r="F230" s="4">
        <v>77</v>
      </c>
      <c r="G230" s="4">
        <v>77</v>
      </c>
    </row>
    <row r="231" spans="1:7">
      <c r="A231" s="4" t="s">
        <v>418</v>
      </c>
      <c r="B231" s="4">
        <v>96</v>
      </c>
      <c r="C231" s="4">
        <v>110</v>
      </c>
      <c r="D231" s="4">
        <v>102</v>
      </c>
      <c r="E231" s="4">
        <v>83</v>
      </c>
      <c r="F231" s="4">
        <v>79</v>
      </c>
      <c r="G231" s="4">
        <v>81</v>
      </c>
    </row>
    <row r="232" spans="1:7">
      <c r="A232" s="4" t="s">
        <v>572</v>
      </c>
      <c r="B232" s="4">
        <v>99</v>
      </c>
      <c r="C232" s="4">
        <v>105</v>
      </c>
      <c r="D232" s="5">
        <v>101.5</v>
      </c>
      <c r="E232" s="4">
        <v>84</v>
      </c>
      <c r="F232" s="4">
        <v>85</v>
      </c>
      <c r="G232" s="4">
        <v>76</v>
      </c>
    </row>
    <row r="233" spans="1:7">
      <c r="A233" s="4" t="s">
        <v>585</v>
      </c>
      <c r="B233" s="4">
        <v>96</v>
      </c>
      <c r="C233" s="4">
        <v>96</v>
      </c>
      <c r="D233" s="5">
        <v>109.5</v>
      </c>
      <c r="E233" s="4">
        <v>84</v>
      </c>
      <c r="F233" s="4">
        <v>83</v>
      </c>
      <c r="G233" s="4">
        <v>82</v>
      </c>
    </row>
    <row r="234" spans="1:7">
      <c r="A234" s="4" t="s">
        <v>311</v>
      </c>
      <c r="B234" s="4">
        <v>101</v>
      </c>
      <c r="C234" s="4">
        <v>105</v>
      </c>
      <c r="D234" s="5">
        <v>106.5</v>
      </c>
      <c r="E234" s="4">
        <v>87</v>
      </c>
      <c r="F234" s="4">
        <v>76</v>
      </c>
      <c r="G234" s="4">
        <v>75</v>
      </c>
    </row>
    <row r="235" spans="1:7">
      <c r="A235" s="4" t="s">
        <v>817</v>
      </c>
      <c r="B235" s="4">
        <v>113</v>
      </c>
      <c r="C235" s="4">
        <v>90</v>
      </c>
      <c r="D235" s="4">
        <v>103</v>
      </c>
      <c r="E235" s="4">
        <v>84</v>
      </c>
      <c r="F235" s="4">
        <v>82</v>
      </c>
      <c r="G235" s="4">
        <v>78</v>
      </c>
    </row>
    <row r="236" spans="1:7">
      <c r="A236" s="4" t="s">
        <v>409</v>
      </c>
      <c r="B236" s="4">
        <v>97</v>
      </c>
      <c r="C236" s="4">
        <v>106</v>
      </c>
      <c r="D236" s="4">
        <v>109</v>
      </c>
      <c r="E236" s="4">
        <v>88</v>
      </c>
      <c r="F236" s="4">
        <v>78</v>
      </c>
      <c r="G236" s="4">
        <v>72</v>
      </c>
    </row>
    <row r="237" spans="1:7">
      <c r="A237" s="4" t="s">
        <v>772</v>
      </c>
      <c r="B237" s="5">
        <v>101.5</v>
      </c>
      <c r="C237" s="4">
        <v>95</v>
      </c>
      <c r="D237" s="4">
        <v>111</v>
      </c>
      <c r="E237" s="4">
        <v>89</v>
      </c>
      <c r="F237" s="4">
        <v>84</v>
      </c>
      <c r="G237" s="4">
        <v>69</v>
      </c>
    </row>
    <row r="238" spans="1:7">
      <c r="A238" s="4" t="s">
        <v>122</v>
      </c>
      <c r="B238" s="4">
        <v>98</v>
      </c>
      <c r="C238" s="4">
        <v>108</v>
      </c>
      <c r="D238" s="5">
        <v>94.5</v>
      </c>
      <c r="E238" s="4">
        <v>86</v>
      </c>
      <c r="F238" s="4">
        <v>84</v>
      </c>
      <c r="G238" s="4">
        <v>79</v>
      </c>
    </row>
    <row r="239" spans="1:7">
      <c r="A239" s="4" t="s">
        <v>621</v>
      </c>
      <c r="B239" s="4">
        <v>98</v>
      </c>
      <c r="C239" s="4">
        <v>109</v>
      </c>
      <c r="D239" s="4">
        <v>108</v>
      </c>
      <c r="E239" s="4">
        <v>89</v>
      </c>
      <c r="F239" s="4">
        <v>65</v>
      </c>
      <c r="G239" s="4">
        <v>80</v>
      </c>
    </row>
    <row r="240" spans="1:7">
      <c r="A240" s="4" t="s">
        <v>473</v>
      </c>
      <c r="B240" s="5">
        <v>97.5</v>
      </c>
      <c r="C240" s="4">
        <v>108</v>
      </c>
      <c r="D240" s="4">
        <v>107</v>
      </c>
      <c r="E240" s="4">
        <v>89</v>
      </c>
      <c r="F240" s="4">
        <v>68</v>
      </c>
      <c r="G240" s="4">
        <v>79</v>
      </c>
    </row>
    <row r="241" spans="1:7">
      <c r="A241" s="4" t="s">
        <v>700</v>
      </c>
      <c r="B241" s="4">
        <v>101</v>
      </c>
      <c r="C241" s="4">
        <v>103</v>
      </c>
      <c r="D241" s="5">
        <v>110.5</v>
      </c>
      <c r="E241" s="4">
        <v>85</v>
      </c>
      <c r="F241" s="4">
        <v>79</v>
      </c>
      <c r="G241" s="4">
        <v>70</v>
      </c>
    </row>
    <row r="242" spans="1:7">
      <c r="A242" s="4" t="s">
        <v>573</v>
      </c>
      <c r="B242" s="4">
        <v>100</v>
      </c>
      <c r="C242" s="4">
        <v>97</v>
      </c>
      <c r="D242" s="5">
        <v>113.5</v>
      </c>
      <c r="E242" s="4">
        <v>83</v>
      </c>
      <c r="F242" s="4">
        <v>77</v>
      </c>
      <c r="G242" s="4">
        <v>78</v>
      </c>
    </row>
    <row r="243" spans="1:7">
      <c r="A243" s="4" t="s">
        <v>288</v>
      </c>
      <c r="B243" s="4">
        <v>95</v>
      </c>
      <c r="C243" s="4">
        <v>93</v>
      </c>
      <c r="D243" s="5">
        <v>104.5</v>
      </c>
      <c r="E243" s="4">
        <v>87</v>
      </c>
      <c r="F243" s="4">
        <v>89</v>
      </c>
      <c r="G243" s="4">
        <v>80</v>
      </c>
    </row>
    <row r="244" spans="1:7">
      <c r="A244" s="4" t="s">
        <v>474</v>
      </c>
      <c r="B244" s="4">
        <v>106</v>
      </c>
      <c r="C244" s="4">
        <v>88</v>
      </c>
      <c r="D244" s="4">
        <v>112</v>
      </c>
      <c r="E244" s="4">
        <v>90</v>
      </c>
      <c r="F244" s="4">
        <v>74</v>
      </c>
      <c r="G244" s="4">
        <v>78</v>
      </c>
    </row>
    <row r="245" spans="1:7">
      <c r="A245" s="4" t="s">
        <v>481</v>
      </c>
      <c r="B245" s="4">
        <v>89</v>
      </c>
      <c r="C245" s="4">
        <v>108</v>
      </c>
      <c r="D245" s="4">
        <v>100</v>
      </c>
      <c r="E245" s="4">
        <v>90</v>
      </c>
      <c r="F245" s="4">
        <v>78</v>
      </c>
      <c r="G245" s="4">
        <v>83</v>
      </c>
    </row>
    <row r="246" spans="1:7">
      <c r="A246" s="4" t="s">
        <v>799</v>
      </c>
      <c r="B246" s="5">
        <v>97.5</v>
      </c>
      <c r="C246" s="4">
        <v>103</v>
      </c>
      <c r="D246" s="5">
        <v>108.5</v>
      </c>
      <c r="E246" s="4">
        <v>87</v>
      </c>
      <c r="F246" s="4">
        <v>81</v>
      </c>
      <c r="G246" s="4">
        <v>71</v>
      </c>
    </row>
    <row r="247" spans="1:7">
      <c r="A247" s="4" t="s">
        <v>524</v>
      </c>
      <c r="B247" s="4">
        <v>101</v>
      </c>
      <c r="C247" s="4">
        <v>88</v>
      </c>
      <c r="D247" s="4">
        <v>113</v>
      </c>
      <c r="E247" s="4">
        <v>90</v>
      </c>
      <c r="F247" s="4">
        <v>81</v>
      </c>
      <c r="G247" s="4">
        <v>75</v>
      </c>
    </row>
    <row r="248" spans="1:7">
      <c r="A248" s="4" t="s">
        <v>534</v>
      </c>
      <c r="B248" s="5">
        <v>96.5</v>
      </c>
      <c r="C248" s="4">
        <v>95</v>
      </c>
      <c r="D248" s="5">
        <v>117.5</v>
      </c>
      <c r="E248" s="4">
        <v>81</v>
      </c>
      <c r="F248" s="4">
        <v>81</v>
      </c>
      <c r="G248" s="4">
        <v>77</v>
      </c>
    </row>
    <row r="249" spans="1:7">
      <c r="A249" s="4" t="s">
        <v>724</v>
      </c>
      <c r="B249" s="4">
        <v>95</v>
      </c>
      <c r="C249" s="4">
        <v>92</v>
      </c>
      <c r="D249" s="4">
        <v>112</v>
      </c>
      <c r="E249" s="4">
        <v>86</v>
      </c>
      <c r="F249" s="4">
        <v>79</v>
      </c>
      <c r="G249" s="4">
        <v>84</v>
      </c>
    </row>
    <row r="250" spans="1:7">
      <c r="A250" s="4" t="s">
        <v>464</v>
      </c>
      <c r="B250" s="4">
        <v>93</v>
      </c>
      <c r="C250" s="4">
        <v>113</v>
      </c>
      <c r="D250" s="4">
        <v>103</v>
      </c>
      <c r="E250" s="4">
        <v>88</v>
      </c>
      <c r="F250" s="4">
        <v>77</v>
      </c>
      <c r="G250" s="4">
        <v>74</v>
      </c>
    </row>
    <row r="251" spans="1:7">
      <c r="A251" s="4" t="s">
        <v>749</v>
      </c>
      <c r="B251" s="4">
        <v>95</v>
      </c>
      <c r="C251" s="4">
        <v>100</v>
      </c>
      <c r="D251" s="5">
        <v>112.5</v>
      </c>
      <c r="E251" s="4">
        <v>86</v>
      </c>
      <c r="F251" s="4">
        <v>77</v>
      </c>
      <c r="G251" s="4">
        <v>77</v>
      </c>
    </row>
    <row r="252" spans="1:7">
      <c r="A252" s="4" t="s">
        <v>594</v>
      </c>
      <c r="B252" s="5">
        <v>81.5</v>
      </c>
      <c r="C252" s="4">
        <v>111</v>
      </c>
      <c r="D252" s="4">
        <v>109</v>
      </c>
      <c r="E252" s="4">
        <v>85</v>
      </c>
      <c r="F252" s="4">
        <v>80</v>
      </c>
      <c r="G252" s="4">
        <v>81</v>
      </c>
    </row>
    <row r="253" spans="1:7">
      <c r="A253" s="4" t="s">
        <v>599</v>
      </c>
      <c r="B253" s="4">
        <v>92</v>
      </c>
      <c r="C253" s="4">
        <v>105</v>
      </c>
      <c r="D253" s="5">
        <v>104.5</v>
      </c>
      <c r="E253" s="4">
        <v>90</v>
      </c>
      <c r="F253" s="4">
        <v>78</v>
      </c>
      <c r="G253" s="4">
        <v>78</v>
      </c>
    </row>
    <row r="254" spans="1:7">
      <c r="A254" s="4" t="s">
        <v>801</v>
      </c>
      <c r="B254" s="4">
        <v>102</v>
      </c>
      <c r="C254" s="4">
        <v>96</v>
      </c>
      <c r="D254" s="4">
        <v>109</v>
      </c>
      <c r="E254" s="4">
        <v>85</v>
      </c>
      <c r="F254" s="4">
        <v>80</v>
      </c>
      <c r="G254" s="4">
        <v>75</v>
      </c>
    </row>
    <row r="255" spans="1:7">
      <c r="A255" s="4" t="s">
        <v>665</v>
      </c>
      <c r="B255" s="4">
        <v>94</v>
      </c>
      <c r="C255" s="4">
        <v>106</v>
      </c>
      <c r="D255" s="4">
        <v>108</v>
      </c>
      <c r="E255" s="4">
        <v>88</v>
      </c>
      <c r="F255" s="4">
        <v>70</v>
      </c>
      <c r="G255" s="4">
        <v>81</v>
      </c>
    </row>
    <row r="256" spans="1:7">
      <c r="A256" s="4" t="s">
        <v>603</v>
      </c>
      <c r="B256" s="4">
        <v>98</v>
      </c>
      <c r="C256" s="4">
        <v>111</v>
      </c>
      <c r="D256" s="4">
        <v>103</v>
      </c>
      <c r="E256" s="4">
        <v>79</v>
      </c>
      <c r="F256" s="4">
        <v>71</v>
      </c>
      <c r="G256" s="4">
        <v>85</v>
      </c>
    </row>
    <row r="257" spans="1:7">
      <c r="A257" s="4" t="s">
        <v>605</v>
      </c>
      <c r="B257" s="4">
        <v>106</v>
      </c>
      <c r="C257" s="4">
        <v>108</v>
      </c>
      <c r="D257" s="4">
        <v>107</v>
      </c>
      <c r="E257" s="4">
        <v>77</v>
      </c>
      <c r="F257" s="4">
        <v>75</v>
      </c>
      <c r="G257" s="4">
        <v>74</v>
      </c>
    </row>
    <row r="258" spans="1:7">
      <c r="A258" s="4" t="s">
        <v>293</v>
      </c>
      <c r="B258" s="4">
        <v>89</v>
      </c>
      <c r="C258" s="4">
        <v>96</v>
      </c>
      <c r="D258" s="4">
        <v>109</v>
      </c>
      <c r="E258" s="4">
        <v>84</v>
      </c>
      <c r="F258" s="4">
        <v>85</v>
      </c>
      <c r="G258" s="4">
        <v>84</v>
      </c>
    </row>
    <row r="259" spans="1:7">
      <c r="A259" s="4" t="s">
        <v>339</v>
      </c>
      <c r="B259" s="4">
        <v>90</v>
      </c>
      <c r="C259" s="4">
        <v>101</v>
      </c>
      <c r="D259" s="4">
        <v>106</v>
      </c>
      <c r="E259" s="4">
        <v>90</v>
      </c>
      <c r="F259" s="4">
        <v>83</v>
      </c>
      <c r="G259" s="4">
        <v>77</v>
      </c>
    </row>
    <row r="260" spans="1:7">
      <c r="A260" s="4" t="s">
        <v>707</v>
      </c>
      <c r="B260" s="4">
        <v>92</v>
      </c>
      <c r="C260" s="4">
        <v>102</v>
      </c>
      <c r="D260" s="5">
        <v>113.5</v>
      </c>
      <c r="E260" s="4">
        <v>88</v>
      </c>
      <c r="F260" s="4">
        <v>80</v>
      </c>
      <c r="G260" s="4">
        <v>71</v>
      </c>
    </row>
    <row r="261" spans="1:7">
      <c r="A261" s="4" t="s">
        <v>401</v>
      </c>
      <c r="B261" s="4">
        <v>95</v>
      </c>
      <c r="C261" s="4">
        <v>104</v>
      </c>
      <c r="D261" s="5">
        <v>109.5</v>
      </c>
      <c r="E261" s="4">
        <v>81</v>
      </c>
      <c r="F261" s="4">
        <v>78</v>
      </c>
      <c r="G261" s="4">
        <v>79</v>
      </c>
    </row>
    <row r="262" spans="1:7">
      <c r="A262" s="4" t="s">
        <v>461</v>
      </c>
      <c r="B262" s="4">
        <v>101</v>
      </c>
      <c r="C262" s="4">
        <v>107</v>
      </c>
      <c r="D262" s="5">
        <v>96.5</v>
      </c>
      <c r="E262" s="4">
        <v>82</v>
      </c>
      <c r="F262" s="4">
        <v>84</v>
      </c>
      <c r="G262" s="4">
        <v>76</v>
      </c>
    </row>
    <row r="263" spans="1:7">
      <c r="A263" s="4" t="s">
        <v>713</v>
      </c>
      <c r="B263" s="4">
        <v>90</v>
      </c>
      <c r="C263" s="4">
        <v>106</v>
      </c>
      <c r="D263" s="4">
        <v>109</v>
      </c>
      <c r="E263" s="4">
        <v>86</v>
      </c>
      <c r="F263" s="4">
        <v>81</v>
      </c>
      <c r="G263" s="4">
        <v>74</v>
      </c>
    </row>
    <row r="264" spans="1:7">
      <c r="A264" s="4" t="s">
        <v>527</v>
      </c>
      <c r="B264" s="4">
        <v>99</v>
      </c>
      <c r="C264" s="4">
        <v>101</v>
      </c>
      <c r="D264" s="4">
        <v>103</v>
      </c>
      <c r="E264" s="4">
        <v>87</v>
      </c>
      <c r="F264" s="4">
        <v>74</v>
      </c>
      <c r="G264" s="4">
        <v>82</v>
      </c>
    </row>
    <row r="265" spans="1:7">
      <c r="A265" s="4" t="s">
        <v>412</v>
      </c>
      <c r="B265" s="4">
        <v>99</v>
      </c>
      <c r="C265" s="4">
        <v>98</v>
      </c>
      <c r="D265" s="4">
        <v>106</v>
      </c>
      <c r="E265" s="4">
        <v>85</v>
      </c>
      <c r="F265" s="4">
        <v>78</v>
      </c>
      <c r="G265" s="4">
        <v>80</v>
      </c>
    </row>
    <row r="266" spans="1:7">
      <c r="A266" s="4" t="s">
        <v>611</v>
      </c>
      <c r="B266" s="5">
        <v>93.5</v>
      </c>
      <c r="C266" s="4">
        <v>98</v>
      </c>
      <c r="D266" s="5">
        <v>111.5</v>
      </c>
      <c r="E266" s="4">
        <v>89</v>
      </c>
      <c r="F266" s="4">
        <v>76</v>
      </c>
      <c r="G266" s="4">
        <v>78</v>
      </c>
    </row>
    <row r="267" spans="1:7">
      <c r="A267" s="4" t="s">
        <v>441</v>
      </c>
      <c r="B267" s="5">
        <v>104.5</v>
      </c>
      <c r="C267" s="4">
        <v>96</v>
      </c>
      <c r="D267" s="5">
        <v>109.5</v>
      </c>
      <c r="E267" s="4">
        <v>86</v>
      </c>
      <c r="F267" s="4">
        <v>79</v>
      </c>
      <c r="G267" s="4">
        <v>71</v>
      </c>
    </row>
    <row r="268" spans="1:7">
      <c r="A268" s="4" t="s">
        <v>699</v>
      </c>
      <c r="B268" s="4">
        <v>107</v>
      </c>
      <c r="C268" s="4">
        <v>87</v>
      </c>
      <c r="D268" s="5">
        <v>115.5</v>
      </c>
      <c r="E268" s="4">
        <v>83</v>
      </c>
      <c r="F268" s="4">
        <v>76</v>
      </c>
      <c r="G268" s="4">
        <v>77</v>
      </c>
    </row>
    <row r="269" spans="1:7">
      <c r="A269" s="4" t="s">
        <v>542</v>
      </c>
      <c r="B269" s="4">
        <v>100</v>
      </c>
      <c r="C269" s="4">
        <v>92</v>
      </c>
      <c r="D269" s="5">
        <v>106.5</v>
      </c>
      <c r="E269" s="4">
        <v>82</v>
      </c>
      <c r="F269" s="4">
        <v>84</v>
      </c>
      <c r="G269" s="4">
        <v>81</v>
      </c>
    </row>
    <row r="270" spans="1:7">
      <c r="A270" s="4" t="s">
        <v>754</v>
      </c>
      <c r="B270" s="4">
        <v>100</v>
      </c>
      <c r="C270" s="4">
        <v>101</v>
      </c>
      <c r="D270" s="5">
        <v>105.5</v>
      </c>
      <c r="E270" s="4">
        <v>82</v>
      </c>
      <c r="F270" s="4">
        <v>78</v>
      </c>
      <c r="G270" s="4">
        <v>79</v>
      </c>
    </row>
    <row r="271" spans="1:7">
      <c r="A271" s="4" t="s">
        <v>647</v>
      </c>
      <c r="B271" s="4">
        <v>97</v>
      </c>
      <c r="C271" s="4">
        <v>97</v>
      </c>
      <c r="D271" s="5">
        <v>108.5</v>
      </c>
      <c r="E271" s="4">
        <v>77</v>
      </c>
      <c r="F271" s="4">
        <v>83</v>
      </c>
      <c r="G271" s="4">
        <v>83</v>
      </c>
    </row>
    <row r="272" spans="1:7">
      <c r="A272" s="4" t="s">
        <v>686</v>
      </c>
      <c r="B272" s="4">
        <v>108</v>
      </c>
      <c r="C272" s="4">
        <v>90</v>
      </c>
      <c r="D272" s="4">
        <v>114</v>
      </c>
      <c r="E272" s="4">
        <v>77</v>
      </c>
      <c r="F272" s="4">
        <v>80</v>
      </c>
      <c r="G272" s="4">
        <v>76</v>
      </c>
    </row>
    <row r="273" spans="1:7">
      <c r="A273" s="4" t="s">
        <v>548</v>
      </c>
      <c r="B273" s="4">
        <v>104</v>
      </c>
      <c r="C273" s="4">
        <v>100</v>
      </c>
      <c r="D273" s="4">
        <v>95</v>
      </c>
      <c r="E273" s="4">
        <v>87</v>
      </c>
      <c r="F273" s="4">
        <v>77</v>
      </c>
      <c r="G273" s="4">
        <v>82</v>
      </c>
    </row>
    <row r="274" spans="1:7">
      <c r="A274" s="4" t="s">
        <v>419</v>
      </c>
      <c r="B274" s="4">
        <v>89</v>
      </c>
      <c r="C274" s="4">
        <v>110</v>
      </c>
      <c r="D274" s="4">
        <v>107</v>
      </c>
      <c r="E274" s="4">
        <v>84</v>
      </c>
      <c r="F274" s="4">
        <v>78</v>
      </c>
      <c r="G274" s="4">
        <v>77</v>
      </c>
    </row>
    <row r="275" spans="1:7">
      <c r="A275" s="4" t="s">
        <v>671</v>
      </c>
      <c r="B275" s="4">
        <v>103</v>
      </c>
      <c r="C275" s="4">
        <v>102</v>
      </c>
      <c r="D275" s="4">
        <v>102</v>
      </c>
      <c r="E275" s="4">
        <v>84</v>
      </c>
      <c r="F275" s="4">
        <v>74</v>
      </c>
      <c r="G275" s="4">
        <v>80</v>
      </c>
    </row>
    <row r="276" spans="1:7">
      <c r="A276" s="4" t="s">
        <v>570</v>
      </c>
      <c r="B276" s="4">
        <v>98</v>
      </c>
      <c r="C276" s="4">
        <v>95</v>
      </c>
      <c r="D276" s="4">
        <v>110</v>
      </c>
      <c r="E276" s="4">
        <v>77</v>
      </c>
      <c r="F276" s="4">
        <v>87</v>
      </c>
      <c r="G276" s="4">
        <v>78</v>
      </c>
    </row>
    <row r="277" spans="1:7">
      <c r="A277" s="4" t="s">
        <v>518</v>
      </c>
      <c r="B277" s="4">
        <v>103</v>
      </c>
      <c r="C277" s="4">
        <v>94</v>
      </c>
      <c r="D277" s="5">
        <v>112.5</v>
      </c>
      <c r="E277" s="4">
        <v>89</v>
      </c>
      <c r="F277" s="4">
        <v>68</v>
      </c>
      <c r="G277" s="4">
        <v>78</v>
      </c>
    </row>
    <row r="278" spans="1:7">
      <c r="A278" s="4" t="s">
        <v>540</v>
      </c>
      <c r="B278" s="4">
        <v>106</v>
      </c>
      <c r="C278" s="4">
        <v>88</v>
      </c>
      <c r="D278" s="4">
        <v>104</v>
      </c>
      <c r="E278" s="4">
        <v>87</v>
      </c>
      <c r="F278" s="4">
        <v>80</v>
      </c>
      <c r="G278" s="4">
        <v>79</v>
      </c>
    </row>
    <row r="279" spans="1:7">
      <c r="A279" s="4" t="s">
        <v>444</v>
      </c>
      <c r="B279" s="5">
        <v>97.5</v>
      </c>
      <c r="C279" s="4">
        <v>94</v>
      </c>
      <c r="D279" s="5">
        <v>103.5</v>
      </c>
      <c r="E279" s="4">
        <v>86</v>
      </c>
      <c r="F279" s="4">
        <v>81</v>
      </c>
      <c r="G279" s="4">
        <v>82</v>
      </c>
    </row>
    <row r="280" spans="1:7">
      <c r="A280" s="4" t="s">
        <v>781</v>
      </c>
      <c r="B280" s="4">
        <v>98</v>
      </c>
      <c r="C280" s="4">
        <v>100</v>
      </c>
      <c r="D280" s="5">
        <v>99.5</v>
      </c>
      <c r="E280" s="4">
        <v>87</v>
      </c>
      <c r="F280" s="4">
        <v>77</v>
      </c>
      <c r="G280" s="4">
        <v>82</v>
      </c>
    </row>
    <row r="281" spans="1:7">
      <c r="A281" s="4" t="s">
        <v>555</v>
      </c>
      <c r="B281" s="4">
        <v>97</v>
      </c>
      <c r="C281" s="4">
        <v>102</v>
      </c>
      <c r="D281" s="5">
        <v>104.5</v>
      </c>
      <c r="E281" s="4">
        <v>76</v>
      </c>
      <c r="F281" s="4">
        <v>86</v>
      </c>
      <c r="G281" s="4">
        <v>78</v>
      </c>
    </row>
    <row r="282" spans="1:7">
      <c r="A282" s="4" t="s">
        <v>607</v>
      </c>
      <c r="B282" s="4">
        <v>90</v>
      </c>
      <c r="C282" s="4">
        <v>100</v>
      </c>
      <c r="D282" s="4">
        <v>114</v>
      </c>
      <c r="E282" s="4">
        <v>85</v>
      </c>
      <c r="F282" s="4">
        <v>77</v>
      </c>
      <c r="G282" s="4">
        <v>77</v>
      </c>
    </row>
    <row r="283" spans="1:7">
      <c r="A283" s="4" t="s">
        <v>211</v>
      </c>
      <c r="B283" s="4">
        <v>97</v>
      </c>
      <c r="C283" s="4">
        <v>96</v>
      </c>
      <c r="D283" s="5">
        <v>104.5</v>
      </c>
      <c r="E283" s="4">
        <v>87</v>
      </c>
      <c r="F283" s="4">
        <v>81</v>
      </c>
      <c r="G283" s="4">
        <v>77</v>
      </c>
    </row>
    <row r="284" spans="1:7">
      <c r="A284" s="4" t="s">
        <v>159</v>
      </c>
      <c r="B284" s="4">
        <v>97</v>
      </c>
      <c r="C284" s="4">
        <v>101</v>
      </c>
      <c r="D284" s="5">
        <v>100.5</v>
      </c>
      <c r="E284" s="4">
        <v>81</v>
      </c>
      <c r="F284" s="4">
        <v>82</v>
      </c>
      <c r="G284" s="4">
        <v>81</v>
      </c>
    </row>
    <row r="285" spans="1:7">
      <c r="A285" s="4" t="s">
        <v>604</v>
      </c>
      <c r="B285" s="4">
        <v>95</v>
      </c>
      <c r="C285" s="4">
        <v>95</v>
      </c>
      <c r="D285" s="5">
        <v>106.5</v>
      </c>
      <c r="E285" s="4">
        <v>87</v>
      </c>
      <c r="F285" s="4">
        <v>82</v>
      </c>
      <c r="G285" s="4">
        <v>77</v>
      </c>
    </row>
    <row r="286" spans="1:7">
      <c r="A286" s="4" t="s">
        <v>571</v>
      </c>
      <c r="B286" s="4">
        <v>97</v>
      </c>
      <c r="C286" s="4">
        <v>86</v>
      </c>
      <c r="D286" s="5">
        <v>109.5</v>
      </c>
      <c r="E286" s="4">
        <v>89</v>
      </c>
      <c r="F286" s="4">
        <v>83</v>
      </c>
      <c r="G286" s="4">
        <v>78</v>
      </c>
    </row>
    <row r="287" spans="1:7">
      <c r="A287" s="4" t="s">
        <v>687</v>
      </c>
      <c r="B287" s="4">
        <v>101</v>
      </c>
      <c r="C287" s="4">
        <v>93</v>
      </c>
      <c r="D287" s="4">
        <v>112</v>
      </c>
      <c r="E287" s="4">
        <v>84</v>
      </c>
      <c r="F287" s="4">
        <v>78</v>
      </c>
      <c r="G287" s="4">
        <v>74</v>
      </c>
    </row>
    <row r="288" spans="1:7">
      <c r="A288" s="4" t="s">
        <v>660</v>
      </c>
      <c r="B288" s="4">
        <v>98</v>
      </c>
      <c r="C288" s="4">
        <v>94</v>
      </c>
      <c r="D288" s="4">
        <v>113</v>
      </c>
      <c r="E288" s="4">
        <v>80</v>
      </c>
      <c r="F288" s="4">
        <v>81</v>
      </c>
      <c r="G288" s="4">
        <v>76</v>
      </c>
    </row>
    <row r="289" spans="1:7">
      <c r="A289" s="4" t="s">
        <v>503</v>
      </c>
      <c r="B289" s="4">
        <v>104</v>
      </c>
      <c r="C289" s="4">
        <v>96</v>
      </c>
      <c r="D289" s="4">
        <v>108</v>
      </c>
      <c r="E289" s="4">
        <v>85</v>
      </c>
      <c r="F289" s="4">
        <v>68</v>
      </c>
      <c r="G289" s="4">
        <v>81</v>
      </c>
    </row>
    <row r="290" spans="1:7">
      <c r="A290" s="4" t="s">
        <v>623</v>
      </c>
      <c r="B290" s="4">
        <v>103</v>
      </c>
      <c r="C290" s="4">
        <v>101</v>
      </c>
      <c r="D290" s="4">
        <v>100</v>
      </c>
      <c r="E290" s="4">
        <v>85</v>
      </c>
      <c r="F290" s="4">
        <v>79</v>
      </c>
      <c r="G290" s="4">
        <v>74</v>
      </c>
    </row>
    <row r="291" spans="1:7">
      <c r="A291" s="4" t="s">
        <v>439</v>
      </c>
      <c r="B291" s="4">
        <v>95</v>
      </c>
      <c r="C291" s="4">
        <v>98</v>
      </c>
      <c r="D291" s="4">
        <v>102</v>
      </c>
      <c r="E291" s="4">
        <v>87</v>
      </c>
      <c r="F291" s="4">
        <v>77</v>
      </c>
      <c r="G291" s="4">
        <v>83</v>
      </c>
    </row>
    <row r="292" spans="1:7">
      <c r="A292" s="4" t="s">
        <v>697</v>
      </c>
      <c r="B292" s="4">
        <v>95</v>
      </c>
      <c r="C292" s="4">
        <v>100</v>
      </c>
      <c r="D292" s="5">
        <v>115.5</v>
      </c>
      <c r="E292" s="4">
        <v>82</v>
      </c>
      <c r="F292" s="4">
        <v>73</v>
      </c>
      <c r="G292" s="4">
        <v>76</v>
      </c>
    </row>
    <row r="293" spans="1:7">
      <c r="A293" s="4" t="s">
        <v>563</v>
      </c>
      <c r="B293" s="4">
        <v>97</v>
      </c>
      <c r="C293" s="4">
        <v>100</v>
      </c>
      <c r="D293" s="5">
        <v>106.5</v>
      </c>
      <c r="E293" s="4">
        <v>79</v>
      </c>
      <c r="F293" s="4">
        <v>81</v>
      </c>
      <c r="G293" s="4">
        <v>78</v>
      </c>
    </row>
    <row r="294" spans="1:7">
      <c r="A294" s="4" t="s">
        <v>684</v>
      </c>
      <c r="B294" s="4">
        <v>100</v>
      </c>
      <c r="C294" s="4">
        <v>102</v>
      </c>
      <c r="D294" s="4">
        <v>98</v>
      </c>
      <c r="E294" s="4">
        <v>86</v>
      </c>
      <c r="F294" s="4">
        <v>81</v>
      </c>
      <c r="G294" s="4">
        <v>74</v>
      </c>
    </row>
    <row r="295" spans="1:7">
      <c r="A295" s="4" t="s">
        <v>762</v>
      </c>
      <c r="B295" s="4">
        <v>94</v>
      </c>
      <c r="C295" s="4">
        <v>99</v>
      </c>
      <c r="D295" s="4">
        <v>111</v>
      </c>
      <c r="E295" s="4">
        <v>83</v>
      </c>
      <c r="F295" s="4">
        <v>74</v>
      </c>
      <c r="G295" s="4">
        <v>80</v>
      </c>
    </row>
    <row r="296" spans="1:7">
      <c r="A296" s="4" t="s">
        <v>668</v>
      </c>
      <c r="B296" s="4">
        <v>97</v>
      </c>
      <c r="C296" s="4">
        <v>98</v>
      </c>
      <c r="D296" s="4">
        <v>110</v>
      </c>
      <c r="E296" s="4">
        <v>79</v>
      </c>
      <c r="F296" s="4">
        <v>77</v>
      </c>
      <c r="G296" s="4">
        <v>80</v>
      </c>
    </row>
    <row r="297" spans="1:7">
      <c r="A297" s="4" t="s">
        <v>483</v>
      </c>
      <c r="B297" s="4">
        <v>95</v>
      </c>
      <c r="C297" s="4">
        <v>114</v>
      </c>
      <c r="D297" s="5">
        <v>110.5</v>
      </c>
      <c r="E297" s="4">
        <v>83</v>
      </c>
      <c r="F297" s="4">
        <v>67</v>
      </c>
      <c r="G297" s="4">
        <v>71</v>
      </c>
    </row>
    <row r="298" spans="1:7">
      <c r="A298" s="4" t="s">
        <v>693</v>
      </c>
      <c r="B298" s="5">
        <v>97.5</v>
      </c>
      <c r="C298" s="4">
        <v>99</v>
      </c>
      <c r="D298" s="4">
        <v>103</v>
      </c>
      <c r="E298" s="4">
        <v>89</v>
      </c>
      <c r="F298" s="4">
        <v>79</v>
      </c>
      <c r="G298" s="4">
        <v>73</v>
      </c>
    </row>
    <row r="299" spans="1:7">
      <c r="A299" s="4" t="s">
        <v>556</v>
      </c>
      <c r="B299" s="4">
        <v>95</v>
      </c>
      <c r="C299" s="4">
        <v>101</v>
      </c>
      <c r="D299" s="5">
        <v>104.5</v>
      </c>
      <c r="E299" s="4">
        <v>85</v>
      </c>
      <c r="F299" s="4">
        <v>76</v>
      </c>
      <c r="G299" s="4">
        <v>79</v>
      </c>
    </row>
    <row r="300" spans="1:7">
      <c r="A300" s="4" t="s">
        <v>435</v>
      </c>
      <c r="B300" s="5">
        <v>104.5</v>
      </c>
      <c r="C300" s="4">
        <v>97</v>
      </c>
      <c r="D300" s="4">
        <v>107</v>
      </c>
      <c r="E300" s="4">
        <v>79</v>
      </c>
      <c r="F300" s="4">
        <v>81</v>
      </c>
      <c r="G300" s="4">
        <v>72</v>
      </c>
    </row>
    <row r="301" spans="1:7">
      <c r="A301" s="4" t="s">
        <v>705</v>
      </c>
      <c r="B301" s="4">
        <v>98</v>
      </c>
      <c r="C301" s="4">
        <v>99</v>
      </c>
      <c r="D301" s="4">
        <v>106</v>
      </c>
      <c r="E301" s="4">
        <v>84</v>
      </c>
      <c r="F301" s="4">
        <v>79</v>
      </c>
      <c r="G301" s="4">
        <v>74</v>
      </c>
    </row>
    <row r="302" spans="1:7">
      <c r="A302" s="4" t="s">
        <v>82</v>
      </c>
      <c r="B302" s="4">
        <v>100</v>
      </c>
      <c r="C302" s="4">
        <v>92</v>
      </c>
      <c r="D302" s="4">
        <v>106</v>
      </c>
      <c r="E302" s="4">
        <v>88</v>
      </c>
      <c r="F302" s="4">
        <v>78</v>
      </c>
      <c r="G302" s="4">
        <v>76</v>
      </c>
    </row>
    <row r="303" spans="1:7">
      <c r="A303" s="4" t="s">
        <v>654</v>
      </c>
      <c r="B303" s="4">
        <v>103</v>
      </c>
      <c r="C303" s="4">
        <v>106</v>
      </c>
      <c r="D303" s="4">
        <v>92</v>
      </c>
      <c r="E303" s="4">
        <v>86</v>
      </c>
      <c r="F303" s="4">
        <v>78</v>
      </c>
      <c r="G303" s="4">
        <v>75</v>
      </c>
    </row>
    <row r="304" spans="1:7">
      <c r="A304" s="4" t="s">
        <v>433</v>
      </c>
      <c r="B304" s="4">
        <v>101</v>
      </c>
      <c r="C304" s="4">
        <v>105</v>
      </c>
      <c r="D304" s="5">
        <v>102.5</v>
      </c>
      <c r="E304" s="4">
        <v>77</v>
      </c>
      <c r="F304" s="4">
        <v>76</v>
      </c>
      <c r="G304" s="4">
        <v>78</v>
      </c>
    </row>
    <row r="305" spans="1:7">
      <c r="A305" s="4" t="s">
        <v>218</v>
      </c>
      <c r="B305" s="5">
        <v>94.5</v>
      </c>
      <c r="C305" s="4">
        <v>95</v>
      </c>
      <c r="D305" s="5">
        <v>107.5</v>
      </c>
      <c r="E305" s="4">
        <v>84</v>
      </c>
      <c r="F305" s="4">
        <v>79</v>
      </c>
      <c r="G305" s="4">
        <v>79</v>
      </c>
    </row>
    <row r="306" spans="1:7">
      <c r="A306" s="4" t="s">
        <v>709</v>
      </c>
      <c r="B306" s="4">
        <v>94</v>
      </c>
      <c r="C306" s="4">
        <v>93</v>
      </c>
      <c r="D306" s="4">
        <v>112</v>
      </c>
      <c r="E306" s="4">
        <v>82</v>
      </c>
      <c r="F306" s="4">
        <v>76</v>
      </c>
      <c r="G306" s="4">
        <v>82</v>
      </c>
    </row>
    <row r="307" spans="1:7">
      <c r="A307" s="4" t="s">
        <v>387</v>
      </c>
      <c r="B307" s="4">
        <v>96</v>
      </c>
      <c r="C307" s="4">
        <v>103</v>
      </c>
      <c r="D307" s="4">
        <v>105</v>
      </c>
      <c r="E307" s="4">
        <v>80</v>
      </c>
      <c r="F307" s="4">
        <v>81</v>
      </c>
      <c r="G307" s="4">
        <v>74</v>
      </c>
    </row>
    <row r="308" spans="1:7">
      <c r="A308" s="4" t="s">
        <v>501</v>
      </c>
      <c r="B308" s="4">
        <v>91</v>
      </c>
      <c r="C308" s="4">
        <v>105</v>
      </c>
      <c r="D308" s="4">
        <v>103</v>
      </c>
      <c r="E308" s="4">
        <v>88</v>
      </c>
      <c r="F308" s="4">
        <v>74</v>
      </c>
      <c r="G308" s="4">
        <v>78</v>
      </c>
    </row>
    <row r="309" spans="1:7">
      <c r="A309" s="4" t="s">
        <v>606</v>
      </c>
      <c r="B309" s="4">
        <v>95</v>
      </c>
      <c r="C309" s="4">
        <v>102</v>
      </c>
      <c r="D309" s="4">
        <v>103</v>
      </c>
      <c r="E309" s="4">
        <v>82</v>
      </c>
      <c r="F309" s="4">
        <v>86</v>
      </c>
      <c r="G309" s="4">
        <v>71</v>
      </c>
    </row>
    <row r="310" spans="1:7">
      <c r="A310" s="4" t="s">
        <v>276</v>
      </c>
      <c r="B310" s="4">
        <v>93</v>
      </c>
      <c r="C310" s="4">
        <v>101</v>
      </c>
      <c r="D310" s="4">
        <v>104</v>
      </c>
      <c r="E310" s="4">
        <v>85</v>
      </c>
      <c r="F310" s="4">
        <v>78</v>
      </c>
      <c r="G310" s="4">
        <v>78</v>
      </c>
    </row>
    <row r="311" spans="1:7">
      <c r="A311" s="4" t="s">
        <v>323</v>
      </c>
      <c r="B311" s="4">
        <v>103</v>
      </c>
      <c r="C311" s="4">
        <v>92</v>
      </c>
      <c r="D311" s="4">
        <v>109</v>
      </c>
      <c r="E311" s="4">
        <v>82</v>
      </c>
      <c r="F311" s="4">
        <v>79</v>
      </c>
      <c r="G311" s="4">
        <v>74</v>
      </c>
    </row>
    <row r="312" spans="1:7">
      <c r="A312" s="4" t="s">
        <v>423</v>
      </c>
      <c r="B312" s="4">
        <v>98</v>
      </c>
      <c r="C312" s="4">
        <v>97</v>
      </c>
      <c r="D312" s="4">
        <v>102</v>
      </c>
      <c r="E312" s="4">
        <v>87</v>
      </c>
      <c r="F312" s="4">
        <v>79</v>
      </c>
      <c r="G312" s="4">
        <v>76</v>
      </c>
    </row>
    <row r="313" spans="1:7">
      <c r="A313" s="4" t="s">
        <v>374</v>
      </c>
      <c r="B313" s="4">
        <v>98</v>
      </c>
      <c r="C313" s="4">
        <v>89</v>
      </c>
      <c r="D313" s="5">
        <v>110.5</v>
      </c>
      <c r="E313" s="4">
        <v>86</v>
      </c>
      <c r="F313" s="4">
        <v>77</v>
      </c>
      <c r="G313" s="4">
        <v>78</v>
      </c>
    </row>
    <row r="314" spans="1:7">
      <c r="A314" s="4" t="s">
        <v>30</v>
      </c>
      <c r="B314" s="5">
        <v>88.5</v>
      </c>
      <c r="C314" s="4">
        <v>99</v>
      </c>
      <c r="D314" s="4">
        <v>103</v>
      </c>
      <c r="E314" s="4">
        <v>86</v>
      </c>
      <c r="F314" s="4">
        <v>79</v>
      </c>
      <c r="G314" s="4">
        <v>83</v>
      </c>
    </row>
    <row r="315" spans="1:7">
      <c r="A315" s="4" t="s">
        <v>396</v>
      </c>
      <c r="B315" s="4">
        <v>103</v>
      </c>
      <c r="C315" s="4">
        <v>105</v>
      </c>
      <c r="D315" s="5">
        <v>105.5</v>
      </c>
      <c r="E315" s="4">
        <v>86</v>
      </c>
      <c r="F315" s="4">
        <v>71</v>
      </c>
      <c r="G315" s="4">
        <v>68</v>
      </c>
    </row>
    <row r="316" spans="1:7">
      <c r="A316" s="4" t="s">
        <v>442</v>
      </c>
      <c r="B316" s="4">
        <v>100</v>
      </c>
      <c r="C316" s="4">
        <v>91</v>
      </c>
      <c r="D316" s="5">
        <v>111.5</v>
      </c>
      <c r="E316" s="4">
        <v>85</v>
      </c>
      <c r="F316" s="4">
        <v>69</v>
      </c>
      <c r="G316" s="4">
        <v>82</v>
      </c>
    </row>
    <row r="317" spans="1:7">
      <c r="A317" s="4" t="s">
        <v>679</v>
      </c>
      <c r="B317" s="4">
        <v>99</v>
      </c>
      <c r="C317" s="4">
        <v>101</v>
      </c>
      <c r="D317" s="4">
        <v>110</v>
      </c>
      <c r="E317" s="4">
        <v>83</v>
      </c>
      <c r="F317" s="4">
        <v>73</v>
      </c>
      <c r="G317" s="4">
        <v>72</v>
      </c>
    </row>
    <row r="318" spans="1:7">
      <c r="A318" s="4" t="s">
        <v>402</v>
      </c>
      <c r="B318" s="4">
        <v>101</v>
      </c>
      <c r="C318" s="4">
        <v>94</v>
      </c>
      <c r="D318" s="4">
        <v>110</v>
      </c>
      <c r="E318" s="4">
        <v>85</v>
      </c>
      <c r="F318" s="4">
        <v>73</v>
      </c>
      <c r="G318" s="4">
        <v>75</v>
      </c>
    </row>
    <row r="319" spans="1:7">
      <c r="A319" s="4" t="s">
        <v>499</v>
      </c>
      <c r="B319" s="5">
        <v>105.5</v>
      </c>
      <c r="C319" s="4">
        <v>91</v>
      </c>
      <c r="D319" s="5">
        <v>102.5</v>
      </c>
      <c r="E319" s="4">
        <v>86</v>
      </c>
      <c r="F319" s="4">
        <v>77</v>
      </c>
      <c r="G319" s="4">
        <v>76</v>
      </c>
    </row>
    <row r="320" spans="1:7">
      <c r="A320" s="4" t="s">
        <v>600</v>
      </c>
      <c r="B320" s="4">
        <v>89</v>
      </c>
      <c r="C320" s="4">
        <v>96</v>
      </c>
      <c r="D320" s="4">
        <v>110</v>
      </c>
      <c r="E320" s="4">
        <v>82</v>
      </c>
      <c r="F320" s="4">
        <v>83</v>
      </c>
      <c r="G320" s="4">
        <v>78</v>
      </c>
    </row>
    <row r="321" spans="1:7">
      <c r="A321" s="4" t="s">
        <v>338</v>
      </c>
      <c r="B321" s="4">
        <v>97</v>
      </c>
      <c r="C321" s="4">
        <v>92</v>
      </c>
      <c r="D321" s="4">
        <v>107</v>
      </c>
      <c r="E321" s="4">
        <v>80</v>
      </c>
      <c r="F321" s="4">
        <v>78</v>
      </c>
      <c r="G321" s="4">
        <v>84</v>
      </c>
    </row>
    <row r="322" spans="1:7">
      <c r="A322" s="4" t="s">
        <v>768</v>
      </c>
      <c r="B322" s="4">
        <v>96</v>
      </c>
      <c r="C322" s="4">
        <v>97</v>
      </c>
      <c r="D322" s="5">
        <v>102.5</v>
      </c>
      <c r="E322" s="4">
        <v>88</v>
      </c>
      <c r="F322" s="4">
        <v>85</v>
      </c>
      <c r="G322" s="4">
        <v>69</v>
      </c>
    </row>
    <row r="323" spans="1:7">
      <c r="A323" s="4" t="s">
        <v>230</v>
      </c>
      <c r="B323" s="4">
        <v>92</v>
      </c>
      <c r="C323" s="4">
        <v>92</v>
      </c>
      <c r="D323" s="5">
        <v>106.5</v>
      </c>
      <c r="E323" s="4">
        <v>86</v>
      </c>
      <c r="F323" s="4">
        <v>85</v>
      </c>
      <c r="G323" s="4">
        <v>76</v>
      </c>
    </row>
    <row r="324" spans="1:7">
      <c r="A324" s="4" t="s">
        <v>718</v>
      </c>
      <c r="B324" s="4">
        <v>100</v>
      </c>
      <c r="C324" s="4">
        <v>93</v>
      </c>
      <c r="D324" s="5">
        <v>106.5</v>
      </c>
      <c r="E324" s="4">
        <v>82</v>
      </c>
      <c r="F324" s="4">
        <v>75</v>
      </c>
      <c r="G324" s="4">
        <v>81</v>
      </c>
    </row>
    <row r="325" spans="1:7">
      <c r="A325" s="4" t="s">
        <v>81</v>
      </c>
      <c r="B325" s="4">
        <v>93</v>
      </c>
      <c r="C325" s="4">
        <v>93</v>
      </c>
      <c r="D325" s="5">
        <v>108.5</v>
      </c>
      <c r="E325" s="4">
        <v>86</v>
      </c>
      <c r="F325" s="4">
        <v>80</v>
      </c>
      <c r="G325" s="4">
        <v>77</v>
      </c>
    </row>
    <row r="326" spans="1:7">
      <c r="A326" s="4" t="s">
        <v>417</v>
      </c>
      <c r="B326" s="4">
        <v>98</v>
      </c>
      <c r="C326" s="4">
        <v>95</v>
      </c>
      <c r="D326" s="5">
        <v>100.5</v>
      </c>
      <c r="E326" s="4">
        <v>89</v>
      </c>
      <c r="F326" s="4">
        <v>83</v>
      </c>
      <c r="G326" s="4">
        <v>72</v>
      </c>
    </row>
    <row r="327" spans="1:7">
      <c r="A327" s="4" t="s">
        <v>502</v>
      </c>
      <c r="B327" s="4">
        <v>91</v>
      </c>
      <c r="C327" s="4">
        <v>97</v>
      </c>
      <c r="D327" s="5">
        <v>107.5</v>
      </c>
      <c r="E327" s="4">
        <v>88</v>
      </c>
      <c r="F327" s="4">
        <v>74</v>
      </c>
      <c r="G327" s="4">
        <v>80</v>
      </c>
    </row>
    <row r="328" spans="1:7">
      <c r="A328" s="4" t="s">
        <v>507</v>
      </c>
      <c r="B328" s="4">
        <v>96</v>
      </c>
      <c r="C328" s="4">
        <v>99</v>
      </c>
      <c r="D328" s="5">
        <v>105.5</v>
      </c>
      <c r="E328" s="4">
        <v>83</v>
      </c>
      <c r="F328" s="4">
        <v>74</v>
      </c>
      <c r="G328" s="4">
        <v>80</v>
      </c>
    </row>
    <row r="329" spans="1:7">
      <c r="A329" s="4" t="s">
        <v>645</v>
      </c>
      <c r="B329" s="4">
        <v>87</v>
      </c>
      <c r="C329" s="4">
        <v>98</v>
      </c>
      <c r="D329" s="4">
        <v>112</v>
      </c>
      <c r="E329" s="4">
        <v>84</v>
      </c>
      <c r="F329" s="4">
        <v>79</v>
      </c>
      <c r="G329" s="4">
        <v>77</v>
      </c>
    </row>
    <row r="330" spans="1:7">
      <c r="A330" s="4" t="s">
        <v>140</v>
      </c>
      <c r="B330" s="4">
        <v>108</v>
      </c>
      <c r="C330" s="4">
        <v>95</v>
      </c>
      <c r="D330" s="4">
        <v>104</v>
      </c>
      <c r="E330" s="4">
        <v>80</v>
      </c>
      <c r="F330" s="4">
        <v>80</v>
      </c>
      <c r="G330" s="4">
        <v>70</v>
      </c>
    </row>
    <row r="331" spans="1:7">
      <c r="A331" s="4" t="s">
        <v>141</v>
      </c>
      <c r="B331" s="4">
        <v>93</v>
      </c>
      <c r="C331" s="4">
        <v>108</v>
      </c>
      <c r="D331" s="4">
        <v>105</v>
      </c>
      <c r="E331" s="4">
        <v>89</v>
      </c>
      <c r="F331" s="4">
        <v>71</v>
      </c>
      <c r="G331" s="4">
        <v>71</v>
      </c>
    </row>
    <row r="332" spans="1:7">
      <c r="A332" s="4" t="s">
        <v>486</v>
      </c>
      <c r="B332" s="4">
        <v>98</v>
      </c>
      <c r="C332" s="4">
        <v>85</v>
      </c>
      <c r="D332" s="5">
        <v>105.5</v>
      </c>
      <c r="E332" s="4">
        <v>87</v>
      </c>
      <c r="F332" s="4">
        <v>79</v>
      </c>
      <c r="G332" s="4">
        <v>82</v>
      </c>
    </row>
    <row r="333" spans="1:7">
      <c r="A333" s="4" t="s">
        <v>348</v>
      </c>
      <c r="B333" s="4">
        <v>96</v>
      </c>
      <c r="C333" s="4">
        <v>86</v>
      </c>
      <c r="D333" s="5">
        <v>102.5</v>
      </c>
      <c r="E333" s="4">
        <v>86</v>
      </c>
      <c r="F333" s="4">
        <v>86</v>
      </c>
      <c r="G333" s="4">
        <v>80</v>
      </c>
    </row>
    <row r="334" spans="1:7">
      <c r="A334" s="4" t="s">
        <v>680</v>
      </c>
      <c r="B334" s="4">
        <v>90</v>
      </c>
      <c r="C334" s="4">
        <v>89</v>
      </c>
      <c r="D334" s="5">
        <v>110.5</v>
      </c>
      <c r="E334" s="4">
        <v>83</v>
      </c>
      <c r="F334" s="4">
        <v>85</v>
      </c>
      <c r="G334" s="4">
        <v>79</v>
      </c>
    </row>
    <row r="335" spans="1:7">
      <c r="A335" s="4" t="s">
        <v>688</v>
      </c>
      <c r="B335" s="4">
        <v>96</v>
      </c>
      <c r="C335" s="4">
        <v>95</v>
      </c>
      <c r="D335" s="5">
        <v>105.5</v>
      </c>
      <c r="E335" s="4">
        <v>80</v>
      </c>
      <c r="F335" s="4">
        <v>85</v>
      </c>
      <c r="G335" s="4">
        <v>75</v>
      </c>
    </row>
    <row r="336" spans="1:7">
      <c r="A336" s="4" t="s">
        <v>59</v>
      </c>
      <c r="B336" s="4">
        <v>91</v>
      </c>
      <c r="C336" s="4">
        <v>99</v>
      </c>
      <c r="D336" s="5">
        <v>109.5</v>
      </c>
      <c r="E336" s="4">
        <v>85</v>
      </c>
      <c r="F336" s="4">
        <v>77</v>
      </c>
      <c r="G336" s="4">
        <v>75</v>
      </c>
    </row>
    <row r="337" spans="1:7">
      <c r="A337" s="4" t="s">
        <v>601</v>
      </c>
      <c r="B337" s="4">
        <v>93</v>
      </c>
      <c r="C337" s="4">
        <v>98</v>
      </c>
      <c r="D337" s="5">
        <v>113.5</v>
      </c>
      <c r="E337" s="4">
        <v>82</v>
      </c>
      <c r="F337" s="4">
        <v>72</v>
      </c>
      <c r="G337" s="4">
        <v>78</v>
      </c>
    </row>
    <row r="338" spans="1:7">
      <c r="A338" s="4" t="s">
        <v>612</v>
      </c>
      <c r="B338" s="4">
        <v>93</v>
      </c>
      <c r="C338" s="4">
        <v>104</v>
      </c>
      <c r="D338" s="5">
        <v>102.5</v>
      </c>
      <c r="E338" s="4">
        <v>85</v>
      </c>
      <c r="F338" s="4">
        <v>77</v>
      </c>
      <c r="G338" s="4">
        <v>75</v>
      </c>
    </row>
    <row r="339" spans="1:7">
      <c r="A339" s="4" t="s">
        <v>616</v>
      </c>
      <c r="B339" s="5">
        <v>89.5</v>
      </c>
      <c r="C339" s="4">
        <v>109</v>
      </c>
      <c r="D339" s="4">
        <v>114</v>
      </c>
      <c r="E339" s="4">
        <v>81</v>
      </c>
      <c r="F339" s="4">
        <v>66</v>
      </c>
      <c r="G339" s="4">
        <v>77</v>
      </c>
    </row>
    <row r="340" spans="1:7">
      <c r="A340" s="4" t="s">
        <v>562</v>
      </c>
      <c r="B340" s="5">
        <v>93.5</v>
      </c>
      <c r="C340" s="4">
        <v>95</v>
      </c>
      <c r="D340" s="4">
        <v>112</v>
      </c>
      <c r="E340" s="4">
        <v>80</v>
      </c>
      <c r="F340" s="4">
        <v>79</v>
      </c>
      <c r="G340" s="4">
        <v>77</v>
      </c>
    </row>
    <row r="341" spans="1:7">
      <c r="A341" s="4" t="s">
        <v>346</v>
      </c>
      <c r="B341" s="5">
        <v>93.5</v>
      </c>
      <c r="C341" s="4">
        <v>93</v>
      </c>
      <c r="D341" s="5">
        <v>107.5</v>
      </c>
      <c r="E341" s="4">
        <v>86</v>
      </c>
      <c r="F341" s="4">
        <v>82</v>
      </c>
      <c r="G341" s="4">
        <v>74</v>
      </c>
    </row>
    <row r="342" spans="1:7">
      <c r="A342" s="4" t="s">
        <v>714</v>
      </c>
      <c r="B342" s="5">
        <v>97.5</v>
      </c>
      <c r="C342" s="4">
        <v>98</v>
      </c>
      <c r="D342" s="5">
        <v>108.5</v>
      </c>
      <c r="E342" s="4">
        <v>85</v>
      </c>
      <c r="F342" s="4">
        <v>73</v>
      </c>
      <c r="G342" s="4">
        <v>74</v>
      </c>
    </row>
    <row r="343" spans="1:7">
      <c r="A343" s="4" t="s">
        <v>220</v>
      </c>
      <c r="B343" s="4">
        <v>97</v>
      </c>
      <c r="C343" s="4">
        <v>92</v>
      </c>
      <c r="D343" s="5">
        <v>101.5</v>
      </c>
      <c r="E343" s="4">
        <v>84</v>
      </c>
      <c r="F343" s="4">
        <v>80</v>
      </c>
      <c r="G343" s="4">
        <v>81</v>
      </c>
    </row>
    <row r="344" spans="1:7">
      <c r="A344" s="4" t="s">
        <v>306</v>
      </c>
      <c r="B344" s="4">
        <v>96</v>
      </c>
      <c r="C344" s="4">
        <v>91</v>
      </c>
      <c r="D344" s="5">
        <v>102.5</v>
      </c>
      <c r="E344" s="4">
        <v>85</v>
      </c>
      <c r="F344" s="4">
        <v>81</v>
      </c>
      <c r="G344" s="4">
        <v>80</v>
      </c>
    </row>
    <row r="345" spans="1:7">
      <c r="A345" s="4" t="s">
        <v>411</v>
      </c>
      <c r="B345" s="4">
        <v>103</v>
      </c>
      <c r="C345" s="4">
        <v>91</v>
      </c>
      <c r="D345" s="5">
        <v>104.5</v>
      </c>
      <c r="E345" s="4">
        <v>79</v>
      </c>
      <c r="F345" s="4">
        <v>78</v>
      </c>
      <c r="G345" s="4">
        <v>80</v>
      </c>
    </row>
    <row r="346" spans="1:7">
      <c r="A346" s="4" t="s">
        <v>655</v>
      </c>
      <c r="B346" s="4">
        <v>97</v>
      </c>
      <c r="C346" s="4">
        <v>93</v>
      </c>
      <c r="D346" s="5">
        <v>109.5</v>
      </c>
      <c r="E346" s="4">
        <v>75</v>
      </c>
      <c r="F346" s="4">
        <v>80</v>
      </c>
      <c r="G346" s="4">
        <v>81</v>
      </c>
    </row>
    <row r="347" spans="1:7">
      <c r="A347" s="4" t="s">
        <v>274</v>
      </c>
      <c r="B347" s="4">
        <v>101</v>
      </c>
      <c r="C347" s="4">
        <v>99</v>
      </c>
      <c r="D347" s="5">
        <v>87.5</v>
      </c>
      <c r="E347" s="4">
        <v>88</v>
      </c>
      <c r="F347" s="4">
        <v>84</v>
      </c>
      <c r="G347" s="4">
        <v>76</v>
      </c>
    </row>
    <row r="348" spans="1:7">
      <c r="A348" s="4" t="s">
        <v>476</v>
      </c>
      <c r="B348" s="4">
        <v>101</v>
      </c>
      <c r="C348" s="4">
        <v>91</v>
      </c>
      <c r="D348" s="4">
        <v>111</v>
      </c>
      <c r="E348" s="4">
        <v>86</v>
      </c>
      <c r="F348" s="4">
        <v>71</v>
      </c>
      <c r="G348" s="4">
        <v>75</v>
      </c>
    </row>
    <row r="349" spans="1:7">
      <c r="A349" s="4" t="s">
        <v>484</v>
      </c>
      <c r="B349" s="4">
        <v>107</v>
      </c>
      <c r="C349" s="4">
        <v>92</v>
      </c>
      <c r="D349" s="4">
        <v>101</v>
      </c>
      <c r="E349" s="4">
        <v>77</v>
      </c>
      <c r="F349" s="4">
        <v>79</v>
      </c>
      <c r="G349" s="4">
        <v>79</v>
      </c>
    </row>
    <row r="350" spans="1:7">
      <c r="A350" s="4" t="s">
        <v>632</v>
      </c>
      <c r="B350" s="4">
        <v>98</v>
      </c>
      <c r="C350" s="4">
        <v>100</v>
      </c>
      <c r="D350" s="4">
        <v>101</v>
      </c>
      <c r="E350" s="4">
        <v>78</v>
      </c>
      <c r="F350" s="4">
        <v>79</v>
      </c>
      <c r="G350" s="4">
        <v>79</v>
      </c>
    </row>
    <row r="351" spans="1:7">
      <c r="A351" s="4" t="s">
        <v>359</v>
      </c>
      <c r="B351" s="4">
        <v>102</v>
      </c>
      <c r="C351" s="4">
        <v>89</v>
      </c>
      <c r="D351" s="4">
        <v>107</v>
      </c>
      <c r="E351" s="4">
        <v>82</v>
      </c>
      <c r="F351" s="4">
        <v>81</v>
      </c>
      <c r="G351" s="4">
        <v>73</v>
      </c>
    </row>
    <row r="352" spans="1:7">
      <c r="A352" s="4" t="s">
        <v>666</v>
      </c>
      <c r="B352" s="4">
        <v>95</v>
      </c>
      <c r="C352" s="4">
        <v>94</v>
      </c>
      <c r="D352" s="4">
        <v>107</v>
      </c>
      <c r="E352" s="4">
        <v>88</v>
      </c>
      <c r="F352" s="4">
        <v>75</v>
      </c>
      <c r="G352" s="4">
        <v>75</v>
      </c>
    </row>
    <row r="353" spans="1:7">
      <c r="A353" s="4" t="s">
        <v>422</v>
      </c>
      <c r="B353" s="4">
        <v>106</v>
      </c>
      <c r="C353" s="4">
        <v>86</v>
      </c>
      <c r="D353" s="4">
        <v>107</v>
      </c>
      <c r="E353" s="4">
        <v>86</v>
      </c>
      <c r="F353" s="4">
        <v>69</v>
      </c>
      <c r="G353" s="4">
        <v>80</v>
      </c>
    </row>
    <row r="354" spans="1:7">
      <c r="A354" s="4" t="s">
        <v>695</v>
      </c>
      <c r="B354" s="4">
        <v>99</v>
      </c>
      <c r="C354" s="4">
        <v>100</v>
      </c>
      <c r="D354" s="5">
        <v>105.5</v>
      </c>
      <c r="E354" s="4">
        <v>85</v>
      </c>
      <c r="F354" s="4">
        <v>67</v>
      </c>
      <c r="G354" s="4">
        <v>77</v>
      </c>
    </row>
    <row r="355" spans="1:7">
      <c r="A355" s="4" t="s">
        <v>719</v>
      </c>
      <c r="B355" s="4">
        <v>92</v>
      </c>
      <c r="C355" s="4">
        <v>95</v>
      </c>
      <c r="D355" s="5">
        <v>110.5</v>
      </c>
      <c r="E355" s="4">
        <v>84</v>
      </c>
      <c r="F355" s="4">
        <v>77</v>
      </c>
      <c r="G355" s="4">
        <v>75</v>
      </c>
    </row>
    <row r="356" spans="1:7">
      <c r="A356" s="4" t="s">
        <v>751</v>
      </c>
      <c r="B356" s="4">
        <v>92</v>
      </c>
      <c r="C356" s="4">
        <v>98</v>
      </c>
      <c r="D356" s="5">
        <v>107.5</v>
      </c>
      <c r="E356" s="4">
        <v>81</v>
      </c>
      <c r="F356" s="4">
        <v>83</v>
      </c>
      <c r="G356" s="4">
        <v>72</v>
      </c>
    </row>
    <row r="357" spans="1:7">
      <c r="A357" s="4" t="s">
        <v>392</v>
      </c>
      <c r="B357" s="4">
        <v>96</v>
      </c>
      <c r="C357" s="4">
        <v>106</v>
      </c>
      <c r="D357" s="5">
        <v>112.5</v>
      </c>
      <c r="E357" s="4">
        <v>78</v>
      </c>
      <c r="F357" s="4">
        <v>69</v>
      </c>
      <c r="G357" s="4">
        <v>72</v>
      </c>
    </row>
    <row r="358" spans="1:7">
      <c r="A358" s="4" t="s">
        <v>639</v>
      </c>
      <c r="B358" s="4">
        <v>87</v>
      </c>
      <c r="C358" s="4">
        <v>99</v>
      </c>
      <c r="D358" s="5">
        <v>109.5</v>
      </c>
      <c r="E358" s="4">
        <v>85</v>
      </c>
      <c r="F358" s="4">
        <v>75</v>
      </c>
      <c r="G358" s="4">
        <v>78</v>
      </c>
    </row>
    <row r="359" spans="1:7">
      <c r="A359" s="4" t="s">
        <v>530</v>
      </c>
      <c r="B359" s="4">
        <v>94</v>
      </c>
      <c r="C359" s="4">
        <v>96</v>
      </c>
      <c r="D359" s="4">
        <v>111</v>
      </c>
      <c r="E359" s="4">
        <v>88</v>
      </c>
      <c r="F359" s="4">
        <v>66</v>
      </c>
      <c r="G359" s="4">
        <v>78</v>
      </c>
    </row>
    <row r="360" spans="1:7">
      <c r="A360" s="4" t="s">
        <v>533</v>
      </c>
      <c r="B360" s="4">
        <v>96</v>
      </c>
      <c r="C360" s="4">
        <v>89</v>
      </c>
      <c r="D360" s="4">
        <v>99</v>
      </c>
      <c r="E360" s="4">
        <v>82</v>
      </c>
      <c r="F360" s="4">
        <v>86</v>
      </c>
      <c r="G360" s="4">
        <v>81</v>
      </c>
    </row>
    <row r="361" spans="1:7">
      <c r="A361" s="4" t="s">
        <v>277</v>
      </c>
      <c r="B361" s="4">
        <v>95</v>
      </c>
      <c r="C361" s="4">
        <v>101</v>
      </c>
      <c r="D361" s="4">
        <v>96</v>
      </c>
      <c r="E361" s="4">
        <v>86</v>
      </c>
      <c r="F361" s="4">
        <v>72</v>
      </c>
      <c r="G361" s="4">
        <v>83</v>
      </c>
    </row>
    <row r="362" spans="1:7">
      <c r="A362" s="4" t="s">
        <v>394</v>
      </c>
      <c r="B362" s="4">
        <v>108</v>
      </c>
      <c r="C362" s="4">
        <v>91</v>
      </c>
      <c r="D362" s="5">
        <v>109.5</v>
      </c>
      <c r="E362" s="4">
        <v>77</v>
      </c>
      <c r="F362" s="4">
        <v>83</v>
      </c>
      <c r="G362" s="4">
        <v>64</v>
      </c>
    </row>
    <row r="363" spans="1:7">
      <c r="A363" s="4" t="s">
        <v>598</v>
      </c>
      <c r="B363" s="4">
        <v>95</v>
      </c>
      <c r="C363" s="4">
        <v>103</v>
      </c>
      <c r="D363" s="5">
        <v>96.5</v>
      </c>
      <c r="E363" s="4">
        <v>86</v>
      </c>
      <c r="F363" s="4">
        <v>78</v>
      </c>
      <c r="G363" s="4">
        <v>74</v>
      </c>
    </row>
    <row r="364" spans="1:7">
      <c r="A364" s="4" t="s">
        <v>337</v>
      </c>
      <c r="B364" s="4">
        <v>98</v>
      </c>
      <c r="C364" s="4">
        <v>104</v>
      </c>
      <c r="D364" s="5">
        <v>98.5</v>
      </c>
      <c r="E364" s="4">
        <v>88</v>
      </c>
      <c r="F364" s="4">
        <v>72</v>
      </c>
      <c r="G364" s="4">
        <v>72</v>
      </c>
    </row>
    <row r="365" spans="1:7">
      <c r="A365" s="4" t="s">
        <v>340</v>
      </c>
      <c r="B365" s="4">
        <v>104</v>
      </c>
      <c r="C365" s="4">
        <v>90</v>
      </c>
      <c r="D365" s="5">
        <v>101.5</v>
      </c>
      <c r="E365" s="4">
        <v>87</v>
      </c>
      <c r="F365" s="4">
        <v>79</v>
      </c>
      <c r="G365" s="4">
        <v>71</v>
      </c>
    </row>
    <row r="366" spans="1:7">
      <c r="A366" s="4" t="s">
        <v>357</v>
      </c>
      <c r="B366" s="4">
        <v>101</v>
      </c>
      <c r="C366" s="4">
        <v>99</v>
      </c>
      <c r="D366" s="4">
        <v>107</v>
      </c>
      <c r="E366" s="4">
        <v>80</v>
      </c>
      <c r="F366" s="4">
        <v>75</v>
      </c>
      <c r="G366" s="4">
        <v>70</v>
      </c>
    </row>
    <row r="367" spans="1:7">
      <c r="A367" s="4" t="s">
        <v>566</v>
      </c>
      <c r="B367" s="4">
        <v>100</v>
      </c>
      <c r="C367" s="4">
        <v>95</v>
      </c>
      <c r="D367" s="4">
        <v>108</v>
      </c>
      <c r="E367" s="4">
        <v>85</v>
      </c>
      <c r="F367" s="4">
        <v>77</v>
      </c>
      <c r="G367" s="4">
        <v>67</v>
      </c>
    </row>
    <row r="368" spans="1:7">
      <c r="A368" s="4" t="s">
        <v>578</v>
      </c>
      <c r="B368" s="4">
        <v>97</v>
      </c>
      <c r="C368" s="4">
        <v>92</v>
      </c>
      <c r="D368" s="4">
        <v>106</v>
      </c>
      <c r="E368" s="4">
        <v>80</v>
      </c>
      <c r="F368" s="4">
        <v>77</v>
      </c>
      <c r="G368" s="4">
        <v>80</v>
      </c>
    </row>
    <row r="369" spans="1:7">
      <c r="A369" s="4" t="s">
        <v>447</v>
      </c>
      <c r="B369" s="4">
        <v>102</v>
      </c>
      <c r="C369" s="4">
        <v>86</v>
      </c>
      <c r="D369" s="4">
        <v>108</v>
      </c>
      <c r="E369" s="4">
        <v>78</v>
      </c>
      <c r="F369" s="4">
        <v>78</v>
      </c>
      <c r="G369" s="4">
        <v>80</v>
      </c>
    </row>
    <row r="370" spans="1:7">
      <c r="A370" s="4" t="s">
        <v>458</v>
      </c>
      <c r="B370" s="5">
        <v>93.5</v>
      </c>
      <c r="C370" s="4">
        <v>103</v>
      </c>
      <c r="D370" s="5">
        <v>102.5</v>
      </c>
      <c r="E370" s="4">
        <v>85</v>
      </c>
      <c r="F370" s="4">
        <v>71</v>
      </c>
      <c r="G370" s="4">
        <v>77</v>
      </c>
    </row>
    <row r="371" spans="1:7">
      <c r="A371" s="4" t="s">
        <v>189</v>
      </c>
      <c r="B371" s="4">
        <v>94</v>
      </c>
      <c r="C371" s="4">
        <v>91</v>
      </c>
      <c r="D371" s="5">
        <v>108.5</v>
      </c>
      <c r="E371" s="4">
        <v>83</v>
      </c>
      <c r="F371" s="4">
        <v>79</v>
      </c>
      <c r="G371" s="4">
        <v>76</v>
      </c>
    </row>
    <row r="372" spans="1:7">
      <c r="A372" s="4" t="s">
        <v>245</v>
      </c>
      <c r="B372" s="4">
        <v>83</v>
      </c>
      <c r="C372" s="4">
        <v>112</v>
      </c>
      <c r="D372" s="5">
        <v>87.5</v>
      </c>
      <c r="E372" s="4">
        <v>89</v>
      </c>
      <c r="F372" s="4">
        <v>80</v>
      </c>
      <c r="G372" s="4">
        <v>80</v>
      </c>
    </row>
    <row r="373" spans="1:7">
      <c r="A373" s="4" t="s">
        <v>62</v>
      </c>
      <c r="B373" s="4">
        <v>102</v>
      </c>
      <c r="C373" s="4">
        <v>91</v>
      </c>
      <c r="D373" s="5">
        <v>95.5</v>
      </c>
      <c r="E373" s="4">
        <v>85</v>
      </c>
      <c r="F373" s="4">
        <v>82</v>
      </c>
      <c r="G373" s="4">
        <v>76</v>
      </c>
    </row>
    <row r="374" spans="1:7">
      <c r="A374" s="4" t="s">
        <v>238</v>
      </c>
      <c r="B374" s="4">
        <v>91</v>
      </c>
      <c r="C374" s="4">
        <v>96</v>
      </c>
      <c r="D374" s="4">
        <v>102</v>
      </c>
      <c r="E374" s="4">
        <v>86</v>
      </c>
      <c r="F374" s="4">
        <v>82</v>
      </c>
      <c r="G374" s="4">
        <v>74</v>
      </c>
    </row>
    <row r="375" spans="1:7">
      <c r="A375" s="4" t="s">
        <v>408</v>
      </c>
      <c r="B375" s="4">
        <v>93</v>
      </c>
      <c r="C375" s="4">
        <v>93</v>
      </c>
      <c r="D375" s="4">
        <v>109</v>
      </c>
      <c r="E375" s="4">
        <v>85</v>
      </c>
      <c r="F375" s="4">
        <v>75</v>
      </c>
      <c r="G375" s="4">
        <v>76</v>
      </c>
    </row>
    <row r="376" spans="1:7">
      <c r="A376" s="4" t="s">
        <v>296</v>
      </c>
      <c r="B376" s="4">
        <v>96</v>
      </c>
      <c r="C376" s="4">
        <v>115</v>
      </c>
      <c r="D376" s="4">
        <v>91</v>
      </c>
      <c r="E376" s="4">
        <v>83</v>
      </c>
      <c r="F376" s="4">
        <v>71</v>
      </c>
      <c r="G376" s="4">
        <v>75</v>
      </c>
    </row>
    <row r="377" spans="1:7">
      <c r="A377" s="4" t="s">
        <v>354</v>
      </c>
      <c r="B377" s="4">
        <v>99</v>
      </c>
      <c r="C377" s="4">
        <v>92</v>
      </c>
      <c r="D377" s="5">
        <v>102.5</v>
      </c>
      <c r="E377" s="4">
        <v>85</v>
      </c>
      <c r="F377" s="4">
        <v>74</v>
      </c>
      <c r="G377" s="4">
        <v>78</v>
      </c>
    </row>
    <row r="378" spans="1:7">
      <c r="A378" s="4" t="s">
        <v>495</v>
      </c>
      <c r="B378" s="4">
        <v>94</v>
      </c>
      <c r="C378" s="4">
        <v>88</v>
      </c>
      <c r="D378" s="5">
        <v>102.5</v>
      </c>
      <c r="E378" s="4">
        <v>83</v>
      </c>
      <c r="F378" s="4">
        <v>82</v>
      </c>
      <c r="G378" s="4">
        <v>81</v>
      </c>
    </row>
    <row r="379" spans="1:7">
      <c r="A379" s="4" t="s">
        <v>580</v>
      </c>
      <c r="B379" s="5">
        <v>97.5</v>
      </c>
      <c r="C379" s="4">
        <v>84</v>
      </c>
      <c r="D379" s="4">
        <v>104</v>
      </c>
      <c r="E379" s="4">
        <v>84</v>
      </c>
      <c r="F379" s="4">
        <v>80</v>
      </c>
      <c r="G379" s="4">
        <v>81</v>
      </c>
    </row>
    <row r="380" spans="1:7">
      <c r="A380" s="4" t="s">
        <v>378</v>
      </c>
      <c r="B380" s="4">
        <v>90</v>
      </c>
      <c r="C380" s="4">
        <v>107</v>
      </c>
      <c r="D380" s="4">
        <v>96</v>
      </c>
      <c r="E380" s="4">
        <v>89</v>
      </c>
      <c r="F380" s="4">
        <v>77</v>
      </c>
      <c r="G380" s="4">
        <v>71</v>
      </c>
    </row>
    <row r="381" spans="1:7">
      <c r="A381" s="4" t="s">
        <v>541</v>
      </c>
      <c r="B381" s="4">
        <v>99</v>
      </c>
      <c r="C381" s="4">
        <v>102</v>
      </c>
      <c r="D381" s="4">
        <v>101</v>
      </c>
      <c r="E381" s="4">
        <v>86</v>
      </c>
      <c r="F381" s="4">
        <v>78</v>
      </c>
      <c r="G381" s="4">
        <v>64</v>
      </c>
    </row>
    <row r="382" spans="1:7">
      <c r="A382" s="4" t="s">
        <v>165</v>
      </c>
      <c r="B382" s="4">
        <v>99</v>
      </c>
      <c r="C382" s="4">
        <v>91</v>
      </c>
      <c r="D382" s="4">
        <v>107</v>
      </c>
      <c r="E382" s="4">
        <v>84</v>
      </c>
      <c r="F382" s="4">
        <v>73</v>
      </c>
      <c r="G382" s="4">
        <v>76</v>
      </c>
    </row>
    <row r="383" spans="1:7">
      <c r="A383" s="4" t="s">
        <v>300</v>
      </c>
      <c r="B383" s="4">
        <v>97</v>
      </c>
      <c r="C383" s="4">
        <v>96</v>
      </c>
      <c r="D383" s="4">
        <v>93</v>
      </c>
      <c r="E383" s="4">
        <v>86</v>
      </c>
      <c r="F383" s="4">
        <v>83</v>
      </c>
      <c r="G383" s="4">
        <v>75</v>
      </c>
    </row>
    <row r="384" spans="1:7">
      <c r="A384" s="4" t="s">
        <v>519</v>
      </c>
      <c r="B384" s="4">
        <v>93</v>
      </c>
      <c r="C384" s="4">
        <v>98</v>
      </c>
      <c r="D384" s="5">
        <v>97.5</v>
      </c>
      <c r="E384" s="4">
        <v>89</v>
      </c>
      <c r="F384" s="4">
        <v>82</v>
      </c>
      <c r="G384" s="4">
        <v>70</v>
      </c>
    </row>
    <row r="385" spans="1:7">
      <c r="A385" s="4" t="s">
        <v>648</v>
      </c>
      <c r="B385" s="4">
        <v>91</v>
      </c>
      <c r="C385" s="4">
        <v>91</v>
      </c>
      <c r="D385" s="5">
        <v>110.5</v>
      </c>
      <c r="E385" s="4">
        <v>84</v>
      </c>
      <c r="F385" s="4">
        <v>76</v>
      </c>
      <c r="G385" s="4">
        <v>77</v>
      </c>
    </row>
    <row r="386" spans="1:7">
      <c r="A386" s="4" t="s">
        <v>93</v>
      </c>
      <c r="B386" s="4">
        <v>87</v>
      </c>
      <c r="C386" s="4">
        <v>105</v>
      </c>
      <c r="D386" s="4">
        <v>90</v>
      </c>
      <c r="E386" s="4">
        <v>83</v>
      </c>
      <c r="F386" s="4">
        <v>83</v>
      </c>
      <c r="G386" s="4">
        <v>81</v>
      </c>
    </row>
    <row r="387" spans="1:7">
      <c r="A387" s="4" t="s">
        <v>376</v>
      </c>
      <c r="B387" s="4">
        <v>101</v>
      </c>
      <c r="C387" s="4">
        <v>95</v>
      </c>
      <c r="D387" s="5">
        <v>99.5</v>
      </c>
      <c r="E387" s="4">
        <v>78</v>
      </c>
      <c r="F387" s="4">
        <v>79</v>
      </c>
      <c r="G387" s="4">
        <v>76</v>
      </c>
    </row>
    <row r="388" spans="1:7">
      <c r="A388" s="4" t="s">
        <v>760</v>
      </c>
      <c r="B388" s="4">
        <v>98</v>
      </c>
      <c r="C388" s="4">
        <v>84</v>
      </c>
      <c r="D388" s="5">
        <v>103.5</v>
      </c>
      <c r="E388" s="4">
        <v>86</v>
      </c>
      <c r="F388" s="4">
        <v>81</v>
      </c>
      <c r="G388" s="4">
        <v>76</v>
      </c>
    </row>
    <row r="389" spans="1:7">
      <c r="A389" s="4" t="s">
        <v>656</v>
      </c>
      <c r="B389" s="4">
        <v>93</v>
      </c>
      <c r="C389" s="4">
        <v>92</v>
      </c>
      <c r="D389" s="5">
        <v>110.5</v>
      </c>
      <c r="E389" s="4">
        <v>82</v>
      </c>
      <c r="F389" s="4">
        <v>73</v>
      </c>
      <c r="G389" s="4">
        <v>78</v>
      </c>
    </row>
    <row r="390" spans="1:7">
      <c r="A390" s="4" t="s">
        <v>626</v>
      </c>
      <c r="B390" s="4">
        <v>92</v>
      </c>
      <c r="C390" s="4">
        <v>104</v>
      </c>
      <c r="D390" s="4">
        <v>96</v>
      </c>
      <c r="E390" s="4">
        <v>83</v>
      </c>
      <c r="F390" s="4">
        <v>80</v>
      </c>
      <c r="G390" s="4">
        <v>73</v>
      </c>
    </row>
    <row r="391" spans="1:7">
      <c r="A391" s="4" t="s">
        <v>320</v>
      </c>
      <c r="B391" s="5">
        <v>99.5</v>
      </c>
      <c r="C391" s="4">
        <v>96</v>
      </c>
      <c r="D391" s="5">
        <v>105.5</v>
      </c>
      <c r="E391" s="4">
        <v>84</v>
      </c>
      <c r="F391" s="4">
        <v>63</v>
      </c>
      <c r="G391" s="4">
        <v>80</v>
      </c>
    </row>
    <row r="392" spans="1:7">
      <c r="A392" s="4" t="s">
        <v>609</v>
      </c>
      <c r="B392" s="4">
        <v>91</v>
      </c>
      <c r="C392" s="4">
        <v>99</v>
      </c>
      <c r="D392" s="5">
        <v>111.5</v>
      </c>
      <c r="E392" s="4">
        <v>85</v>
      </c>
      <c r="F392" s="4">
        <v>74</v>
      </c>
      <c r="G392" s="4">
        <v>67</v>
      </c>
    </row>
    <row r="393" spans="1:7">
      <c r="A393" s="4" t="s">
        <v>271</v>
      </c>
      <c r="B393" s="4">
        <v>96</v>
      </c>
      <c r="C393" s="4">
        <v>89</v>
      </c>
      <c r="D393" s="5">
        <v>102.5</v>
      </c>
      <c r="E393" s="4">
        <v>87</v>
      </c>
      <c r="F393" s="4">
        <v>83</v>
      </c>
      <c r="G393" s="4">
        <v>70</v>
      </c>
    </row>
    <row r="394" spans="1:7">
      <c r="A394" s="4" t="s">
        <v>470</v>
      </c>
      <c r="B394" s="4">
        <v>100</v>
      </c>
      <c r="C394" s="4">
        <v>97</v>
      </c>
      <c r="D394" s="4">
        <v>102</v>
      </c>
      <c r="E394" s="4">
        <v>80</v>
      </c>
      <c r="F394" s="4">
        <v>70</v>
      </c>
      <c r="G394" s="4">
        <v>78</v>
      </c>
    </row>
    <row r="395" spans="1:7">
      <c r="A395" s="4" t="s">
        <v>535</v>
      </c>
      <c r="B395" s="4">
        <v>89</v>
      </c>
      <c r="C395" s="4">
        <v>102</v>
      </c>
      <c r="D395" s="4">
        <v>97</v>
      </c>
      <c r="E395" s="4">
        <v>85</v>
      </c>
      <c r="F395" s="4">
        <v>78</v>
      </c>
      <c r="G395" s="4">
        <v>76</v>
      </c>
    </row>
    <row r="396" spans="1:7">
      <c r="A396" s="4" t="s">
        <v>270</v>
      </c>
      <c r="B396" s="4">
        <v>91</v>
      </c>
      <c r="C396" s="4">
        <v>101</v>
      </c>
      <c r="D396" s="4">
        <v>99</v>
      </c>
      <c r="E396" s="4">
        <v>82</v>
      </c>
      <c r="F396" s="4">
        <v>78</v>
      </c>
      <c r="G396" s="4">
        <v>76</v>
      </c>
    </row>
    <row r="397" spans="1:7">
      <c r="A397" s="4" t="s">
        <v>362</v>
      </c>
      <c r="B397" s="4">
        <v>100</v>
      </c>
      <c r="C397" s="4">
        <v>95</v>
      </c>
      <c r="D397" s="5">
        <v>88.5</v>
      </c>
      <c r="E397" s="4">
        <v>81</v>
      </c>
      <c r="F397" s="4">
        <v>83</v>
      </c>
      <c r="G397" s="4">
        <v>79</v>
      </c>
    </row>
    <row r="398" spans="1:7">
      <c r="A398" s="4" t="s">
        <v>500</v>
      </c>
      <c r="B398" s="4">
        <v>101</v>
      </c>
      <c r="C398" s="4">
        <v>100</v>
      </c>
      <c r="D398" s="5">
        <v>101.5</v>
      </c>
      <c r="E398" s="4">
        <v>89</v>
      </c>
      <c r="F398" s="4">
        <v>58</v>
      </c>
      <c r="G398" s="4">
        <v>77</v>
      </c>
    </row>
    <row r="399" spans="1:7">
      <c r="A399" s="4" t="s">
        <v>258</v>
      </c>
      <c r="B399" s="4">
        <v>96</v>
      </c>
      <c r="C399" s="4">
        <v>92</v>
      </c>
      <c r="D399" s="5">
        <v>107.5</v>
      </c>
      <c r="E399" s="4">
        <v>84</v>
      </c>
      <c r="F399" s="4">
        <v>68</v>
      </c>
      <c r="G399" s="4">
        <v>79</v>
      </c>
    </row>
    <row r="400" spans="1:7">
      <c r="A400" s="4" t="s">
        <v>449</v>
      </c>
      <c r="B400" s="4">
        <v>96</v>
      </c>
      <c r="C400" s="4">
        <v>92</v>
      </c>
      <c r="D400" s="5">
        <v>101.5</v>
      </c>
      <c r="E400" s="4">
        <v>88</v>
      </c>
      <c r="F400" s="4">
        <v>74</v>
      </c>
      <c r="G400" s="4">
        <v>75</v>
      </c>
    </row>
    <row r="401" spans="1:7">
      <c r="A401" s="4" t="s">
        <v>333</v>
      </c>
      <c r="B401" s="4">
        <v>97</v>
      </c>
      <c r="C401" s="4">
        <v>88</v>
      </c>
      <c r="D401" s="4">
        <v>113</v>
      </c>
      <c r="E401" s="4">
        <v>85</v>
      </c>
      <c r="F401" s="4">
        <v>73</v>
      </c>
      <c r="G401" s="4">
        <v>70</v>
      </c>
    </row>
    <row r="402" spans="1:7">
      <c r="A402" s="4" t="s">
        <v>574</v>
      </c>
      <c r="B402" s="5">
        <v>100.5</v>
      </c>
      <c r="C402" s="4">
        <v>89</v>
      </c>
      <c r="D402" s="4">
        <v>102</v>
      </c>
      <c r="E402" s="4">
        <v>75</v>
      </c>
      <c r="F402" s="4">
        <v>76</v>
      </c>
      <c r="G402" s="4">
        <v>83</v>
      </c>
    </row>
    <row r="403" spans="1:7">
      <c r="A403" s="4" t="s">
        <v>456</v>
      </c>
      <c r="B403" s="4">
        <v>97</v>
      </c>
      <c r="C403" s="4">
        <v>87</v>
      </c>
      <c r="D403" s="5">
        <v>104.5</v>
      </c>
      <c r="E403" s="4">
        <v>85</v>
      </c>
      <c r="F403" s="4">
        <v>79</v>
      </c>
      <c r="G403" s="4">
        <v>73</v>
      </c>
    </row>
    <row r="404" spans="1:7">
      <c r="A404" s="4" t="s">
        <v>818</v>
      </c>
      <c r="B404" s="4">
        <v>85</v>
      </c>
      <c r="C404" s="4">
        <v>97</v>
      </c>
      <c r="D404" s="5">
        <v>106.5</v>
      </c>
      <c r="E404" s="4">
        <v>84</v>
      </c>
      <c r="F404" s="4">
        <v>81</v>
      </c>
      <c r="G404" s="4">
        <v>71</v>
      </c>
    </row>
    <row r="405" spans="1:7">
      <c r="A405" s="4" t="s">
        <v>286</v>
      </c>
      <c r="B405" s="4">
        <v>89</v>
      </c>
      <c r="C405" s="4">
        <v>88</v>
      </c>
      <c r="D405" s="5">
        <v>100.5</v>
      </c>
      <c r="E405" s="4">
        <v>86</v>
      </c>
      <c r="F405" s="4">
        <v>81</v>
      </c>
      <c r="G405" s="4">
        <v>80</v>
      </c>
    </row>
    <row r="406" spans="1:7">
      <c r="A406" s="4" t="s">
        <v>428</v>
      </c>
      <c r="B406" s="4">
        <v>92</v>
      </c>
      <c r="C406" s="4">
        <v>94</v>
      </c>
      <c r="D406" s="5">
        <v>99.5</v>
      </c>
      <c r="E406" s="4">
        <v>89</v>
      </c>
      <c r="F406" s="4">
        <v>74</v>
      </c>
      <c r="G406" s="4">
        <v>76</v>
      </c>
    </row>
    <row r="407" spans="1:7">
      <c r="A407" s="4" t="s">
        <v>221</v>
      </c>
      <c r="B407" s="4">
        <v>87</v>
      </c>
      <c r="C407" s="4">
        <v>103</v>
      </c>
      <c r="D407" s="4">
        <v>90</v>
      </c>
      <c r="E407" s="4">
        <v>90</v>
      </c>
      <c r="F407" s="4">
        <v>83</v>
      </c>
      <c r="G407" s="4">
        <v>71</v>
      </c>
    </row>
    <row r="408" spans="1:7">
      <c r="A408" s="4" t="s">
        <v>264</v>
      </c>
      <c r="B408" s="4">
        <v>97</v>
      </c>
      <c r="C408" s="4">
        <v>85</v>
      </c>
      <c r="D408" s="4">
        <v>109</v>
      </c>
      <c r="E408" s="4">
        <v>79</v>
      </c>
      <c r="F408" s="4">
        <v>77</v>
      </c>
      <c r="G408" s="4">
        <v>77</v>
      </c>
    </row>
    <row r="409" spans="1:7">
      <c r="A409" s="4" t="s">
        <v>438</v>
      </c>
      <c r="B409" s="4">
        <v>94</v>
      </c>
      <c r="C409" s="4">
        <v>95</v>
      </c>
      <c r="D409" s="4">
        <v>98</v>
      </c>
      <c r="E409" s="4">
        <v>79</v>
      </c>
      <c r="F409" s="4">
        <v>77</v>
      </c>
      <c r="G409" s="4">
        <v>81</v>
      </c>
    </row>
    <row r="410" spans="1:7">
      <c r="A410" s="4" t="s">
        <v>228</v>
      </c>
      <c r="B410" s="4">
        <v>97</v>
      </c>
      <c r="C410" s="4">
        <v>87</v>
      </c>
      <c r="D410" s="5">
        <v>104.5</v>
      </c>
      <c r="E410" s="4">
        <v>84</v>
      </c>
      <c r="F410" s="4">
        <v>70</v>
      </c>
      <c r="G410" s="4">
        <v>81</v>
      </c>
    </row>
    <row r="411" spans="1:7">
      <c r="A411" s="4" t="s">
        <v>363</v>
      </c>
      <c r="B411" s="4">
        <v>97</v>
      </c>
      <c r="C411" s="4">
        <v>97</v>
      </c>
      <c r="D411" s="5">
        <v>99.5</v>
      </c>
      <c r="E411" s="4">
        <v>85</v>
      </c>
      <c r="F411" s="4">
        <v>74</v>
      </c>
      <c r="G411" s="4">
        <v>71</v>
      </c>
    </row>
    <row r="412" spans="1:7">
      <c r="A412" s="4" t="s">
        <v>704</v>
      </c>
      <c r="B412" s="4">
        <v>84</v>
      </c>
      <c r="C412" s="4">
        <v>93</v>
      </c>
      <c r="D412" s="4">
        <v>116</v>
      </c>
      <c r="E412" s="4">
        <v>84</v>
      </c>
      <c r="F412" s="4">
        <v>68</v>
      </c>
      <c r="G412" s="4">
        <v>78</v>
      </c>
    </row>
    <row r="413" spans="1:7">
      <c r="A413" s="4" t="s">
        <v>595</v>
      </c>
      <c r="B413" s="5">
        <v>100.5</v>
      </c>
      <c r="C413" s="4">
        <v>88</v>
      </c>
      <c r="D413" s="5">
        <v>93.5</v>
      </c>
      <c r="E413" s="4">
        <v>84</v>
      </c>
      <c r="F413" s="4">
        <v>76</v>
      </c>
      <c r="G413" s="4">
        <v>81</v>
      </c>
    </row>
    <row r="414" spans="1:7">
      <c r="A414" s="4" t="s">
        <v>582</v>
      </c>
      <c r="B414" s="4">
        <v>93</v>
      </c>
      <c r="C414" s="4">
        <v>97</v>
      </c>
      <c r="D414" s="4">
        <v>101</v>
      </c>
      <c r="E414" s="4">
        <v>85</v>
      </c>
      <c r="F414" s="4">
        <v>75</v>
      </c>
      <c r="G414" s="4">
        <v>72</v>
      </c>
    </row>
    <row r="415" spans="1:7">
      <c r="A415" s="4" t="s">
        <v>261</v>
      </c>
      <c r="B415" s="4">
        <v>97</v>
      </c>
      <c r="C415" s="4">
        <v>102</v>
      </c>
      <c r="D415" s="4">
        <v>98</v>
      </c>
      <c r="E415" s="4">
        <v>82</v>
      </c>
      <c r="F415" s="4">
        <v>70</v>
      </c>
      <c r="G415" s="4">
        <v>74</v>
      </c>
    </row>
    <row r="416" spans="1:7">
      <c r="A416" s="4" t="s">
        <v>512</v>
      </c>
      <c r="B416" s="5">
        <v>100.5</v>
      </c>
      <c r="C416" s="4">
        <v>98</v>
      </c>
      <c r="D416" s="4">
        <v>95</v>
      </c>
      <c r="E416" s="4">
        <v>79</v>
      </c>
      <c r="F416" s="4">
        <v>81</v>
      </c>
      <c r="G416" s="4">
        <v>69</v>
      </c>
    </row>
    <row r="417" spans="1:7">
      <c r="A417" s="4" t="s">
        <v>589</v>
      </c>
      <c r="B417" s="5">
        <v>79.5</v>
      </c>
      <c r="C417" s="4">
        <v>99</v>
      </c>
      <c r="D417" s="5">
        <v>93.5</v>
      </c>
      <c r="E417" s="4">
        <v>90</v>
      </c>
      <c r="F417" s="4">
        <v>82</v>
      </c>
      <c r="G417" s="4">
        <v>78</v>
      </c>
    </row>
    <row r="418" spans="1:7">
      <c r="A418" s="4" t="s">
        <v>102</v>
      </c>
      <c r="B418" s="5">
        <v>98.5</v>
      </c>
      <c r="C418" s="4">
        <v>94</v>
      </c>
      <c r="D418" s="4">
        <v>98</v>
      </c>
      <c r="E418" s="4">
        <v>80</v>
      </c>
      <c r="F418" s="4">
        <v>66</v>
      </c>
      <c r="G418" s="4">
        <v>85</v>
      </c>
    </row>
    <row r="419" spans="1:7">
      <c r="A419" s="4" t="s">
        <v>260</v>
      </c>
      <c r="B419" s="4">
        <v>89</v>
      </c>
      <c r="C419" s="4">
        <v>95</v>
      </c>
      <c r="D419" s="5">
        <v>100.5</v>
      </c>
      <c r="E419" s="4">
        <v>83</v>
      </c>
      <c r="F419" s="4">
        <v>76</v>
      </c>
      <c r="G419" s="4">
        <v>78</v>
      </c>
    </row>
    <row r="420" spans="1:7">
      <c r="A420" s="4" t="s">
        <v>478</v>
      </c>
      <c r="B420" s="4">
        <v>89</v>
      </c>
      <c r="C420" s="4">
        <v>95</v>
      </c>
      <c r="D420" s="4">
        <v>103</v>
      </c>
      <c r="E420" s="4">
        <v>88</v>
      </c>
      <c r="F420" s="4">
        <v>78</v>
      </c>
      <c r="G420" s="4">
        <v>68</v>
      </c>
    </row>
    <row r="421" spans="1:7">
      <c r="A421" s="4" t="s">
        <v>250</v>
      </c>
      <c r="B421" s="4">
        <v>90</v>
      </c>
      <c r="C421" s="4">
        <v>92</v>
      </c>
      <c r="D421" s="4">
        <v>98</v>
      </c>
      <c r="E421" s="4">
        <v>86</v>
      </c>
      <c r="F421" s="4">
        <v>77</v>
      </c>
      <c r="G421" s="4">
        <v>78</v>
      </c>
    </row>
    <row r="422" spans="1:7">
      <c r="A422" s="4" t="s">
        <v>536</v>
      </c>
      <c r="B422" s="4">
        <v>94</v>
      </c>
      <c r="C422" s="4">
        <v>105</v>
      </c>
      <c r="D422" s="4">
        <v>87</v>
      </c>
      <c r="E422" s="4">
        <v>90</v>
      </c>
      <c r="F422" s="4">
        <v>67</v>
      </c>
      <c r="G422" s="4">
        <v>78</v>
      </c>
    </row>
    <row r="423" spans="1:7">
      <c r="A423" s="4" t="s">
        <v>16</v>
      </c>
      <c r="B423" s="4">
        <v>90</v>
      </c>
      <c r="C423" s="4">
        <v>96</v>
      </c>
      <c r="D423" s="4">
        <v>105</v>
      </c>
      <c r="E423" s="4">
        <v>87</v>
      </c>
      <c r="F423" s="4">
        <v>66</v>
      </c>
      <c r="G423" s="4">
        <v>77</v>
      </c>
    </row>
    <row r="424" spans="1:7">
      <c r="A424" s="4" t="s">
        <v>24</v>
      </c>
      <c r="B424" s="4">
        <v>95</v>
      </c>
      <c r="C424" s="4">
        <v>79</v>
      </c>
      <c r="D424" s="4">
        <v>101</v>
      </c>
      <c r="E424" s="4">
        <v>82</v>
      </c>
      <c r="F424" s="4">
        <v>81</v>
      </c>
      <c r="G424" s="4">
        <v>83</v>
      </c>
    </row>
    <row r="425" spans="1:7">
      <c r="A425" s="4" t="s">
        <v>431</v>
      </c>
      <c r="B425" s="4">
        <v>99</v>
      </c>
      <c r="C425" s="4">
        <v>94</v>
      </c>
      <c r="D425" s="5">
        <v>103.5</v>
      </c>
      <c r="E425" s="4">
        <v>87</v>
      </c>
      <c r="F425" s="4">
        <v>70</v>
      </c>
      <c r="G425" s="4">
        <v>67</v>
      </c>
    </row>
    <row r="426" spans="1:7">
      <c r="A426" s="4" t="s">
        <v>367</v>
      </c>
      <c r="B426" s="4">
        <v>98</v>
      </c>
      <c r="C426" s="4">
        <v>88</v>
      </c>
      <c r="D426" s="4">
        <v>98</v>
      </c>
      <c r="E426" s="4">
        <v>83</v>
      </c>
      <c r="F426" s="4">
        <v>72</v>
      </c>
      <c r="G426" s="4">
        <v>81</v>
      </c>
    </row>
    <row r="427" spans="1:7">
      <c r="A427" s="4" t="s">
        <v>385</v>
      </c>
      <c r="B427" s="5">
        <v>87.5</v>
      </c>
      <c r="C427" s="4">
        <v>96</v>
      </c>
      <c r="D427" s="5">
        <v>99.5</v>
      </c>
      <c r="E427" s="4">
        <v>81</v>
      </c>
      <c r="F427" s="4">
        <v>85</v>
      </c>
      <c r="G427" s="4">
        <v>71</v>
      </c>
    </row>
    <row r="428" spans="1:7">
      <c r="A428" s="4" t="s">
        <v>192</v>
      </c>
      <c r="B428" s="4">
        <v>94</v>
      </c>
      <c r="C428" s="4">
        <v>91</v>
      </c>
      <c r="D428" s="5">
        <v>105.5</v>
      </c>
      <c r="E428" s="4">
        <v>77</v>
      </c>
      <c r="F428" s="4">
        <v>75</v>
      </c>
      <c r="G428" s="4">
        <v>77</v>
      </c>
    </row>
    <row r="429" spans="1:7">
      <c r="A429" s="4" t="s">
        <v>243</v>
      </c>
      <c r="B429" s="4">
        <v>85</v>
      </c>
      <c r="C429" s="4">
        <v>95</v>
      </c>
      <c r="D429" s="5">
        <v>104.5</v>
      </c>
      <c r="E429" s="4">
        <v>84</v>
      </c>
      <c r="F429" s="4">
        <v>77</v>
      </c>
      <c r="G429" s="4">
        <v>74</v>
      </c>
    </row>
    <row r="430" spans="1:7">
      <c r="A430" s="4" t="s">
        <v>310</v>
      </c>
      <c r="B430" s="4">
        <v>90</v>
      </c>
      <c r="C430" s="4">
        <v>102</v>
      </c>
      <c r="D430" s="4">
        <v>91</v>
      </c>
      <c r="E430" s="4">
        <v>86</v>
      </c>
      <c r="F430" s="4">
        <v>74</v>
      </c>
      <c r="G430" s="4">
        <v>76</v>
      </c>
    </row>
    <row r="431" spans="1:7">
      <c r="A431" s="4" t="s">
        <v>206</v>
      </c>
      <c r="B431" s="4">
        <v>94</v>
      </c>
      <c r="C431" s="4">
        <v>93</v>
      </c>
      <c r="D431" s="5">
        <v>106.5</v>
      </c>
      <c r="E431" s="4">
        <v>80</v>
      </c>
      <c r="F431" s="4">
        <v>72</v>
      </c>
      <c r="G431" s="4">
        <v>73</v>
      </c>
    </row>
    <row r="432" spans="1:7">
      <c r="A432" s="4" t="s">
        <v>231</v>
      </c>
      <c r="B432" s="4">
        <v>97</v>
      </c>
      <c r="C432" s="4">
        <v>91</v>
      </c>
      <c r="D432" s="5">
        <v>92.5</v>
      </c>
      <c r="E432" s="4">
        <v>85</v>
      </c>
      <c r="F432" s="4">
        <v>80</v>
      </c>
      <c r="G432" s="4">
        <v>73</v>
      </c>
    </row>
    <row r="433" spans="1:7">
      <c r="A433" s="4" t="s">
        <v>405</v>
      </c>
      <c r="B433" s="4">
        <v>101</v>
      </c>
      <c r="C433" s="4">
        <v>93</v>
      </c>
      <c r="D433" s="5">
        <v>88.5</v>
      </c>
      <c r="E433" s="4">
        <v>83</v>
      </c>
      <c r="F433" s="4">
        <v>76</v>
      </c>
      <c r="G433" s="4">
        <v>77</v>
      </c>
    </row>
    <row r="434" spans="1:7">
      <c r="A434" s="4" t="s">
        <v>491</v>
      </c>
      <c r="B434" s="5">
        <v>107.5</v>
      </c>
      <c r="C434" s="4">
        <v>87</v>
      </c>
      <c r="D434" s="4">
        <v>106</v>
      </c>
      <c r="E434" s="4">
        <v>76</v>
      </c>
      <c r="F434" s="4">
        <v>69</v>
      </c>
      <c r="G434" s="4">
        <v>73</v>
      </c>
    </row>
    <row r="435" spans="1:7">
      <c r="A435" s="4" t="s">
        <v>494</v>
      </c>
      <c r="B435" s="4">
        <v>98</v>
      </c>
      <c r="C435" s="4">
        <v>90</v>
      </c>
      <c r="D435" s="5">
        <v>101.5</v>
      </c>
      <c r="E435" s="4">
        <v>80</v>
      </c>
      <c r="F435" s="4">
        <v>82</v>
      </c>
      <c r="G435" s="4">
        <v>67</v>
      </c>
    </row>
    <row r="436" spans="1:7">
      <c r="A436" s="4" t="s">
        <v>283</v>
      </c>
      <c r="B436" s="4">
        <v>84</v>
      </c>
      <c r="C436" s="4">
        <v>97</v>
      </c>
      <c r="D436" s="5">
        <v>103.5</v>
      </c>
      <c r="E436" s="4">
        <v>87</v>
      </c>
      <c r="F436" s="4">
        <v>70</v>
      </c>
      <c r="G436" s="4">
        <v>77</v>
      </c>
    </row>
    <row r="437" spans="1:7">
      <c r="A437" s="4" t="s">
        <v>316</v>
      </c>
      <c r="B437" s="4">
        <v>88</v>
      </c>
      <c r="C437" s="4">
        <v>97</v>
      </c>
      <c r="D437" s="5">
        <v>102.5</v>
      </c>
      <c r="E437" s="4">
        <v>83</v>
      </c>
      <c r="F437" s="4">
        <v>75</v>
      </c>
      <c r="G437" s="4">
        <v>73</v>
      </c>
    </row>
    <row r="438" spans="1:7">
      <c r="A438" s="4" t="s">
        <v>426</v>
      </c>
      <c r="B438" s="4">
        <v>108</v>
      </c>
      <c r="C438" s="4">
        <v>74</v>
      </c>
      <c r="D438" s="5">
        <v>95.5</v>
      </c>
      <c r="E438" s="4">
        <v>84</v>
      </c>
      <c r="F438" s="4">
        <v>82</v>
      </c>
      <c r="G438" s="4">
        <v>75</v>
      </c>
    </row>
    <row r="439" spans="1:7">
      <c r="A439" s="4" t="s">
        <v>215</v>
      </c>
      <c r="B439" s="4">
        <v>85</v>
      </c>
      <c r="C439" s="4">
        <v>97</v>
      </c>
      <c r="D439" s="4">
        <v>109</v>
      </c>
      <c r="E439" s="4">
        <v>81</v>
      </c>
      <c r="F439" s="4">
        <v>69</v>
      </c>
      <c r="G439" s="4">
        <v>77</v>
      </c>
    </row>
    <row r="440" spans="1:7">
      <c r="A440" s="4" t="s">
        <v>649</v>
      </c>
      <c r="B440" s="4">
        <v>91</v>
      </c>
      <c r="C440" s="4">
        <v>101</v>
      </c>
      <c r="D440" s="4">
        <v>100</v>
      </c>
      <c r="E440" s="4">
        <v>82</v>
      </c>
      <c r="F440" s="4">
        <v>69</v>
      </c>
      <c r="G440" s="4">
        <v>75</v>
      </c>
    </row>
    <row r="441" spans="1:7">
      <c r="A441" s="4" t="s">
        <v>113</v>
      </c>
      <c r="B441" s="4">
        <v>93</v>
      </c>
      <c r="C441" s="4">
        <v>99</v>
      </c>
      <c r="D441" s="4">
        <v>76</v>
      </c>
      <c r="E441" s="4">
        <v>88</v>
      </c>
      <c r="F441" s="4">
        <v>86</v>
      </c>
      <c r="G441" s="4">
        <v>75</v>
      </c>
    </row>
    <row r="442" spans="1:7">
      <c r="A442" s="4" t="s">
        <v>216</v>
      </c>
      <c r="B442" s="4">
        <v>88</v>
      </c>
      <c r="C442" s="4">
        <v>90</v>
      </c>
      <c r="D442" s="5">
        <v>101.5</v>
      </c>
      <c r="E442" s="4">
        <v>86</v>
      </c>
      <c r="F442" s="4">
        <v>77</v>
      </c>
      <c r="G442" s="4">
        <v>74</v>
      </c>
    </row>
    <row r="443" spans="1:7">
      <c r="A443" s="4" t="s">
        <v>819</v>
      </c>
      <c r="B443" s="4">
        <v>95</v>
      </c>
      <c r="C443" s="4">
        <v>94</v>
      </c>
      <c r="D443" s="5">
        <v>104.5</v>
      </c>
      <c r="E443" s="4">
        <v>85</v>
      </c>
      <c r="F443" s="4">
        <v>68</v>
      </c>
      <c r="G443" s="4">
        <v>70</v>
      </c>
    </row>
    <row r="444" spans="1:7">
      <c r="A444" s="4" t="s">
        <v>520</v>
      </c>
      <c r="B444" s="4">
        <v>98</v>
      </c>
      <c r="C444" s="4">
        <v>87</v>
      </c>
      <c r="D444" s="5">
        <v>99.5</v>
      </c>
      <c r="E444" s="4">
        <v>85</v>
      </c>
      <c r="F444" s="4">
        <v>70</v>
      </c>
      <c r="G444" s="4">
        <v>77</v>
      </c>
    </row>
    <row r="445" spans="1:7">
      <c r="A445" s="4" t="s">
        <v>538</v>
      </c>
      <c r="B445" s="4">
        <v>92</v>
      </c>
      <c r="C445" s="4">
        <v>101</v>
      </c>
      <c r="D445" s="5">
        <v>88.5</v>
      </c>
      <c r="E445" s="4">
        <v>85</v>
      </c>
      <c r="F445" s="4">
        <v>70</v>
      </c>
      <c r="G445" s="4">
        <v>80</v>
      </c>
    </row>
    <row r="446" spans="1:7">
      <c r="A446" s="4" t="s">
        <v>414</v>
      </c>
      <c r="B446" s="4">
        <v>96</v>
      </c>
      <c r="C446" s="4">
        <v>94</v>
      </c>
      <c r="D446" s="5">
        <v>106.5</v>
      </c>
      <c r="E446" s="4">
        <v>77</v>
      </c>
      <c r="F446" s="4">
        <v>73</v>
      </c>
      <c r="G446" s="4">
        <v>70</v>
      </c>
    </row>
    <row r="447" spans="1:7">
      <c r="A447" s="4" t="s">
        <v>596</v>
      </c>
      <c r="B447" s="4">
        <v>84</v>
      </c>
      <c r="C447" s="4">
        <v>92</v>
      </c>
      <c r="D447" s="5">
        <v>102.5</v>
      </c>
      <c r="E447" s="4">
        <v>85</v>
      </c>
      <c r="F447" s="4">
        <v>75</v>
      </c>
      <c r="G447" s="4">
        <v>78</v>
      </c>
    </row>
    <row r="448" spans="1:7">
      <c r="A448" s="4" t="s">
        <v>602</v>
      </c>
      <c r="B448" s="4">
        <v>93</v>
      </c>
      <c r="C448" s="4">
        <v>87</v>
      </c>
      <c r="D448" s="5">
        <v>109.5</v>
      </c>
      <c r="E448" s="4">
        <v>83</v>
      </c>
      <c r="F448" s="4">
        <v>67</v>
      </c>
      <c r="G448" s="4">
        <v>77</v>
      </c>
    </row>
    <row r="449" spans="1:7">
      <c r="A449" s="4" t="s">
        <v>92</v>
      </c>
      <c r="B449" s="4">
        <v>91</v>
      </c>
      <c r="C449" s="4">
        <v>95</v>
      </c>
      <c r="D449" s="5">
        <v>99.5</v>
      </c>
      <c r="E449" s="4">
        <v>89</v>
      </c>
      <c r="F449" s="4">
        <v>65</v>
      </c>
      <c r="G449" s="4">
        <v>77</v>
      </c>
    </row>
    <row r="450" spans="1:7">
      <c r="A450" s="4" t="s">
        <v>453</v>
      </c>
      <c r="B450" s="4">
        <v>93</v>
      </c>
      <c r="C450" s="4">
        <v>94</v>
      </c>
      <c r="D450" s="5">
        <v>95.5</v>
      </c>
      <c r="E450" s="4">
        <v>85</v>
      </c>
      <c r="F450" s="4">
        <v>83</v>
      </c>
      <c r="G450" s="4">
        <v>66</v>
      </c>
    </row>
    <row r="451" spans="1:7">
      <c r="A451" s="4" t="s">
        <v>514</v>
      </c>
      <c r="B451" s="5">
        <v>93.5</v>
      </c>
      <c r="C451" s="4">
        <v>91</v>
      </c>
      <c r="D451" s="5">
        <v>100.5</v>
      </c>
      <c r="E451" s="4">
        <v>79</v>
      </c>
      <c r="F451" s="4">
        <v>79</v>
      </c>
      <c r="G451" s="4">
        <v>73</v>
      </c>
    </row>
    <row r="452" spans="1:7">
      <c r="A452" s="4" t="s">
        <v>480</v>
      </c>
      <c r="B452" s="4">
        <v>94</v>
      </c>
      <c r="C452" s="4">
        <v>97</v>
      </c>
      <c r="D452" s="5">
        <v>99.5</v>
      </c>
      <c r="E452" s="4">
        <v>85</v>
      </c>
      <c r="F452" s="4">
        <v>76</v>
      </c>
      <c r="G452" s="4">
        <v>64</v>
      </c>
    </row>
    <row r="453" spans="1:7">
      <c r="A453" s="4" t="s">
        <v>488</v>
      </c>
      <c r="B453" s="4">
        <v>98</v>
      </c>
      <c r="C453" s="4">
        <v>93</v>
      </c>
      <c r="D453" s="5">
        <v>96.5</v>
      </c>
      <c r="E453" s="4">
        <v>86</v>
      </c>
      <c r="F453" s="4">
        <v>76</v>
      </c>
      <c r="G453" s="4">
        <v>66</v>
      </c>
    </row>
    <row r="454" spans="1:7">
      <c r="A454" s="4" t="s">
        <v>185</v>
      </c>
      <c r="B454" s="4">
        <v>89</v>
      </c>
      <c r="C454" s="4">
        <v>85</v>
      </c>
      <c r="D454" s="5">
        <v>106.5</v>
      </c>
      <c r="E454" s="4">
        <v>83</v>
      </c>
      <c r="F454" s="4">
        <v>73</v>
      </c>
      <c r="G454" s="4">
        <v>79</v>
      </c>
    </row>
    <row r="455" spans="1:7">
      <c r="A455" s="4" t="s">
        <v>299</v>
      </c>
      <c r="B455" s="4">
        <v>85</v>
      </c>
      <c r="C455" s="4">
        <v>100</v>
      </c>
      <c r="D455" s="5">
        <v>108.5</v>
      </c>
      <c r="E455" s="4">
        <v>80</v>
      </c>
      <c r="F455" s="4">
        <v>71</v>
      </c>
      <c r="G455" s="4">
        <v>71</v>
      </c>
    </row>
    <row r="456" spans="1:7">
      <c r="A456" s="4" t="s">
        <v>462</v>
      </c>
      <c r="B456" s="4">
        <v>88</v>
      </c>
      <c r="C456" s="4">
        <v>102</v>
      </c>
      <c r="D456" s="5">
        <v>88.5</v>
      </c>
      <c r="E456" s="4">
        <v>80</v>
      </c>
      <c r="F456" s="4">
        <v>80</v>
      </c>
      <c r="G456" s="4">
        <v>77</v>
      </c>
    </row>
    <row r="457" spans="1:7">
      <c r="A457" s="4" t="s">
        <v>13</v>
      </c>
      <c r="B457" s="4">
        <v>97</v>
      </c>
      <c r="C457" s="4">
        <v>91</v>
      </c>
      <c r="D457" s="4">
        <v>97</v>
      </c>
      <c r="E457" s="4">
        <v>80</v>
      </c>
      <c r="F457" s="4">
        <v>74</v>
      </c>
      <c r="G457" s="4">
        <v>76</v>
      </c>
    </row>
    <row r="458" spans="1:7">
      <c r="A458" s="4" t="s">
        <v>463</v>
      </c>
      <c r="B458" s="4">
        <v>89</v>
      </c>
      <c r="C458" s="4">
        <v>92</v>
      </c>
      <c r="D458" s="4">
        <v>97</v>
      </c>
      <c r="E458" s="4">
        <v>83</v>
      </c>
      <c r="F458" s="4">
        <v>75</v>
      </c>
      <c r="G458" s="4">
        <v>79</v>
      </c>
    </row>
    <row r="459" spans="1:7">
      <c r="A459" s="4" t="s">
        <v>369</v>
      </c>
      <c r="B459" s="4">
        <v>93</v>
      </c>
      <c r="C459" s="4">
        <v>96</v>
      </c>
      <c r="D459" s="5">
        <v>98.5</v>
      </c>
      <c r="E459" s="4">
        <v>82</v>
      </c>
      <c r="F459" s="4">
        <v>72</v>
      </c>
      <c r="G459" s="4">
        <v>73</v>
      </c>
    </row>
    <row r="460" spans="1:7">
      <c r="A460" s="4" t="s">
        <v>691</v>
      </c>
      <c r="B460" s="5">
        <v>93.5</v>
      </c>
      <c r="C460" s="4">
        <v>80</v>
      </c>
      <c r="D460" s="4">
        <v>112</v>
      </c>
      <c r="E460" s="4">
        <v>89</v>
      </c>
      <c r="F460" s="4">
        <v>73</v>
      </c>
      <c r="G460" s="4">
        <v>67</v>
      </c>
    </row>
    <row r="461" spans="1:7">
      <c r="A461" s="4" t="s">
        <v>650</v>
      </c>
      <c r="B461" s="4">
        <v>87</v>
      </c>
      <c r="C461" s="4">
        <v>88</v>
      </c>
      <c r="D461" s="5">
        <v>107.5</v>
      </c>
      <c r="E461" s="4">
        <v>84</v>
      </c>
      <c r="F461" s="4">
        <v>71</v>
      </c>
      <c r="G461" s="4">
        <v>77</v>
      </c>
    </row>
    <row r="462" spans="1:7">
      <c r="A462" s="4" t="s">
        <v>710</v>
      </c>
      <c r="B462" s="4">
        <v>107</v>
      </c>
      <c r="C462" s="4">
        <v>73</v>
      </c>
      <c r="D462" s="4">
        <v>106</v>
      </c>
      <c r="E462" s="4">
        <v>73</v>
      </c>
      <c r="F462" s="4">
        <v>76</v>
      </c>
      <c r="G462" s="4">
        <v>79</v>
      </c>
    </row>
    <row r="463" spans="1:7">
      <c r="A463" s="4" t="s">
        <v>549</v>
      </c>
      <c r="B463" s="4">
        <v>81</v>
      </c>
      <c r="C463" s="4">
        <v>112</v>
      </c>
      <c r="D463" s="4">
        <v>104</v>
      </c>
      <c r="E463" s="4">
        <v>86</v>
      </c>
      <c r="F463" s="4">
        <v>58</v>
      </c>
      <c r="G463" s="4">
        <v>73</v>
      </c>
    </row>
    <row r="464" spans="1:7">
      <c r="A464" s="4" t="s">
        <v>285</v>
      </c>
      <c r="B464" s="4">
        <v>92</v>
      </c>
      <c r="C464" s="4">
        <v>96</v>
      </c>
      <c r="D464" s="4">
        <v>92</v>
      </c>
      <c r="E464" s="4">
        <v>85</v>
      </c>
      <c r="F464" s="4">
        <v>74</v>
      </c>
      <c r="G464" s="4">
        <v>75</v>
      </c>
    </row>
    <row r="465" spans="1:7">
      <c r="A465" s="4" t="s">
        <v>242</v>
      </c>
      <c r="B465" s="4">
        <v>89</v>
      </c>
      <c r="C465" s="4">
        <v>96</v>
      </c>
      <c r="D465" s="5">
        <v>95.5</v>
      </c>
      <c r="E465" s="4">
        <v>82</v>
      </c>
      <c r="F465" s="4">
        <v>81</v>
      </c>
      <c r="G465" s="4">
        <v>70</v>
      </c>
    </row>
    <row r="466" spans="1:7">
      <c r="A466" s="4" t="s">
        <v>365</v>
      </c>
      <c r="B466" s="4">
        <v>93</v>
      </c>
      <c r="C466" s="4">
        <v>98</v>
      </c>
      <c r="D466" s="4">
        <v>115</v>
      </c>
      <c r="E466" s="4">
        <v>82</v>
      </c>
      <c r="F466" s="4">
        <v>56</v>
      </c>
      <c r="G466" s="4">
        <v>69</v>
      </c>
    </row>
    <row r="467" spans="1:7">
      <c r="A467" s="4" t="s">
        <v>181</v>
      </c>
      <c r="B467" s="4">
        <v>89</v>
      </c>
      <c r="C467" s="4">
        <v>81</v>
      </c>
      <c r="D467" s="5">
        <v>92.5</v>
      </c>
      <c r="E467" s="4">
        <v>88</v>
      </c>
      <c r="F467" s="4">
        <v>80</v>
      </c>
      <c r="G467" s="4">
        <v>82</v>
      </c>
    </row>
    <row r="468" spans="1:7">
      <c r="A468" s="4" t="s">
        <v>692</v>
      </c>
      <c r="B468" s="4">
        <v>96</v>
      </c>
      <c r="C468" s="4">
        <v>89</v>
      </c>
      <c r="D468" s="5">
        <v>91.5</v>
      </c>
      <c r="E468" s="4">
        <v>83</v>
      </c>
      <c r="F468" s="4">
        <v>76</v>
      </c>
      <c r="G468" s="4">
        <v>77</v>
      </c>
    </row>
    <row r="469" spans="1:7">
      <c r="A469" s="4" t="s">
        <v>523</v>
      </c>
      <c r="B469" s="5">
        <v>88.5</v>
      </c>
      <c r="C469" s="4">
        <v>95</v>
      </c>
      <c r="D469" s="4">
        <v>104</v>
      </c>
      <c r="E469" s="4">
        <v>81</v>
      </c>
      <c r="F469" s="4">
        <v>71</v>
      </c>
      <c r="G469" s="4">
        <v>73</v>
      </c>
    </row>
    <row r="470" spans="1:7">
      <c r="A470" s="4" t="s">
        <v>636</v>
      </c>
      <c r="B470" s="4">
        <v>88</v>
      </c>
      <c r="C470" s="4">
        <v>100</v>
      </c>
      <c r="D470" s="5">
        <v>94.5</v>
      </c>
      <c r="E470" s="4">
        <v>84</v>
      </c>
      <c r="F470" s="4">
        <v>78</v>
      </c>
      <c r="G470" s="4">
        <v>68</v>
      </c>
    </row>
    <row r="471" spans="1:7">
      <c r="A471" s="4" t="s">
        <v>820</v>
      </c>
      <c r="B471" s="4">
        <v>77</v>
      </c>
      <c r="C471" s="4">
        <v>100</v>
      </c>
      <c r="D471" s="5">
        <v>100.5</v>
      </c>
      <c r="E471" s="4">
        <v>86</v>
      </c>
      <c r="F471" s="4">
        <v>80</v>
      </c>
      <c r="G471" s="4">
        <v>69</v>
      </c>
    </row>
    <row r="472" spans="1:7">
      <c r="A472" s="4" t="s">
        <v>391</v>
      </c>
      <c r="B472" s="4">
        <v>88</v>
      </c>
      <c r="C472" s="4">
        <v>98</v>
      </c>
      <c r="D472" s="4">
        <v>91</v>
      </c>
      <c r="E472" s="4">
        <v>84</v>
      </c>
      <c r="F472" s="4">
        <v>72</v>
      </c>
      <c r="G472" s="4">
        <v>79</v>
      </c>
    </row>
    <row r="473" spans="1:7">
      <c r="A473" s="4" t="s">
        <v>588</v>
      </c>
      <c r="B473" s="5">
        <v>97.5</v>
      </c>
      <c r="C473" s="4">
        <v>99</v>
      </c>
      <c r="D473" s="5">
        <v>96.5</v>
      </c>
      <c r="E473" s="4">
        <v>78</v>
      </c>
      <c r="F473" s="4">
        <v>72</v>
      </c>
      <c r="G473" s="4">
        <v>69</v>
      </c>
    </row>
    <row r="474" spans="1:7">
      <c r="A474" s="4" t="s">
        <v>305</v>
      </c>
      <c r="B474" s="4">
        <v>86</v>
      </c>
      <c r="C474" s="4">
        <v>96</v>
      </c>
      <c r="D474" s="5">
        <v>100.5</v>
      </c>
      <c r="E474" s="4">
        <v>84</v>
      </c>
      <c r="F474" s="4">
        <v>76</v>
      </c>
      <c r="G474" s="4">
        <v>69</v>
      </c>
    </row>
    <row r="475" spans="1:7">
      <c r="A475" s="4" t="s">
        <v>537</v>
      </c>
      <c r="B475" s="4">
        <v>92</v>
      </c>
      <c r="C475" s="4">
        <v>84</v>
      </c>
      <c r="D475" s="5">
        <v>103.5</v>
      </c>
      <c r="E475" s="4">
        <v>88</v>
      </c>
      <c r="F475" s="4">
        <v>70</v>
      </c>
      <c r="G475" s="4">
        <v>74</v>
      </c>
    </row>
    <row r="476" spans="1:7">
      <c r="A476" s="4" t="s">
        <v>407</v>
      </c>
      <c r="B476" s="4">
        <v>97</v>
      </c>
      <c r="C476" s="4">
        <v>92</v>
      </c>
      <c r="D476" s="5">
        <v>81.5</v>
      </c>
      <c r="E476" s="4">
        <v>78</v>
      </c>
      <c r="F476" s="4">
        <v>88</v>
      </c>
      <c r="G476" s="4">
        <v>75</v>
      </c>
    </row>
    <row r="477" spans="1:7">
      <c r="A477" s="4" t="s">
        <v>249</v>
      </c>
      <c r="B477" s="4">
        <v>95</v>
      </c>
      <c r="C477" s="4">
        <v>93</v>
      </c>
      <c r="D477" s="4">
        <v>85</v>
      </c>
      <c r="E477" s="4">
        <v>81</v>
      </c>
      <c r="F477" s="4">
        <v>78</v>
      </c>
      <c r="G477" s="4">
        <v>79</v>
      </c>
    </row>
    <row r="478" spans="1:7">
      <c r="A478" s="4" t="s">
        <v>329</v>
      </c>
      <c r="B478" s="4">
        <v>77</v>
      </c>
      <c r="C478" s="4">
        <v>92</v>
      </c>
      <c r="D478" s="4">
        <v>108</v>
      </c>
      <c r="E478" s="4">
        <v>89</v>
      </c>
      <c r="F478" s="4">
        <v>71</v>
      </c>
      <c r="G478" s="4">
        <v>74</v>
      </c>
    </row>
    <row r="479" spans="1:7">
      <c r="A479" s="4" t="s">
        <v>721</v>
      </c>
      <c r="B479" s="4">
        <v>94</v>
      </c>
      <c r="C479" s="4">
        <v>101</v>
      </c>
      <c r="D479" s="5">
        <v>96.5</v>
      </c>
      <c r="E479" s="4">
        <v>87</v>
      </c>
      <c r="F479" s="4">
        <v>66</v>
      </c>
      <c r="G479" s="4">
        <v>65</v>
      </c>
    </row>
    <row r="480" spans="1:7">
      <c r="A480" s="4" t="s">
        <v>510</v>
      </c>
      <c r="B480" s="4">
        <v>84</v>
      </c>
      <c r="C480" s="4">
        <v>88</v>
      </c>
      <c r="D480" s="5">
        <v>109.5</v>
      </c>
      <c r="E480" s="4">
        <v>88</v>
      </c>
      <c r="F480" s="4">
        <v>72</v>
      </c>
      <c r="G480" s="4">
        <v>68</v>
      </c>
    </row>
    <row r="481" spans="1:7">
      <c r="A481" s="4" t="s">
        <v>493</v>
      </c>
      <c r="B481" s="4">
        <v>93</v>
      </c>
      <c r="C481" s="4">
        <v>99</v>
      </c>
      <c r="D481" s="5">
        <v>87.5</v>
      </c>
      <c r="E481" s="4">
        <v>90</v>
      </c>
      <c r="F481" s="4">
        <v>76</v>
      </c>
      <c r="G481" s="4">
        <v>64</v>
      </c>
    </row>
    <row r="482" spans="1:7">
      <c r="A482" s="4" t="s">
        <v>543</v>
      </c>
      <c r="B482" s="5">
        <v>91.5</v>
      </c>
      <c r="C482" s="4">
        <v>83</v>
      </c>
      <c r="D482" s="5">
        <v>100.5</v>
      </c>
      <c r="E482" s="4">
        <v>88</v>
      </c>
      <c r="F482" s="4">
        <v>74</v>
      </c>
      <c r="G482" s="4">
        <v>72</v>
      </c>
    </row>
    <row r="483" spans="1:7">
      <c r="A483" s="4" t="s">
        <v>643</v>
      </c>
      <c r="B483" s="4">
        <v>86</v>
      </c>
      <c r="C483" s="4">
        <v>97</v>
      </c>
      <c r="D483" s="4">
        <v>106</v>
      </c>
      <c r="E483" s="4">
        <v>78</v>
      </c>
      <c r="F483" s="4">
        <v>72</v>
      </c>
      <c r="G483" s="4">
        <v>70</v>
      </c>
    </row>
    <row r="484" spans="1:7">
      <c r="A484" s="4" t="s">
        <v>471</v>
      </c>
      <c r="B484" s="5">
        <v>96.5</v>
      </c>
      <c r="C484" s="4">
        <v>110</v>
      </c>
      <c r="D484" s="4">
        <v>60</v>
      </c>
      <c r="E484" s="4">
        <v>86</v>
      </c>
      <c r="F484" s="4">
        <v>81</v>
      </c>
      <c r="G484" s="4">
        <v>75</v>
      </c>
    </row>
    <row r="485" spans="1:7">
      <c r="A485" s="4" t="s">
        <v>235</v>
      </c>
      <c r="B485" s="4">
        <v>97</v>
      </c>
      <c r="C485" s="4">
        <v>96</v>
      </c>
      <c r="D485" s="5">
        <v>79.5</v>
      </c>
      <c r="E485" s="4">
        <v>82</v>
      </c>
      <c r="F485" s="4">
        <v>83</v>
      </c>
      <c r="G485" s="4">
        <v>71</v>
      </c>
    </row>
    <row r="486" spans="1:7">
      <c r="A486" s="4" t="s">
        <v>308</v>
      </c>
      <c r="B486" s="4">
        <v>102</v>
      </c>
      <c r="C486" s="4">
        <v>84</v>
      </c>
      <c r="D486" s="5">
        <v>98.5</v>
      </c>
      <c r="E486" s="4">
        <v>82</v>
      </c>
      <c r="F486" s="4">
        <v>71</v>
      </c>
      <c r="G486" s="4">
        <v>71</v>
      </c>
    </row>
    <row r="487" spans="1:7">
      <c r="A487" s="4" t="s">
        <v>265</v>
      </c>
      <c r="B487" s="4">
        <v>89</v>
      </c>
      <c r="C487" s="4">
        <v>83</v>
      </c>
      <c r="D487" s="5">
        <v>98.5</v>
      </c>
      <c r="E487" s="4">
        <v>80</v>
      </c>
      <c r="F487" s="4">
        <v>81</v>
      </c>
      <c r="G487" s="4">
        <v>77</v>
      </c>
    </row>
    <row r="488" spans="1:7">
      <c r="A488" s="4" t="s">
        <v>267</v>
      </c>
      <c r="B488" s="4">
        <v>87</v>
      </c>
      <c r="C488" s="4">
        <v>93</v>
      </c>
      <c r="D488" s="5">
        <v>94.5</v>
      </c>
      <c r="E488" s="4">
        <v>85</v>
      </c>
      <c r="F488" s="4">
        <v>71</v>
      </c>
      <c r="G488" s="4">
        <v>78</v>
      </c>
    </row>
    <row r="489" spans="1:7">
      <c r="A489" s="4" t="s">
        <v>279</v>
      </c>
      <c r="B489" s="4">
        <v>89</v>
      </c>
      <c r="C489" s="4">
        <v>93</v>
      </c>
      <c r="D489" s="5">
        <v>92.5</v>
      </c>
      <c r="E489" s="4">
        <v>87</v>
      </c>
      <c r="F489" s="4">
        <v>72</v>
      </c>
      <c r="G489" s="4">
        <v>75</v>
      </c>
    </row>
    <row r="490" spans="1:7">
      <c r="A490" s="4" t="s">
        <v>291</v>
      </c>
      <c r="B490" s="4">
        <v>88</v>
      </c>
      <c r="C490" s="4">
        <v>83</v>
      </c>
      <c r="D490" s="5">
        <v>101.5</v>
      </c>
      <c r="E490" s="4">
        <v>82</v>
      </c>
      <c r="F490" s="4">
        <v>79</v>
      </c>
      <c r="G490" s="4">
        <v>75</v>
      </c>
    </row>
    <row r="491" spans="1:7">
      <c r="A491" s="4" t="s">
        <v>513</v>
      </c>
      <c r="B491" s="4">
        <v>89</v>
      </c>
      <c r="C491" s="4">
        <v>92</v>
      </c>
      <c r="D491" s="4">
        <v>108</v>
      </c>
      <c r="E491" s="4">
        <v>74</v>
      </c>
      <c r="F491" s="4">
        <v>76</v>
      </c>
      <c r="G491" s="4">
        <v>69</v>
      </c>
    </row>
    <row r="492" spans="1:7">
      <c r="A492" s="4" t="s">
        <v>375</v>
      </c>
      <c r="B492" s="4">
        <v>89</v>
      </c>
      <c r="C492" s="4">
        <v>88</v>
      </c>
      <c r="D492" s="5">
        <v>93.5</v>
      </c>
      <c r="E492" s="4">
        <v>81</v>
      </c>
      <c r="F492" s="4">
        <v>80</v>
      </c>
      <c r="G492" s="4">
        <v>76</v>
      </c>
    </row>
    <row r="493" spans="1:7">
      <c r="A493" s="4" t="s">
        <v>26</v>
      </c>
      <c r="B493" s="4">
        <v>86</v>
      </c>
      <c r="C493" s="4">
        <v>91</v>
      </c>
      <c r="D493" s="5">
        <v>104.5</v>
      </c>
      <c r="E493" s="4">
        <v>71</v>
      </c>
      <c r="F493" s="4">
        <v>83</v>
      </c>
      <c r="G493" s="4">
        <v>72</v>
      </c>
    </row>
    <row r="494" spans="1:7">
      <c r="A494" s="4" t="s">
        <v>72</v>
      </c>
      <c r="B494" s="4">
        <v>90</v>
      </c>
      <c r="C494" s="4">
        <v>85</v>
      </c>
      <c r="D494" s="5">
        <v>102.5</v>
      </c>
      <c r="E494" s="4">
        <v>75</v>
      </c>
      <c r="F494" s="4">
        <v>75</v>
      </c>
      <c r="G494" s="4">
        <v>80</v>
      </c>
    </row>
    <row r="495" spans="1:7">
      <c r="A495" s="4" t="s">
        <v>84</v>
      </c>
      <c r="B495" s="4">
        <v>95</v>
      </c>
      <c r="C495" s="4">
        <v>81</v>
      </c>
      <c r="D495" s="5">
        <v>107.5</v>
      </c>
      <c r="E495" s="4">
        <v>72</v>
      </c>
      <c r="F495" s="4">
        <v>74</v>
      </c>
      <c r="G495" s="4">
        <v>78</v>
      </c>
    </row>
    <row r="496" spans="1:7">
      <c r="A496" s="4" t="s">
        <v>321</v>
      </c>
      <c r="B496" s="4">
        <v>87</v>
      </c>
      <c r="C496" s="4">
        <v>102</v>
      </c>
      <c r="D496" s="5">
        <v>95.5</v>
      </c>
      <c r="E496" s="4">
        <v>83</v>
      </c>
      <c r="F496" s="4">
        <v>71</v>
      </c>
      <c r="G496" s="4">
        <v>69</v>
      </c>
    </row>
    <row r="497" spans="1:7">
      <c r="A497" s="4" t="s">
        <v>451</v>
      </c>
      <c r="B497" s="4">
        <v>88</v>
      </c>
      <c r="C497" s="4">
        <v>100</v>
      </c>
      <c r="D497" s="4">
        <v>106</v>
      </c>
      <c r="E497" s="4">
        <v>84</v>
      </c>
      <c r="F497" s="4">
        <v>62</v>
      </c>
      <c r="G497" s="4">
        <v>67</v>
      </c>
    </row>
    <row r="498" spans="1:7">
      <c r="A498" s="4" t="s">
        <v>143</v>
      </c>
      <c r="B498" s="4">
        <v>95</v>
      </c>
      <c r="C498" s="4">
        <v>92</v>
      </c>
      <c r="D498" s="5">
        <v>81.5</v>
      </c>
      <c r="E498" s="4">
        <v>88</v>
      </c>
      <c r="F498" s="4">
        <v>77</v>
      </c>
      <c r="G498" s="4">
        <v>73</v>
      </c>
    </row>
    <row r="499" spans="1:7">
      <c r="A499" s="4" t="s">
        <v>821</v>
      </c>
      <c r="B499" s="5">
        <v>95.5</v>
      </c>
      <c r="C499" s="4">
        <v>87</v>
      </c>
      <c r="D499" s="4">
        <v>103</v>
      </c>
      <c r="E499" s="4">
        <v>79</v>
      </c>
      <c r="F499" s="4">
        <v>68</v>
      </c>
      <c r="G499" s="4">
        <v>74</v>
      </c>
    </row>
    <row r="500" spans="1:7">
      <c r="A500" s="4" t="s">
        <v>485</v>
      </c>
      <c r="B500" s="4">
        <v>94</v>
      </c>
      <c r="C500" s="4">
        <v>80</v>
      </c>
      <c r="D500" s="4">
        <v>104</v>
      </c>
      <c r="E500" s="4">
        <v>81</v>
      </c>
      <c r="F500" s="4">
        <v>79</v>
      </c>
      <c r="G500" s="4">
        <v>68</v>
      </c>
    </row>
    <row r="501" spans="1:7">
      <c r="A501" s="4" t="s">
        <v>167</v>
      </c>
      <c r="B501" s="4">
        <v>84</v>
      </c>
      <c r="C501" s="4">
        <v>87</v>
      </c>
      <c r="D501" s="4">
        <v>97</v>
      </c>
      <c r="E501" s="4">
        <v>81</v>
      </c>
      <c r="F501" s="4">
        <v>78</v>
      </c>
      <c r="G501" s="4">
        <v>79</v>
      </c>
    </row>
    <row r="502" spans="1:7">
      <c r="A502" s="4" t="s">
        <v>317</v>
      </c>
      <c r="B502" s="4">
        <v>89</v>
      </c>
      <c r="C502" s="4">
        <v>93</v>
      </c>
      <c r="D502" s="4">
        <v>111</v>
      </c>
      <c r="E502" s="4">
        <v>83</v>
      </c>
      <c r="F502" s="4">
        <v>66</v>
      </c>
      <c r="G502" s="4">
        <v>64</v>
      </c>
    </row>
    <row r="503" spans="1:7">
      <c r="A503" s="4" t="s">
        <v>332</v>
      </c>
      <c r="B503" s="5">
        <v>94.5</v>
      </c>
      <c r="C503" s="4">
        <v>85</v>
      </c>
      <c r="D503" s="5">
        <v>98.5</v>
      </c>
      <c r="E503" s="4">
        <v>82</v>
      </c>
      <c r="F503" s="4">
        <v>75</v>
      </c>
      <c r="G503" s="4">
        <v>71</v>
      </c>
    </row>
    <row r="504" spans="1:7">
      <c r="A504" s="4" t="s">
        <v>234</v>
      </c>
      <c r="B504" s="4">
        <v>84</v>
      </c>
      <c r="C504" s="4">
        <v>82</v>
      </c>
      <c r="D504" s="5">
        <v>104.5</v>
      </c>
      <c r="E504" s="4">
        <v>85</v>
      </c>
      <c r="F504" s="4">
        <v>73</v>
      </c>
      <c r="G504" s="4">
        <v>77</v>
      </c>
    </row>
    <row r="505" spans="1:7">
      <c r="A505" s="4" t="s">
        <v>490</v>
      </c>
      <c r="B505" s="4">
        <v>89</v>
      </c>
      <c r="C505" s="4">
        <v>93</v>
      </c>
      <c r="D505" s="5">
        <v>89.5</v>
      </c>
      <c r="E505" s="4">
        <v>83</v>
      </c>
      <c r="F505" s="4">
        <v>81</v>
      </c>
      <c r="G505" s="4">
        <v>70</v>
      </c>
    </row>
    <row r="506" spans="1:7">
      <c r="A506" s="4" t="s">
        <v>345</v>
      </c>
      <c r="B506" s="4">
        <v>90</v>
      </c>
      <c r="C506" s="4">
        <v>92</v>
      </c>
      <c r="D506" s="5">
        <v>96.5</v>
      </c>
      <c r="E506" s="4">
        <v>85</v>
      </c>
      <c r="F506" s="4">
        <v>71</v>
      </c>
      <c r="G506" s="4">
        <v>70</v>
      </c>
    </row>
    <row r="507" spans="1:7">
      <c r="A507" s="4" t="s">
        <v>256</v>
      </c>
      <c r="B507" s="5">
        <v>79.5</v>
      </c>
      <c r="C507" s="4">
        <v>92</v>
      </c>
      <c r="D507" s="4">
        <v>98</v>
      </c>
      <c r="E507" s="4">
        <v>86</v>
      </c>
      <c r="F507" s="4">
        <v>75</v>
      </c>
      <c r="G507" s="4">
        <v>74</v>
      </c>
    </row>
    <row r="508" spans="1:7">
      <c r="A508" s="4" t="s">
        <v>69</v>
      </c>
      <c r="B508" s="4">
        <v>85</v>
      </c>
      <c r="C508" s="4">
        <v>90</v>
      </c>
      <c r="D508" s="4">
        <v>101</v>
      </c>
      <c r="E508" s="4">
        <v>85</v>
      </c>
      <c r="F508" s="4">
        <v>64</v>
      </c>
      <c r="G508" s="4">
        <v>79</v>
      </c>
    </row>
    <row r="509" spans="1:7">
      <c r="A509" s="4" t="s">
        <v>496</v>
      </c>
      <c r="B509" s="4">
        <v>88</v>
      </c>
      <c r="C509" s="4">
        <v>99</v>
      </c>
      <c r="D509" s="4">
        <v>97</v>
      </c>
      <c r="E509" s="4">
        <v>82</v>
      </c>
      <c r="F509" s="4">
        <v>74</v>
      </c>
      <c r="G509" s="4">
        <v>64</v>
      </c>
    </row>
    <row r="510" spans="1:7">
      <c r="A510" s="4" t="s">
        <v>266</v>
      </c>
      <c r="B510" s="4">
        <v>87</v>
      </c>
      <c r="C510" s="4">
        <v>86</v>
      </c>
      <c r="D510" s="4">
        <v>98</v>
      </c>
      <c r="E510" s="4">
        <v>86</v>
      </c>
      <c r="F510" s="4">
        <v>76</v>
      </c>
      <c r="G510" s="4">
        <v>71</v>
      </c>
    </row>
    <row r="511" spans="1:7">
      <c r="A511" s="4" t="s">
        <v>225</v>
      </c>
      <c r="B511" s="5">
        <v>83.5</v>
      </c>
      <c r="C511" s="4">
        <v>91</v>
      </c>
      <c r="D511" s="4">
        <v>87</v>
      </c>
      <c r="E511" s="4">
        <v>87</v>
      </c>
      <c r="F511" s="4">
        <v>78</v>
      </c>
      <c r="G511" s="4">
        <v>77</v>
      </c>
    </row>
    <row r="512" spans="1:7">
      <c r="A512" s="4" t="s">
        <v>239</v>
      </c>
      <c r="B512" s="4">
        <v>90</v>
      </c>
      <c r="C512" s="4">
        <v>100</v>
      </c>
      <c r="D512" s="5">
        <v>82.5</v>
      </c>
      <c r="E512" s="4">
        <v>86</v>
      </c>
      <c r="F512" s="4">
        <v>67</v>
      </c>
      <c r="G512" s="4">
        <v>78</v>
      </c>
    </row>
    <row r="513" spans="1:7">
      <c r="A513" s="4" t="s">
        <v>127</v>
      </c>
      <c r="B513" s="4">
        <v>88</v>
      </c>
      <c r="C513" s="4">
        <v>84</v>
      </c>
      <c r="D513" s="4">
        <v>81</v>
      </c>
      <c r="E513" s="4">
        <v>83</v>
      </c>
      <c r="F513" s="4">
        <v>84</v>
      </c>
      <c r="G513" s="4">
        <v>83</v>
      </c>
    </row>
    <row r="514" spans="1:7">
      <c r="A514" s="4" t="s">
        <v>275</v>
      </c>
      <c r="B514" s="4">
        <v>88</v>
      </c>
      <c r="C514" s="4">
        <v>89</v>
      </c>
      <c r="D514" s="4">
        <v>94</v>
      </c>
      <c r="E514" s="4">
        <v>80</v>
      </c>
      <c r="F514" s="4">
        <v>75</v>
      </c>
      <c r="G514" s="4">
        <v>77</v>
      </c>
    </row>
    <row r="515" spans="1:7">
      <c r="A515" s="4" t="s">
        <v>161</v>
      </c>
      <c r="B515" s="4">
        <v>90</v>
      </c>
      <c r="C515" s="4">
        <v>94</v>
      </c>
      <c r="D515" s="5">
        <v>98.5</v>
      </c>
      <c r="E515" s="4">
        <v>74</v>
      </c>
      <c r="F515" s="4">
        <v>79</v>
      </c>
      <c r="G515" s="4">
        <v>67</v>
      </c>
    </row>
    <row r="516" spans="1:7">
      <c r="A516" s="4" t="s">
        <v>8</v>
      </c>
      <c r="B516" s="4">
        <v>91</v>
      </c>
      <c r="C516" s="4">
        <v>95</v>
      </c>
      <c r="D516" s="4">
        <v>91</v>
      </c>
      <c r="E516" s="4">
        <v>84</v>
      </c>
      <c r="F516" s="4">
        <v>75</v>
      </c>
      <c r="G516" s="4">
        <v>66</v>
      </c>
    </row>
    <row r="517" spans="1:7">
      <c r="A517" s="4" t="s">
        <v>327</v>
      </c>
      <c r="B517" s="4">
        <v>98</v>
      </c>
      <c r="C517" s="4">
        <v>86</v>
      </c>
      <c r="D517" s="4">
        <v>78</v>
      </c>
      <c r="E517" s="4">
        <v>90</v>
      </c>
      <c r="F517" s="4">
        <v>74</v>
      </c>
      <c r="G517" s="4">
        <v>76</v>
      </c>
    </row>
    <row r="518" spans="1:7">
      <c r="A518" s="4" t="s">
        <v>432</v>
      </c>
      <c r="B518" s="4">
        <v>88</v>
      </c>
      <c r="C518" s="4">
        <v>88</v>
      </c>
      <c r="D518" s="4">
        <v>110</v>
      </c>
      <c r="E518" s="4">
        <v>73</v>
      </c>
      <c r="F518" s="4">
        <v>73</v>
      </c>
      <c r="G518" s="4">
        <v>70</v>
      </c>
    </row>
    <row r="519" spans="1:7">
      <c r="A519" s="4" t="s">
        <v>696</v>
      </c>
      <c r="B519" s="4">
        <v>93</v>
      </c>
      <c r="C519" s="4">
        <v>84</v>
      </c>
      <c r="D519" s="5">
        <v>95.5</v>
      </c>
      <c r="E519" s="4">
        <v>70</v>
      </c>
      <c r="F519" s="4">
        <v>80</v>
      </c>
      <c r="G519" s="4">
        <v>79</v>
      </c>
    </row>
    <row r="520" spans="1:7">
      <c r="A520" s="4" t="s">
        <v>452</v>
      </c>
      <c r="B520" s="5">
        <v>95.5</v>
      </c>
      <c r="C520" s="4">
        <v>80</v>
      </c>
      <c r="D520" s="4">
        <v>104</v>
      </c>
      <c r="E520" s="4">
        <v>79</v>
      </c>
      <c r="F520" s="4">
        <v>75</v>
      </c>
      <c r="G520" s="4">
        <v>68</v>
      </c>
    </row>
    <row r="521" spans="1:7">
      <c r="A521" s="4" t="s">
        <v>475</v>
      </c>
      <c r="B521" s="4">
        <v>94</v>
      </c>
      <c r="C521" s="4">
        <v>94</v>
      </c>
      <c r="D521" s="4">
        <v>88</v>
      </c>
      <c r="E521" s="4">
        <v>85</v>
      </c>
      <c r="F521" s="4">
        <v>71</v>
      </c>
      <c r="G521" s="4">
        <v>69</v>
      </c>
    </row>
    <row r="522" spans="1:7">
      <c r="A522" s="4" t="s">
        <v>342</v>
      </c>
      <c r="B522" s="5">
        <v>96.5</v>
      </c>
      <c r="C522" s="4">
        <v>82</v>
      </c>
      <c r="D522" s="5">
        <v>87.5</v>
      </c>
      <c r="E522" s="4">
        <v>83</v>
      </c>
      <c r="F522" s="4">
        <v>74</v>
      </c>
      <c r="G522" s="4">
        <v>78</v>
      </c>
    </row>
    <row r="523" spans="1:7">
      <c r="A523" s="4" t="s">
        <v>383</v>
      </c>
      <c r="B523" s="4">
        <v>96</v>
      </c>
      <c r="C523" s="4">
        <v>92</v>
      </c>
      <c r="D523" s="4">
        <v>81</v>
      </c>
      <c r="E523" s="4">
        <v>80</v>
      </c>
      <c r="F523" s="4">
        <v>78</v>
      </c>
      <c r="G523" s="4">
        <v>74</v>
      </c>
    </row>
    <row r="524" spans="1:7">
      <c r="A524" s="4" t="s">
        <v>56</v>
      </c>
      <c r="B524" s="4">
        <v>89</v>
      </c>
      <c r="C524" s="4">
        <v>86</v>
      </c>
      <c r="D524" s="4">
        <v>97</v>
      </c>
      <c r="E524" s="4">
        <v>84</v>
      </c>
      <c r="F524" s="4">
        <v>66</v>
      </c>
      <c r="G524" s="4">
        <v>79</v>
      </c>
    </row>
    <row r="525" spans="1:7">
      <c r="A525" s="4" t="s">
        <v>281</v>
      </c>
      <c r="B525" s="4">
        <v>83</v>
      </c>
      <c r="C525" s="4">
        <v>101</v>
      </c>
      <c r="D525" s="4">
        <v>85</v>
      </c>
      <c r="E525" s="4">
        <v>86</v>
      </c>
      <c r="F525" s="4">
        <v>74</v>
      </c>
      <c r="G525" s="4">
        <v>72</v>
      </c>
    </row>
    <row r="526" spans="1:7">
      <c r="A526" s="4" t="s">
        <v>457</v>
      </c>
      <c r="B526" s="4">
        <v>101</v>
      </c>
      <c r="C526" s="4">
        <v>88</v>
      </c>
      <c r="D526" s="4">
        <v>90</v>
      </c>
      <c r="E526" s="4">
        <v>83</v>
      </c>
      <c r="F526" s="4">
        <v>76</v>
      </c>
      <c r="G526" s="4">
        <v>63</v>
      </c>
    </row>
    <row r="527" spans="1:7">
      <c r="A527" s="4" t="s">
        <v>232</v>
      </c>
      <c r="B527" s="4">
        <v>93</v>
      </c>
      <c r="C527" s="4">
        <v>86</v>
      </c>
      <c r="D527" s="5">
        <v>88.5</v>
      </c>
      <c r="E527" s="4">
        <v>90</v>
      </c>
      <c r="F527" s="4">
        <v>69</v>
      </c>
      <c r="G527" s="4">
        <v>74</v>
      </c>
    </row>
    <row r="528" spans="1:7">
      <c r="A528" s="4" t="s">
        <v>252</v>
      </c>
      <c r="B528" s="4">
        <v>80</v>
      </c>
      <c r="C528" s="4">
        <v>91</v>
      </c>
      <c r="D528" s="4">
        <v>99</v>
      </c>
      <c r="E528" s="4">
        <v>86</v>
      </c>
      <c r="F528" s="4">
        <v>71</v>
      </c>
      <c r="G528" s="4">
        <v>73</v>
      </c>
    </row>
    <row r="529" spans="1:7">
      <c r="A529" s="4" t="s">
        <v>822</v>
      </c>
      <c r="B529" s="4">
        <v>95</v>
      </c>
      <c r="C529" s="4">
        <v>74</v>
      </c>
      <c r="D529" s="4">
        <v>91</v>
      </c>
      <c r="E529" s="4">
        <v>82</v>
      </c>
      <c r="F529" s="4">
        <v>79</v>
      </c>
      <c r="G529" s="4">
        <v>79</v>
      </c>
    </row>
    <row r="530" spans="1:7">
      <c r="A530" s="4" t="s">
        <v>415</v>
      </c>
      <c r="B530" s="4">
        <v>90</v>
      </c>
      <c r="C530" s="4">
        <v>87</v>
      </c>
      <c r="D530" s="4">
        <v>99</v>
      </c>
      <c r="E530" s="4">
        <v>86</v>
      </c>
      <c r="F530" s="4">
        <v>67</v>
      </c>
      <c r="G530" s="4">
        <v>71</v>
      </c>
    </row>
    <row r="531" spans="1:7">
      <c r="A531" s="4" t="s">
        <v>361</v>
      </c>
      <c r="B531" s="4">
        <v>91</v>
      </c>
      <c r="C531" s="4">
        <v>104</v>
      </c>
      <c r="D531" s="5">
        <v>89.5</v>
      </c>
      <c r="E531" s="4">
        <v>85</v>
      </c>
      <c r="F531" s="4">
        <v>69</v>
      </c>
      <c r="G531" s="4">
        <v>61</v>
      </c>
    </row>
    <row r="532" spans="1:7">
      <c r="A532" s="4" t="s">
        <v>427</v>
      </c>
      <c r="B532" s="4">
        <v>94</v>
      </c>
      <c r="C532" s="4">
        <v>93</v>
      </c>
      <c r="D532" s="5">
        <v>93.5</v>
      </c>
      <c r="E532" s="4">
        <v>82</v>
      </c>
      <c r="F532" s="4">
        <v>71</v>
      </c>
      <c r="G532" s="4">
        <v>66</v>
      </c>
    </row>
    <row r="533" spans="1:7">
      <c r="A533" s="4" t="s">
        <v>382</v>
      </c>
      <c r="B533" s="4">
        <v>83</v>
      </c>
      <c r="C533" s="4">
        <v>94</v>
      </c>
      <c r="D533" s="4">
        <v>96</v>
      </c>
      <c r="E533" s="4">
        <v>76</v>
      </c>
      <c r="F533" s="4">
        <v>74</v>
      </c>
      <c r="G533" s="4">
        <v>76</v>
      </c>
    </row>
    <row r="534" spans="1:7">
      <c r="A534" s="4" t="s">
        <v>43</v>
      </c>
      <c r="B534" s="4">
        <v>95</v>
      </c>
      <c r="C534" s="4">
        <v>85</v>
      </c>
      <c r="D534" s="4">
        <v>80</v>
      </c>
      <c r="E534" s="4">
        <v>82</v>
      </c>
      <c r="F534" s="4">
        <v>80</v>
      </c>
      <c r="G534" s="4">
        <v>77</v>
      </c>
    </row>
    <row r="535" spans="1:7">
      <c r="A535" s="4" t="s">
        <v>67</v>
      </c>
      <c r="B535" s="4">
        <v>83</v>
      </c>
      <c r="C535" s="4">
        <v>97</v>
      </c>
      <c r="D535" s="5">
        <v>83.5</v>
      </c>
      <c r="E535" s="4">
        <v>87</v>
      </c>
      <c r="F535" s="4">
        <v>73</v>
      </c>
      <c r="G535" s="4">
        <v>75</v>
      </c>
    </row>
    <row r="536" spans="1:7">
      <c r="A536" s="4" t="s">
        <v>393</v>
      </c>
      <c r="B536" s="4">
        <v>91</v>
      </c>
      <c r="C536" s="4">
        <v>97</v>
      </c>
      <c r="D536" s="5">
        <v>87.5</v>
      </c>
      <c r="E536" s="4">
        <v>81</v>
      </c>
      <c r="F536" s="4">
        <v>75</v>
      </c>
      <c r="G536" s="4">
        <v>67</v>
      </c>
    </row>
    <row r="537" spans="1:7">
      <c r="A537" s="4" t="s">
        <v>114</v>
      </c>
      <c r="B537" s="4">
        <v>85</v>
      </c>
      <c r="C537" s="4">
        <v>83</v>
      </c>
      <c r="D537" s="5">
        <v>85.5</v>
      </c>
      <c r="E537" s="4">
        <v>84</v>
      </c>
      <c r="F537" s="4">
        <v>84</v>
      </c>
      <c r="G537" s="4">
        <v>77</v>
      </c>
    </row>
    <row r="538" spans="1:7">
      <c r="A538" s="4" t="s">
        <v>430</v>
      </c>
      <c r="B538" s="4">
        <v>89</v>
      </c>
      <c r="C538" s="4">
        <v>99</v>
      </c>
      <c r="D538" s="5">
        <v>95.5</v>
      </c>
      <c r="E538" s="4">
        <v>75</v>
      </c>
      <c r="F538" s="4">
        <v>73</v>
      </c>
      <c r="G538" s="4">
        <v>67</v>
      </c>
    </row>
    <row r="539" spans="1:7">
      <c r="A539" s="4" t="s">
        <v>68</v>
      </c>
      <c r="B539" s="4">
        <v>85</v>
      </c>
      <c r="C539" s="4">
        <v>90</v>
      </c>
      <c r="D539" s="4">
        <v>91</v>
      </c>
      <c r="E539" s="4">
        <v>83</v>
      </c>
      <c r="F539" s="4">
        <v>75</v>
      </c>
      <c r="G539" s="4">
        <v>74</v>
      </c>
    </row>
    <row r="540" spans="1:7">
      <c r="A540" s="4" t="s">
        <v>448</v>
      </c>
      <c r="B540" s="4">
        <v>91</v>
      </c>
      <c r="C540" s="4">
        <v>90</v>
      </c>
      <c r="D540" s="4">
        <v>100</v>
      </c>
      <c r="E540" s="4">
        <v>76</v>
      </c>
      <c r="F540" s="4">
        <v>68</v>
      </c>
      <c r="G540" s="4">
        <v>73</v>
      </c>
    </row>
    <row r="541" spans="1:7">
      <c r="A541" s="4" t="s">
        <v>511</v>
      </c>
      <c r="B541" s="4">
        <v>85</v>
      </c>
      <c r="C541" s="4">
        <v>94</v>
      </c>
      <c r="D541" s="5">
        <v>100.5</v>
      </c>
      <c r="E541" s="4">
        <v>85</v>
      </c>
      <c r="F541" s="4">
        <v>71</v>
      </c>
      <c r="G541" s="4">
        <v>62</v>
      </c>
    </row>
    <row r="542" spans="1:7">
      <c r="A542" s="4" t="s">
        <v>162</v>
      </c>
      <c r="B542" s="4">
        <v>86</v>
      </c>
      <c r="C542" s="4">
        <v>87</v>
      </c>
      <c r="D542" s="5">
        <v>90.5</v>
      </c>
      <c r="E542" s="4">
        <v>81</v>
      </c>
      <c r="F542" s="4">
        <v>74</v>
      </c>
      <c r="G542" s="4">
        <v>79</v>
      </c>
    </row>
    <row r="543" spans="1:7">
      <c r="A543" s="4" t="s">
        <v>123</v>
      </c>
      <c r="B543" s="4">
        <v>85</v>
      </c>
      <c r="C543" s="4">
        <v>80</v>
      </c>
      <c r="D543" s="5">
        <v>98.5</v>
      </c>
      <c r="E543" s="4">
        <v>81</v>
      </c>
      <c r="F543" s="4">
        <v>76</v>
      </c>
      <c r="G543" s="4">
        <v>77</v>
      </c>
    </row>
    <row r="544" spans="1:7">
      <c r="A544" s="4" t="s">
        <v>455</v>
      </c>
      <c r="B544" s="5">
        <v>79.5</v>
      </c>
      <c r="C544" s="4">
        <v>91</v>
      </c>
      <c r="D544" s="4">
        <v>97</v>
      </c>
      <c r="E544" s="4">
        <v>79</v>
      </c>
      <c r="F544" s="4">
        <v>77</v>
      </c>
      <c r="G544" s="4">
        <v>74</v>
      </c>
    </row>
    <row r="545" spans="1:7">
      <c r="A545" s="4" t="s">
        <v>212</v>
      </c>
      <c r="B545" s="4">
        <v>91</v>
      </c>
      <c r="C545" s="4">
        <v>92</v>
      </c>
      <c r="D545" s="4">
        <v>82</v>
      </c>
      <c r="E545" s="4">
        <v>86</v>
      </c>
      <c r="F545" s="4">
        <v>69</v>
      </c>
      <c r="G545" s="4">
        <v>77</v>
      </c>
    </row>
    <row r="546" spans="1:7">
      <c r="A546" s="4" t="s">
        <v>358</v>
      </c>
      <c r="B546" s="4">
        <v>95</v>
      </c>
      <c r="C546" s="4">
        <v>87</v>
      </c>
      <c r="D546" s="4">
        <v>91</v>
      </c>
      <c r="E546" s="4">
        <v>81</v>
      </c>
      <c r="F546" s="4">
        <v>73</v>
      </c>
      <c r="G546" s="4">
        <v>70</v>
      </c>
    </row>
    <row r="547" spans="1:7">
      <c r="A547" s="4" t="s">
        <v>469</v>
      </c>
      <c r="B547" s="4">
        <v>94</v>
      </c>
      <c r="C547" s="4">
        <v>84</v>
      </c>
      <c r="D547" s="4">
        <v>88</v>
      </c>
      <c r="E547" s="4">
        <v>88</v>
      </c>
      <c r="F547" s="4">
        <v>72</v>
      </c>
      <c r="G547" s="4">
        <v>70</v>
      </c>
    </row>
    <row r="548" spans="1:7">
      <c r="A548" s="4" t="s">
        <v>515</v>
      </c>
      <c r="B548" s="4">
        <v>89</v>
      </c>
      <c r="C548" s="4">
        <v>97</v>
      </c>
      <c r="D548" s="4">
        <v>86</v>
      </c>
      <c r="E548" s="4">
        <v>86</v>
      </c>
      <c r="F548" s="4">
        <v>62</v>
      </c>
      <c r="G548" s="4">
        <v>76</v>
      </c>
    </row>
    <row r="549" spans="1:7">
      <c r="A549" s="4" t="s">
        <v>146</v>
      </c>
      <c r="B549" s="4">
        <v>98</v>
      </c>
      <c r="C549" s="4">
        <v>82</v>
      </c>
      <c r="D549" s="4">
        <v>87</v>
      </c>
      <c r="E549" s="4">
        <v>84</v>
      </c>
      <c r="F549" s="4">
        <v>70</v>
      </c>
      <c r="G549" s="4">
        <v>75</v>
      </c>
    </row>
    <row r="550" spans="1:7">
      <c r="A550" s="4" t="s">
        <v>436</v>
      </c>
      <c r="B550" s="4">
        <v>91</v>
      </c>
      <c r="C550" s="4">
        <v>80</v>
      </c>
      <c r="D550" s="4">
        <v>98</v>
      </c>
      <c r="E550" s="4">
        <v>83</v>
      </c>
      <c r="F550" s="4">
        <v>73</v>
      </c>
      <c r="G550" s="4">
        <v>71</v>
      </c>
    </row>
    <row r="551" spans="1:7">
      <c r="A551" s="4" t="s">
        <v>440</v>
      </c>
      <c r="B551" s="4">
        <v>93</v>
      </c>
      <c r="C551" s="4">
        <v>96</v>
      </c>
      <c r="D551" s="4">
        <v>81</v>
      </c>
      <c r="E551" s="4">
        <v>77</v>
      </c>
      <c r="F551" s="4">
        <v>77</v>
      </c>
      <c r="G551" s="4">
        <v>72</v>
      </c>
    </row>
    <row r="552" spans="1:7">
      <c r="A552" s="4" t="s">
        <v>539</v>
      </c>
      <c r="B552" s="4">
        <v>99</v>
      </c>
      <c r="C552" s="4">
        <v>95</v>
      </c>
      <c r="D552" s="5">
        <v>80.5</v>
      </c>
      <c r="E552" s="4">
        <v>75</v>
      </c>
      <c r="F552" s="4">
        <v>69</v>
      </c>
      <c r="G552" s="4">
        <v>77</v>
      </c>
    </row>
    <row r="553" spans="1:7">
      <c r="A553" s="4" t="s">
        <v>315</v>
      </c>
      <c r="B553" s="4">
        <v>93</v>
      </c>
      <c r="C553" s="4">
        <v>97</v>
      </c>
      <c r="D553" s="5">
        <v>86.5</v>
      </c>
      <c r="E553" s="4">
        <v>79</v>
      </c>
      <c r="F553" s="4">
        <v>73</v>
      </c>
      <c r="G553" s="4">
        <v>67</v>
      </c>
    </row>
    <row r="554" spans="1:7">
      <c r="A554" s="4" t="s">
        <v>319</v>
      </c>
      <c r="B554" s="5">
        <v>94.5</v>
      </c>
      <c r="C554" s="4">
        <v>94</v>
      </c>
      <c r="D554" s="4">
        <v>86</v>
      </c>
      <c r="E554" s="4">
        <v>75</v>
      </c>
      <c r="F554" s="4">
        <v>80</v>
      </c>
      <c r="G554" s="4">
        <v>66</v>
      </c>
    </row>
    <row r="555" spans="1:7">
      <c r="A555" s="4" t="s">
        <v>89</v>
      </c>
      <c r="B555" s="5">
        <v>98.5</v>
      </c>
      <c r="C555" s="4">
        <v>94</v>
      </c>
      <c r="D555" s="5">
        <v>97.5</v>
      </c>
      <c r="E555" s="4">
        <v>72</v>
      </c>
      <c r="F555" s="4">
        <v>64</v>
      </c>
      <c r="G555" s="4">
        <v>69</v>
      </c>
    </row>
    <row r="556" spans="1:7">
      <c r="A556" s="4" t="s">
        <v>132</v>
      </c>
      <c r="B556" s="4">
        <v>97</v>
      </c>
      <c r="C556" s="4">
        <v>80</v>
      </c>
      <c r="D556" s="5">
        <v>100.5</v>
      </c>
      <c r="E556" s="4">
        <v>78</v>
      </c>
      <c r="F556" s="4">
        <v>64</v>
      </c>
      <c r="G556" s="4">
        <v>75</v>
      </c>
    </row>
    <row r="557" spans="1:7">
      <c r="A557" s="4" t="s">
        <v>735</v>
      </c>
      <c r="B557" s="4">
        <v>90</v>
      </c>
      <c r="C557" s="4">
        <v>88</v>
      </c>
      <c r="D557" s="4">
        <v>106</v>
      </c>
      <c r="E557" s="4">
        <v>80</v>
      </c>
      <c r="F557" s="4">
        <v>64</v>
      </c>
      <c r="G557" s="4">
        <v>66</v>
      </c>
    </row>
    <row r="558" spans="1:7">
      <c r="A558" s="4" t="s">
        <v>344</v>
      </c>
      <c r="B558" s="4">
        <v>86</v>
      </c>
      <c r="C558" s="4">
        <v>86</v>
      </c>
      <c r="D558" s="4">
        <v>89</v>
      </c>
      <c r="E558" s="4">
        <v>80</v>
      </c>
      <c r="F558" s="4">
        <v>79</v>
      </c>
      <c r="G558" s="4">
        <v>73</v>
      </c>
    </row>
    <row r="559" spans="1:7">
      <c r="A559" s="4" t="s">
        <v>83</v>
      </c>
      <c r="B559" s="4">
        <v>84</v>
      </c>
      <c r="C559" s="4">
        <v>97</v>
      </c>
      <c r="D559" s="4">
        <v>78</v>
      </c>
      <c r="E559" s="4">
        <v>82</v>
      </c>
      <c r="F559" s="4">
        <v>75</v>
      </c>
      <c r="G559" s="4">
        <v>77</v>
      </c>
    </row>
    <row r="560" spans="1:7">
      <c r="A560" s="4" t="s">
        <v>138</v>
      </c>
      <c r="B560" s="4">
        <v>83</v>
      </c>
      <c r="C560" s="4">
        <v>86</v>
      </c>
      <c r="D560" s="4">
        <v>83</v>
      </c>
      <c r="E560" s="4">
        <v>87</v>
      </c>
      <c r="F560" s="4">
        <v>77</v>
      </c>
      <c r="G560" s="4">
        <v>77</v>
      </c>
    </row>
    <row r="561" spans="1:7">
      <c r="A561" s="4" t="s">
        <v>179</v>
      </c>
      <c r="B561" s="4">
        <v>86</v>
      </c>
      <c r="C561" s="4">
        <v>87</v>
      </c>
      <c r="D561" s="5">
        <v>97.5</v>
      </c>
      <c r="E561" s="4">
        <v>78</v>
      </c>
      <c r="F561" s="4">
        <v>74</v>
      </c>
      <c r="G561" s="4">
        <v>69</v>
      </c>
    </row>
    <row r="562" spans="1:7">
      <c r="A562" s="4" t="s">
        <v>194</v>
      </c>
      <c r="B562" s="4">
        <v>92</v>
      </c>
      <c r="C562" s="4">
        <v>79</v>
      </c>
      <c r="D562" s="5">
        <v>90.5</v>
      </c>
      <c r="E562" s="4">
        <v>83</v>
      </c>
      <c r="F562" s="4">
        <v>77</v>
      </c>
      <c r="G562" s="4">
        <v>70</v>
      </c>
    </row>
    <row r="563" spans="1:7">
      <c r="A563" s="4" t="s">
        <v>353</v>
      </c>
      <c r="B563" s="4">
        <v>92</v>
      </c>
      <c r="C563" s="4">
        <v>84</v>
      </c>
      <c r="D563" s="5">
        <v>94.5</v>
      </c>
      <c r="E563" s="4">
        <v>84</v>
      </c>
      <c r="F563" s="4">
        <v>65</v>
      </c>
      <c r="G563" s="4">
        <v>72</v>
      </c>
    </row>
    <row r="564" spans="1:7">
      <c r="A564" s="4" t="s">
        <v>381</v>
      </c>
      <c r="B564" s="4">
        <v>90</v>
      </c>
      <c r="C564" s="4">
        <v>94</v>
      </c>
      <c r="D564" s="5">
        <v>97.5</v>
      </c>
      <c r="E564" s="4">
        <v>71</v>
      </c>
      <c r="F564" s="4">
        <v>78</v>
      </c>
      <c r="G564" s="4">
        <v>61</v>
      </c>
    </row>
    <row r="565" spans="1:7">
      <c r="A565" s="4" t="s">
        <v>347</v>
      </c>
      <c r="B565" s="4">
        <v>85</v>
      </c>
      <c r="C565" s="4">
        <v>89</v>
      </c>
      <c r="D565" s="4">
        <v>94</v>
      </c>
      <c r="E565" s="4">
        <v>79</v>
      </c>
      <c r="F565" s="4">
        <v>69</v>
      </c>
      <c r="G565" s="4">
        <v>75</v>
      </c>
    </row>
    <row r="566" spans="1:7">
      <c r="A566" s="4" t="s">
        <v>467</v>
      </c>
      <c r="B566" s="5">
        <v>78.5</v>
      </c>
      <c r="C566" s="4">
        <v>96</v>
      </c>
      <c r="D566" s="5">
        <v>99.5</v>
      </c>
      <c r="E566" s="4">
        <v>76</v>
      </c>
      <c r="F566" s="4">
        <v>77</v>
      </c>
      <c r="G566" s="4">
        <v>63</v>
      </c>
    </row>
    <row r="567" spans="1:7">
      <c r="A567" s="4" t="s">
        <v>98</v>
      </c>
      <c r="B567" s="4">
        <v>94</v>
      </c>
      <c r="C567" s="4">
        <v>83</v>
      </c>
      <c r="D567" s="4">
        <v>95</v>
      </c>
      <c r="E567" s="4">
        <v>76</v>
      </c>
      <c r="F567" s="4">
        <v>71</v>
      </c>
      <c r="G567" s="4">
        <v>71</v>
      </c>
    </row>
    <row r="568" spans="1:7">
      <c r="A568" s="4" t="s">
        <v>294</v>
      </c>
      <c r="B568" s="4">
        <v>89</v>
      </c>
      <c r="C568" s="4">
        <v>79</v>
      </c>
      <c r="D568" s="4">
        <v>104</v>
      </c>
      <c r="E568" s="4">
        <v>68</v>
      </c>
      <c r="F568" s="4">
        <v>74</v>
      </c>
      <c r="G568" s="4">
        <v>76</v>
      </c>
    </row>
    <row r="569" spans="1:7">
      <c r="A569" s="4" t="s">
        <v>134</v>
      </c>
      <c r="B569" s="4">
        <v>86</v>
      </c>
      <c r="C569" s="4">
        <v>73</v>
      </c>
      <c r="D569" s="5">
        <v>96.5</v>
      </c>
      <c r="E569" s="4">
        <v>83</v>
      </c>
      <c r="F569" s="4">
        <v>74</v>
      </c>
      <c r="G569" s="4">
        <v>77</v>
      </c>
    </row>
    <row r="570" spans="1:7">
      <c r="A570" s="4" t="s">
        <v>104</v>
      </c>
      <c r="B570" s="5">
        <v>89.5</v>
      </c>
      <c r="C570" s="4">
        <v>86</v>
      </c>
      <c r="D570" s="4">
        <v>84</v>
      </c>
      <c r="E570" s="4">
        <v>81</v>
      </c>
      <c r="F570" s="4">
        <v>76</v>
      </c>
      <c r="G570" s="4">
        <v>73</v>
      </c>
    </row>
    <row r="571" spans="1:7">
      <c r="A571" s="4" t="s">
        <v>259</v>
      </c>
      <c r="B571" s="4">
        <v>78</v>
      </c>
      <c r="C571" s="4">
        <v>95</v>
      </c>
      <c r="D571" s="5">
        <v>73.5</v>
      </c>
      <c r="E571" s="4">
        <v>89</v>
      </c>
      <c r="F571" s="4">
        <v>81</v>
      </c>
      <c r="G571" s="4">
        <v>73</v>
      </c>
    </row>
    <row r="572" spans="1:7">
      <c r="A572" s="4" t="s">
        <v>482</v>
      </c>
      <c r="B572" s="5">
        <v>90.5</v>
      </c>
      <c r="C572" s="4">
        <v>96</v>
      </c>
      <c r="D572" s="5">
        <v>82.5</v>
      </c>
      <c r="E572" s="4">
        <v>87</v>
      </c>
      <c r="F572" s="4">
        <v>63</v>
      </c>
      <c r="G572" s="4">
        <v>70</v>
      </c>
    </row>
    <row r="573" spans="1:7">
      <c r="A573" s="4" t="s">
        <v>254</v>
      </c>
      <c r="B573" s="4">
        <v>83</v>
      </c>
      <c r="C573" s="4">
        <v>83</v>
      </c>
      <c r="D573" s="5">
        <v>93.5</v>
      </c>
      <c r="E573" s="4">
        <v>86</v>
      </c>
      <c r="F573" s="4">
        <v>74</v>
      </c>
      <c r="G573" s="4">
        <v>69</v>
      </c>
    </row>
    <row r="574" spans="1:7">
      <c r="A574" s="4" t="s">
        <v>370</v>
      </c>
      <c r="B574" s="4">
        <v>87</v>
      </c>
      <c r="C574" s="4">
        <v>94</v>
      </c>
      <c r="D574" s="5">
        <v>88.5</v>
      </c>
      <c r="E574" s="4">
        <v>76</v>
      </c>
      <c r="F574" s="4">
        <v>69</v>
      </c>
      <c r="G574" s="4">
        <v>74</v>
      </c>
    </row>
    <row r="575" spans="1:7">
      <c r="A575" s="4" t="s">
        <v>314</v>
      </c>
      <c r="B575" s="4">
        <v>97</v>
      </c>
      <c r="C575" s="4">
        <v>91</v>
      </c>
      <c r="D575" s="5">
        <v>99.5</v>
      </c>
      <c r="E575" s="4">
        <v>71</v>
      </c>
      <c r="F575" s="4">
        <v>59</v>
      </c>
      <c r="G575" s="4">
        <v>71</v>
      </c>
    </row>
    <row r="576" spans="1:7">
      <c r="A576" s="4" t="s">
        <v>479</v>
      </c>
      <c r="B576" s="4">
        <v>95</v>
      </c>
      <c r="C576" s="4">
        <v>101</v>
      </c>
      <c r="D576" s="4">
        <v>83</v>
      </c>
      <c r="E576" s="4">
        <v>76</v>
      </c>
      <c r="F576" s="4">
        <v>74</v>
      </c>
      <c r="G576" s="4">
        <v>59</v>
      </c>
    </row>
    <row r="577" spans="1:7">
      <c r="A577" s="4" t="s">
        <v>280</v>
      </c>
      <c r="B577" s="4">
        <v>94</v>
      </c>
      <c r="C577" s="4">
        <v>92</v>
      </c>
      <c r="D577" s="4">
        <v>82</v>
      </c>
      <c r="E577" s="4">
        <v>84</v>
      </c>
      <c r="F577" s="4">
        <v>70</v>
      </c>
      <c r="G577" s="4">
        <v>66</v>
      </c>
    </row>
    <row r="578" spans="1:7">
      <c r="A578" s="4" t="s">
        <v>34</v>
      </c>
      <c r="B578" s="4">
        <v>95</v>
      </c>
      <c r="C578" s="4">
        <v>82</v>
      </c>
      <c r="D578" s="5">
        <v>86.5</v>
      </c>
      <c r="E578" s="4">
        <v>84</v>
      </c>
      <c r="F578" s="4">
        <v>77</v>
      </c>
      <c r="G578" s="4">
        <v>63</v>
      </c>
    </row>
    <row r="579" spans="1:7">
      <c r="A579" s="4" t="s">
        <v>86</v>
      </c>
      <c r="B579" s="4">
        <v>82</v>
      </c>
      <c r="C579" s="4">
        <v>83</v>
      </c>
      <c r="D579" s="5">
        <v>94.5</v>
      </c>
      <c r="E579" s="4">
        <v>76</v>
      </c>
      <c r="F579" s="4">
        <v>80</v>
      </c>
      <c r="G579" s="4">
        <v>72</v>
      </c>
    </row>
    <row r="580" spans="1:7">
      <c r="A580" s="4" t="s">
        <v>25</v>
      </c>
      <c r="B580" s="4">
        <v>93</v>
      </c>
      <c r="C580" s="4">
        <v>86</v>
      </c>
      <c r="D580" s="4">
        <v>72</v>
      </c>
      <c r="E580" s="4">
        <v>84</v>
      </c>
      <c r="F580" s="4">
        <v>76</v>
      </c>
      <c r="G580" s="4">
        <v>76</v>
      </c>
    </row>
    <row r="581" spans="1:7">
      <c r="A581" s="4" t="s">
        <v>341</v>
      </c>
      <c r="B581" s="4">
        <v>81</v>
      </c>
      <c r="C581" s="4">
        <v>92</v>
      </c>
      <c r="D581" s="4">
        <v>95</v>
      </c>
      <c r="E581" s="4">
        <v>82</v>
      </c>
      <c r="F581" s="4">
        <v>73</v>
      </c>
      <c r="G581" s="4">
        <v>64</v>
      </c>
    </row>
    <row r="582" spans="1:7">
      <c r="A582" s="4" t="s">
        <v>301</v>
      </c>
      <c r="B582" s="5">
        <v>98.5</v>
      </c>
      <c r="C582" s="4">
        <v>88</v>
      </c>
      <c r="D582" s="5">
        <v>86.5</v>
      </c>
      <c r="E582" s="4">
        <v>77</v>
      </c>
      <c r="F582" s="4">
        <v>66</v>
      </c>
      <c r="G582" s="4">
        <v>70</v>
      </c>
    </row>
    <row r="583" spans="1:7">
      <c r="A583" s="4" t="s">
        <v>78</v>
      </c>
      <c r="B583" s="4">
        <v>98</v>
      </c>
      <c r="C583" s="4">
        <v>82</v>
      </c>
      <c r="D583" s="4">
        <v>73</v>
      </c>
      <c r="E583" s="4">
        <v>90</v>
      </c>
      <c r="F583" s="4">
        <v>72</v>
      </c>
      <c r="G583" s="4">
        <v>71</v>
      </c>
    </row>
    <row r="584" spans="1:7">
      <c r="A584" s="4" t="s">
        <v>175</v>
      </c>
      <c r="B584" s="4">
        <v>86</v>
      </c>
      <c r="C584" s="4">
        <v>76</v>
      </c>
      <c r="D584" s="5">
        <v>88.5</v>
      </c>
      <c r="E584" s="4">
        <v>85</v>
      </c>
      <c r="F584" s="4">
        <v>71</v>
      </c>
      <c r="G584" s="4">
        <v>79</v>
      </c>
    </row>
    <row r="585" spans="1:7">
      <c r="A585" s="4" t="s">
        <v>157</v>
      </c>
      <c r="B585" s="4">
        <v>97</v>
      </c>
      <c r="C585" s="4">
        <v>80</v>
      </c>
      <c r="D585" s="5">
        <v>79.5</v>
      </c>
      <c r="E585" s="4">
        <v>80</v>
      </c>
      <c r="F585" s="4">
        <v>75</v>
      </c>
      <c r="G585" s="4">
        <v>74</v>
      </c>
    </row>
    <row r="586" spans="1:7">
      <c r="A586" s="4" t="s">
        <v>434</v>
      </c>
      <c r="B586" s="4">
        <v>90</v>
      </c>
      <c r="C586" s="4">
        <v>89</v>
      </c>
      <c r="D586" s="5">
        <v>96.5</v>
      </c>
      <c r="E586" s="4">
        <v>77</v>
      </c>
      <c r="F586" s="4">
        <v>63</v>
      </c>
      <c r="G586" s="4">
        <v>70</v>
      </c>
    </row>
    <row r="587" spans="1:7">
      <c r="A587" s="4" t="s">
        <v>174</v>
      </c>
      <c r="B587" s="5">
        <v>83.5</v>
      </c>
      <c r="C587" s="4">
        <v>82</v>
      </c>
      <c r="D587" s="4">
        <v>106</v>
      </c>
      <c r="E587" s="4">
        <v>81</v>
      </c>
      <c r="F587" s="4">
        <v>66</v>
      </c>
      <c r="G587" s="4">
        <v>66</v>
      </c>
    </row>
    <row r="588" spans="1:7">
      <c r="A588" s="4" t="s">
        <v>217</v>
      </c>
      <c r="B588" s="4">
        <v>79</v>
      </c>
      <c r="C588" s="4">
        <v>92</v>
      </c>
      <c r="D588" s="5">
        <v>85.5</v>
      </c>
      <c r="E588" s="4">
        <v>84</v>
      </c>
      <c r="F588" s="4">
        <v>72</v>
      </c>
      <c r="G588" s="4">
        <v>72</v>
      </c>
    </row>
    <row r="589" spans="1:7">
      <c r="A589" s="4" t="s">
        <v>39</v>
      </c>
      <c r="B589" s="4">
        <v>89</v>
      </c>
      <c r="C589" s="4">
        <v>93</v>
      </c>
      <c r="D589" s="5">
        <v>81.5</v>
      </c>
      <c r="E589" s="4">
        <v>84</v>
      </c>
      <c r="F589" s="4">
        <v>65</v>
      </c>
      <c r="G589" s="4">
        <v>72</v>
      </c>
    </row>
    <row r="590" spans="1:7">
      <c r="A590" s="4" t="s">
        <v>180</v>
      </c>
      <c r="B590" s="5">
        <v>81.5</v>
      </c>
      <c r="C590" s="4">
        <v>88</v>
      </c>
      <c r="D590" s="5">
        <v>96.5</v>
      </c>
      <c r="E590" s="4">
        <v>83</v>
      </c>
      <c r="F590" s="4">
        <v>70</v>
      </c>
      <c r="G590" s="4">
        <v>65</v>
      </c>
    </row>
    <row r="591" spans="1:7">
      <c r="A591" s="4" t="s">
        <v>364</v>
      </c>
      <c r="B591" s="5">
        <v>83.5</v>
      </c>
      <c r="C591" s="4">
        <v>94</v>
      </c>
      <c r="D591" s="5">
        <v>101.5</v>
      </c>
      <c r="E591" s="4">
        <v>83</v>
      </c>
      <c r="F591" s="4">
        <v>56</v>
      </c>
      <c r="G591" s="4">
        <v>66</v>
      </c>
    </row>
    <row r="592" spans="1:7">
      <c r="A592" s="4" t="s">
        <v>64</v>
      </c>
      <c r="B592" s="4">
        <v>91</v>
      </c>
      <c r="C592" s="4">
        <v>86</v>
      </c>
      <c r="D592" s="4">
        <v>94</v>
      </c>
      <c r="E592" s="4">
        <v>81</v>
      </c>
      <c r="F592" s="4">
        <v>72</v>
      </c>
      <c r="G592" s="4">
        <v>60</v>
      </c>
    </row>
    <row r="593" spans="1:7">
      <c r="A593" s="4" t="s">
        <v>133</v>
      </c>
      <c r="B593" s="4">
        <v>88</v>
      </c>
      <c r="C593" s="4">
        <v>91</v>
      </c>
      <c r="D593" s="4">
        <v>80</v>
      </c>
      <c r="E593" s="4">
        <v>81</v>
      </c>
      <c r="F593" s="4">
        <v>75</v>
      </c>
      <c r="G593" s="4">
        <v>69</v>
      </c>
    </row>
    <row r="594" spans="1:7">
      <c r="A594" s="4" t="s">
        <v>9</v>
      </c>
      <c r="B594" s="4">
        <v>90</v>
      </c>
      <c r="C594" s="4">
        <v>77</v>
      </c>
      <c r="D594" s="5">
        <v>83.5</v>
      </c>
      <c r="E594" s="4">
        <v>85</v>
      </c>
      <c r="F594" s="4">
        <v>75</v>
      </c>
      <c r="G594" s="4">
        <v>73</v>
      </c>
    </row>
    <row r="595" spans="1:7">
      <c r="A595" s="4" t="s">
        <v>169</v>
      </c>
      <c r="B595" s="5">
        <v>87.5</v>
      </c>
      <c r="C595" s="4">
        <v>80</v>
      </c>
      <c r="D595" s="4">
        <v>96</v>
      </c>
      <c r="E595" s="4">
        <v>78</v>
      </c>
      <c r="F595" s="4">
        <v>70</v>
      </c>
      <c r="G595" s="4">
        <v>72</v>
      </c>
    </row>
    <row r="596" spans="1:7">
      <c r="A596" s="4" t="s">
        <v>87</v>
      </c>
      <c r="B596" s="4">
        <v>85</v>
      </c>
      <c r="C596" s="4">
        <v>86</v>
      </c>
      <c r="D596" s="4">
        <v>84</v>
      </c>
      <c r="E596" s="4">
        <v>78</v>
      </c>
      <c r="F596" s="4">
        <v>72</v>
      </c>
      <c r="G596" s="4">
        <v>78</v>
      </c>
    </row>
    <row r="597" spans="1:7">
      <c r="A597" s="4" t="s">
        <v>41</v>
      </c>
      <c r="B597" s="4">
        <v>95</v>
      </c>
      <c r="C597" s="4">
        <v>68</v>
      </c>
      <c r="D597" s="5">
        <v>92.5</v>
      </c>
      <c r="E597" s="4">
        <v>76</v>
      </c>
      <c r="F597" s="4">
        <v>77</v>
      </c>
      <c r="G597" s="4">
        <v>74</v>
      </c>
    </row>
    <row r="598" spans="1:7">
      <c r="A598" s="4" t="s">
        <v>22</v>
      </c>
      <c r="B598" s="4">
        <v>89</v>
      </c>
      <c r="C598" s="4">
        <v>75</v>
      </c>
      <c r="D598" s="4">
        <v>81</v>
      </c>
      <c r="E598" s="4">
        <v>77</v>
      </c>
      <c r="F598" s="4">
        <v>86</v>
      </c>
      <c r="G598" s="4">
        <v>74</v>
      </c>
    </row>
    <row r="599" spans="1:7">
      <c r="A599" s="4" t="s">
        <v>278</v>
      </c>
      <c r="B599" s="4">
        <v>81</v>
      </c>
      <c r="C599" s="4">
        <v>89</v>
      </c>
      <c r="D599" s="4">
        <v>86</v>
      </c>
      <c r="E599" s="4">
        <v>87</v>
      </c>
      <c r="F599" s="4">
        <v>71</v>
      </c>
      <c r="G599" s="4">
        <v>68</v>
      </c>
    </row>
    <row r="600" spans="1:7">
      <c r="A600" s="4" t="s">
        <v>147</v>
      </c>
      <c r="B600" s="4">
        <v>89</v>
      </c>
      <c r="C600" s="4">
        <v>84</v>
      </c>
      <c r="D600" s="5">
        <v>88.5</v>
      </c>
      <c r="E600" s="4">
        <v>84</v>
      </c>
      <c r="F600" s="4">
        <v>70</v>
      </c>
      <c r="G600" s="4">
        <v>66</v>
      </c>
    </row>
    <row r="601" spans="1:7">
      <c r="A601" s="4" t="s">
        <v>505</v>
      </c>
      <c r="B601" s="4">
        <v>81</v>
      </c>
      <c r="C601" s="4">
        <v>108</v>
      </c>
      <c r="D601" s="5">
        <v>77.5</v>
      </c>
      <c r="E601" s="4">
        <v>80</v>
      </c>
      <c r="F601" s="4">
        <v>63</v>
      </c>
      <c r="G601" s="4">
        <v>72</v>
      </c>
    </row>
    <row r="602" spans="1:7">
      <c r="A602" s="4" t="s">
        <v>384</v>
      </c>
      <c r="B602" s="4">
        <v>93</v>
      </c>
      <c r="C602" s="4">
        <v>81</v>
      </c>
      <c r="D602" s="4">
        <v>99</v>
      </c>
      <c r="E602" s="4">
        <v>77</v>
      </c>
      <c r="F602" s="4">
        <v>61</v>
      </c>
      <c r="G602" s="4">
        <v>70</v>
      </c>
    </row>
    <row r="603" spans="1:7">
      <c r="A603" s="4" t="s">
        <v>253</v>
      </c>
      <c r="B603" s="4">
        <v>89</v>
      </c>
      <c r="C603" s="4">
        <v>78</v>
      </c>
      <c r="D603" s="5">
        <v>89.5</v>
      </c>
      <c r="E603" s="4">
        <v>79</v>
      </c>
      <c r="F603" s="4">
        <v>73</v>
      </c>
      <c r="G603" s="4">
        <v>72</v>
      </c>
    </row>
    <row r="604" spans="1:7">
      <c r="A604" s="4" t="s">
        <v>758</v>
      </c>
      <c r="B604" s="4">
        <v>81</v>
      </c>
      <c r="C604" s="4">
        <v>86</v>
      </c>
      <c r="D604" s="5">
        <v>89.5</v>
      </c>
      <c r="E604" s="4">
        <v>79</v>
      </c>
      <c r="F604" s="4">
        <v>69</v>
      </c>
      <c r="G604" s="4">
        <v>76</v>
      </c>
    </row>
    <row r="605" spans="1:7">
      <c r="A605" s="4" t="s">
        <v>330</v>
      </c>
      <c r="B605" s="4">
        <v>90</v>
      </c>
      <c r="C605" s="4">
        <v>92</v>
      </c>
      <c r="D605" s="5">
        <v>78.5</v>
      </c>
      <c r="E605" s="4">
        <v>81</v>
      </c>
      <c r="F605" s="4">
        <v>71</v>
      </c>
      <c r="G605" s="4">
        <v>67</v>
      </c>
    </row>
    <row r="606" spans="1:7">
      <c r="A606" s="4" t="s">
        <v>116</v>
      </c>
      <c r="B606" s="4">
        <v>81</v>
      </c>
      <c r="C606" s="4">
        <v>86</v>
      </c>
      <c r="D606" s="4">
        <v>93</v>
      </c>
      <c r="E606" s="4">
        <v>80</v>
      </c>
      <c r="F606" s="4">
        <v>66</v>
      </c>
      <c r="G606" s="4">
        <v>73</v>
      </c>
    </row>
    <row r="607" spans="1:7">
      <c r="A607" s="4" t="s">
        <v>183</v>
      </c>
      <c r="B607" s="4">
        <v>89</v>
      </c>
      <c r="C607" s="4">
        <v>77</v>
      </c>
      <c r="D607" s="5">
        <v>95.5</v>
      </c>
      <c r="E607" s="4">
        <v>80</v>
      </c>
      <c r="F607" s="4">
        <v>72</v>
      </c>
      <c r="G607" s="4">
        <v>65</v>
      </c>
    </row>
    <row r="608" spans="1:7">
      <c r="A608" s="4" t="s">
        <v>823</v>
      </c>
      <c r="B608" s="4">
        <v>95</v>
      </c>
      <c r="C608" s="4">
        <v>91</v>
      </c>
      <c r="D608" s="5">
        <v>82.5</v>
      </c>
      <c r="E608" s="4">
        <v>69</v>
      </c>
      <c r="F608" s="4">
        <v>74</v>
      </c>
      <c r="G608" s="4">
        <v>67</v>
      </c>
    </row>
    <row r="609" spans="1:7">
      <c r="A609" s="4" t="s">
        <v>226</v>
      </c>
      <c r="B609" s="4">
        <v>88</v>
      </c>
      <c r="C609" s="4">
        <v>98</v>
      </c>
      <c r="D609" s="4">
        <v>68</v>
      </c>
      <c r="E609" s="4">
        <v>88</v>
      </c>
      <c r="F609" s="4">
        <v>68</v>
      </c>
      <c r="G609" s="4">
        <v>68</v>
      </c>
    </row>
    <row r="610" spans="1:7">
      <c r="A610" s="4" t="s">
        <v>356</v>
      </c>
      <c r="B610" s="4">
        <v>91</v>
      </c>
      <c r="C610" s="4">
        <v>62</v>
      </c>
      <c r="D610" s="4">
        <v>99</v>
      </c>
      <c r="E610" s="4">
        <v>80</v>
      </c>
      <c r="F610" s="4">
        <v>74</v>
      </c>
      <c r="G610" s="4">
        <v>72</v>
      </c>
    </row>
    <row r="611" spans="1:7">
      <c r="A611" s="4" t="s">
        <v>366</v>
      </c>
      <c r="B611" s="4">
        <v>93</v>
      </c>
      <c r="C611" s="4">
        <v>69</v>
      </c>
      <c r="D611" s="5">
        <v>108.5</v>
      </c>
      <c r="E611" s="4">
        <v>65</v>
      </c>
      <c r="F611" s="4">
        <v>75</v>
      </c>
      <c r="G611" s="4">
        <v>67</v>
      </c>
    </row>
    <row r="612" spans="1:7">
      <c r="A612" s="4" t="s">
        <v>289</v>
      </c>
      <c r="B612" s="4">
        <v>79</v>
      </c>
      <c r="C612" s="4">
        <v>89</v>
      </c>
      <c r="D612" s="5">
        <v>90.5</v>
      </c>
      <c r="E612" s="4">
        <v>81</v>
      </c>
      <c r="F612" s="4">
        <v>72</v>
      </c>
      <c r="G612" s="4">
        <v>66</v>
      </c>
    </row>
    <row r="613" spans="1:7">
      <c r="A613" s="4" t="s">
        <v>95</v>
      </c>
      <c r="B613" s="4">
        <v>95</v>
      </c>
      <c r="C613" s="4">
        <v>85</v>
      </c>
      <c r="D613" s="5">
        <v>82.5</v>
      </c>
      <c r="E613" s="4">
        <v>74</v>
      </c>
      <c r="F613" s="4">
        <v>65</v>
      </c>
      <c r="G613" s="4">
        <v>75</v>
      </c>
    </row>
    <row r="614" spans="1:7">
      <c r="A614" s="4" t="s">
        <v>74</v>
      </c>
      <c r="B614" s="4">
        <v>80</v>
      </c>
      <c r="C614" s="4">
        <v>89</v>
      </c>
      <c r="D614" s="4">
        <v>83</v>
      </c>
      <c r="E614" s="4">
        <v>85</v>
      </c>
      <c r="F614" s="4">
        <v>71</v>
      </c>
      <c r="G614" s="4">
        <v>68</v>
      </c>
    </row>
    <row r="615" spans="1:7">
      <c r="A615" s="4" t="s">
        <v>131</v>
      </c>
      <c r="B615" s="5">
        <v>91.5</v>
      </c>
      <c r="C615" s="4">
        <v>85</v>
      </c>
      <c r="D615" s="5">
        <v>82.5</v>
      </c>
      <c r="E615" s="4">
        <v>80</v>
      </c>
      <c r="F615" s="4">
        <v>63</v>
      </c>
      <c r="G615" s="4">
        <v>74</v>
      </c>
    </row>
    <row r="616" spans="1:7">
      <c r="A616" s="4" t="s">
        <v>334</v>
      </c>
      <c r="B616" s="4">
        <v>81</v>
      </c>
      <c r="C616" s="4">
        <v>85</v>
      </c>
      <c r="D616" s="4">
        <v>103</v>
      </c>
      <c r="E616" s="4">
        <v>74</v>
      </c>
      <c r="F616" s="4">
        <v>61</v>
      </c>
      <c r="G616" s="4">
        <v>72</v>
      </c>
    </row>
    <row r="617" spans="1:7">
      <c r="A617" s="4" t="s">
        <v>325</v>
      </c>
      <c r="B617" s="4">
        <v>83</v>
      </c>
      <c r="C617" s="4">
        <v>96</v>
      </c>
      <c r="D617" s="5">
        <v>95.5</v>
      </c>
      <c r="E617" s="4">
        <v>83</v>
      </c>
      <c r="F617" s="4">
        <v>58</v>
      </c>
      <c r="G617" s="4">
        <v>59</v>
      </c>
    </row>
    <row r="618" spans="1:7">
      <c r="A618" s="4" t="s">
        <v>233</v>
      </c>
      <c r="B618" s="5">
        <v>83.5</v>
      </c>
      <c r="C618" s="4">
        <v>94</v>
      </c>
      <c r="D618" s="5">
        <v>63.5</v>
      </c>
      <c r="E618" s="4">
        <v>85</v>
      </c>
      <c r="F618" s="4">
        <v>72</v>
      </c>
      <c r="G618" s="4">
        <v>75</v>
      </c>
    </row>
    <row r="619" spans="1:7">
      <c r="A619" s="4" t="s">
        <v>153</v>
      </c>
      <c r="B619" s="4">
        <v>84</v>
      </c>
      <c r="C619" s="4">
        <v>75</v>
      </c>
      <c r="D619" s="4">
        <v>104</v>
      </c>
      <c r="E619" s="4">
        <v>77</v>
      </c>
      <c r="F619" s="4">
        <v>63</v>
      </c>
      <c r="G619" s="4">
        <v>70</v>
      </c>
    </row>
    <row r="620" spans="1:7">
      <c r="A620" s="4" t="s">
        <v>272</v>
      </c>
      <c r="B620" s="4">
        <v>85</v>
      </c>
      <c r="C620" s="4">
        <v>78</v>
      </c>
      <c r="D620" s="5">
        <v>93.5</v>
      </c>
      <c r="E620" s="4">
        <v>80</v>
      </c>
      <c r="F620" s="4">
        <v>71</v>
      </c>
      <c r="G620" s="4">
        <v>65</v>
      </c>
    </row>
    <row r="621" spans="1:7">
      <c r="A621" s="4" t="s">
        <v>331</v>
      </c>
      <c r="B621" s="4">
        <v>78</v>
      </c>
      <c r="C621" s="4">
        <v>85</v>
      </c>
      <c r="D621" s="5">
        <v>95.5</v>
      </c>
      <c r="E621" s="4">
        <v>81</v>
      </c>
      <c r="F621" s="4">
        <v>57</v>
      </c>
      <c r="G621" s="4">
        <v>76</v>
      </c>
    </row>
    <row r="622" spans="1:7">
      <c r="A622" s="4" t="s">
        <v>377</v>
      </c>
      <c r="B622" s="4">
        <v>75</v>
      </c>
      <c r="C622" s="4">
        <v>84</v>
      </c>
      <c r="D622" s="4">
        <v>92</v>
      </c>
      <c r="E622" s="4">
        <v>76</v>
      </c>
      <c r="F622" s="4">
        <v>71</v>
      </c>
      <c r="G622" s="4">
        <v>74</v>
      </c>
    </row>
    <row r="623" spans="1:7">
      <c r="A623" s="4" t="s">
        <v>100</v>
      </c>
      <c r="B623" s="4">
        <v>87</v>
      </c>
      <c r="C623" s="4">
        <v>91</v>
      </c>
      <c r="D623" s="4">
        <v>81</v>
      </c>
      <c r="E623" s="4">
        <v>78</v>
      </c>
      <c r="F623" s="4">
        <v>62</v>
      </c>
      <c r="G623" s="4">
        <v>73</v>
      </c>
    </row>
    <row r="624" spans="1:7">
      <c r="A624" s="4" t="s">
        <v>209</v>
      </c>
      <c r="B624" s="4">
        <v>90</v>
      </c>
      <c r="C624" s="4">
        <v>80</v>
      </c>
      <c r="D624" s="5">
        <v>92.5</v>
      </c>
      <c r="E624" s="4">
        <v>62</v>
      </c>
      <c r="F624" s="4">
        <v>75</v>
      </c>
      <c r="G624" s="4">
        <v>72</v>
      </c>
    </row>
    <row r="625" spans="1:7">
      <c r="A625" s="4" t="s">
        <v>76</v>
      </c>
      <c r="B625" s="5">
        <v>89.5</v>
      </c>
      <c r="C625" s="4">
        <v>75</v>
      </c>
      <c r="D625" s="4">
        <v>82</v>
      </c>
      <c r="E625" s="4">
        <v>79</v>
      </c>
      <c r="F625" s="4">
        <v>80</v>
      </c>
      <c r="G625" s="4">
        <v>66</v>
      </c>
    </row>
    <row r="626" spans="1:7">
      <c r="A626" s="4" t="s">
        <v>282</v>
      </c>
      <c r="B626" s="5">
        <v>92.5</v>
      </c>
      <c r="C626" s="4">
        <v>77</v>
      </c>
      <c r="D626" s="4">
        <v>89</v>
      </c>
      <c r="E626" s="4">
        <v>76</v>
      </c>
      <c r="F626" s="4">
        <v>68</v>
      </c>
      <c r="G626" s="4">
        <v>69</v>
      </c>
    </row>
    <row r="627" spans="1:7">
      <c r="A627" s="4" t="s">
        <v>103</v>
      </c>
      <c r="B627" s="5">
        <v>83.5</v>
      </c>
      <c r="C627" s="4">
        <v>85</v>
      </c>
      <c r="D627" s="5">
        <v>86.5</v>
      </c>
      <c r="E627" s="4">
        <v>80</v>
      </c>
      <c r="F627" s="4">
        <v>71</v>
      </c>
      <c r="G627" s="4">
        <v>65</v>
      </c>
    </row>
    <row r="628" spans="1:7">
      <c r="A628" s="4" t="s">
        <v>257</v>
      </c>
      <c r="B628" s="4">
        <v>88</v>
      </c>
      <c r="C628" s="4">
        <v>80</v>
      </c>
      <c r="D628" s="4">
        <v>90</v>
      </c>
      <c r="E628" s="4">
        <v>72</v>
      </c>
      <c r="F628" s="4">
        <v>66</v>
      </c>
      <c r="G628" s="4">
        <v>75</v>
      </c>
    </row>
    <row r="629" spans="1:7">
      <c r="A629" s="4" t="s">
        <v>504</v>
      </c>
      <c r="B629" s="4">
        <v>84</v>
      </c>
      <c r="C629" s="4">
        <v>100</v>
      </c>
      <c r="D629" s="5">
        <v>74.5</v>
      </c>
      <c r="E629" s="4">
        <v>89</v>
      </c>
      <c r="F629" s="4">
        <v>70</v>
      </c>
      <c r="G629" s="4">
        <v>53</v>
      </c>
    </row>
    <row r="630" spans="1:7">
      <c r="A630" s="4" t="s">
        <v>262</v>
      </c>
      <c r="B630" s="4">
        <v>78</v>
      </c>
      <c r="C630" s="4">
        <v>92</v>
      </c>
      <c r="D630" s="5">
        <v>84.5</v>
      </c>
      <c r="E630" s="4">
        <v>70</v>
      </c>
      <c r="F630" s="4">
        <v>79</v>
      </c>
      <c r="G630" s="4">
        <v>67</v>
      </c>
    </row>
    <row r="631" spans="1:7">
      <c r="A631" s="4" t="s">
        <v>268</v>
      </c>
      <c r="B631" s="4">
        <v>78</v>
      </c>
      <c r="C631" s="4">
        <v>91</v>
      </c>
      <c r="D631" s="5">
        <v>85.5</v>
      </c>
      <c r="E631" s="4">
        <v>85</v>
      </c>
      <c r="F631" s="4">
        <v>74</v>
      </c>
      <c r="G631" s="4">
        <v>57</v>
      </c>
    </row>
    <row r="632" spans="1:7">
      <c r="A632" s="4" t="s">
        <v>251</v>
      </c>
      <c r="B632" s="4">
        <v>80</v>
      </c>
      <c r="C632" s="4">
        <v>85</v>
      </c>
      <c r="D632" s="4">
        <v>76</v>
      </c>
      <c r="E632" s="4">
        <v>87</v>
      </c>
      <c r="F632" s="4">
        <v>70</v>
      </c>
      <c r="G632" s="4">
        <v>72</v>
      </c>
    </row>
    <row r="633" spans="1:7">
      <c r="A633" s="4" t="s">
        <v>322</v>
      </c>
      <c r="B633" s="4">
        <v>92</v>
      </c>
      <c r="C633" s="4">
        <v>75</v>
      </c>
      <c r="D633" s="5">
        <v>92.5</v>
      </c>
      <c r="E633" s="4">
        <v>79</v>
      </c>
      <c r="F633" s="4">
        <v>62</v>
      </c>
      <c r="G633" s="4">
        <v>69</v>
      </c>
    </row>
    <row r="634" spans="1:7">
      <c r="A634" s="4" t="s">
        <v>203</v>
      </c>
      <c r="B634" s="4">
        <v>94</v>
      </c>
      <c r="C634" s="4">
        <v>72</v>
      </c>
      <c r="D634" s="5">
        <v>101.5</v>
      </c>
      <c r="E634" s="4">
        <v>64</v>
      </c>
      <c r="F634" s="4">
        <v>68</v>
      </c>
      <c r="G634" s="4">
        <v>69</v>
      </c>
    </row>
    <row r="635" spans="1:7">
      <c r="A635" s="4" t="s">
        <v>526</v>
      </c>
      <c r="B635" s="4">
        <v>88</v>
      </c>
      <c r="C635" s="4">
        <v>78</v>
      </c>
      <c r="D635" s="5">
        <v>100.5</v>
      </c>
      <c r="E635" s="4">
        <v>79</v>
      </c>
      <c r="F635" s="4">
        <v>60</v>
      </c>
      <c r="G635" s="4">
        <v>63</v>
      </c>
    </row>
    <row r="636" spans="1:7">
      <c r="A636" s="4" t="s">
        <v>193</v>
      </c>
      <c r="B636" s="4">
        <v>80</v>
      </c>
      <c r="C636" s="4">
        <v>75</v>
      </c>
      <c r="D636" s="4">
        <v>81</v>
      </c>
      <c r="E636" s="4">
        <v>85</v>
      </c>
      <c r="F636" s="4">
        <v>74</v>
      </c>
      <c r="G636" s="4">
        <v>73</v>
      </c>
    </row>
    <row r="637" spans="1:7">
      <c r="A637" s="4" t="s">
        <v>75</v>
      </c>
      <c r="B637" s="4">
        <v>87</v>
      </c>
      <c r="C637" s="4">
        <v>74</v>
      </c>
      <c r="D637" s="5">
        <v>101.5</v>
      </c>
      <c r="E637" s="4">
        <v>71</v>
      </c>
      <c r="F637" s="4">
        <v>62</v>
      </c>
      <c r="G637" s="4">
        <v>72</v>
      </c>
    </row>
    <row r="638" spans="1:7">
      <c r="A638" s="4" t="s">
        <v>94</v>
      </c>
      <c r="B638" s="4">
        <v>87</v>
      </c>
      <c r="C638" s="4">
        <v>73</v>
      </c>
      <c r="D638" s="5">
        <v>87.5</v>
      </c>
      <c r="E638" s="4">
        <v>68</v>
      </c>
      <c r="F638" s="4">
        <v>73</v>
      </c>
      <c r="G638" s="4">
        <v>79</v>
      </c>
    </row>
    <row r="639" spans="1:7">
      <c r="A639" s="4" t="s">
        <v>219</v>
      </c>
      <c r="B639" s="4">
        <v>80</v>
      </c>
      <c r="C639" s="4">
        <v>88</v>
      </c>
      <c r="D639" s="4">
        <v>85</v>
      </c>
      <c r="E639" s="4">
        <v>84</v>
      </c>
      <c r="F639" s="4">
        <v>64</v>
      </c>
      <c r="G639" s="4">
        <v>66</v>
      </c>
    </row>
    <row r="640" spans="1:7">
      <c r="A640" s="4" t="s">
        <v>126</v>
      </c>
      <c r="B640" s="4">
        <v>91</v>
      </c>
      <c r="C640" s="4">
        <v>89</v>
      </c>
      <c r="D640" s="4">
        <v>71</v>
      </c>
      <c r="E640" s="4">
        <v>73</v>
      </c>
      <c r="F640" s="4">
        <v>68</v>
      </c>
      <c r="G640" s="4">
        <v>75</v>
      </c>
    </row>
    <row r="641" spans="1:7">
      <c r="A641" s="4" t="s">
        <v>210</v>
      </c>
      <c r="B641" s="4">
        <v>90</v>
      </c>
      <c r="C641" s="4">
        <v>77</v>
      </c>
      <c r="D641" s="4">
        <v>93</v>
      </c>
      <c r="E641" s="4">
        <v>64</v>
      </c>
      <c r="F641" s="4">
        <v>79</v>
      </c>
      <c r="G641" s="4">
        <v>63</v>
      </c>
    </row>
    <row r="642" spans="1:7">
      <c r="A642" s="4" t="s">
        <v>173</v>
      </c>
      <c r="B642" s="4">
        <v>87</v>
      </c>
      <c r="C642" s="4">
        <v>74</v>
      </c>
      <c r="D642" s="5">
        <v>77.5</v>
      </c>
      <c r="E642" s="4">
        <v>72</v>
      </c>
      <c r="F642" s="4">
        <v>83</v>
      </c>
      <c r="G642" s="4">
        <v>72</v>
      </c>
    </row>
    <row r="643" spans="1:7">
      <c r="A643" s="4" t="s">
        <v>77</v>
      </c>
      <c r="B643" s="4">
        <v>88</v>
      </c>
      <c r="C643" s="4">
        <v>69</v>
      </c>
      <c r="D643" s="5">
        <v>90.5</v>
      </c>
      <c r="E643" s="4">
        <v>74</v>
      </c>
      <c r="F643" s="4">
        <v>75</v>
      </c>
      <c r="G643" s="4">
        <v>69</v>
      </c>
    </row>
    <row r="644" spans="1:7">
      <c r="A644" s="4" t="s">
        <v>335</v>
      </c>
      <c r="B644" s="4">
        <v>97</v>
      </c>
      <c r="C644" s="4">
        <v>74</v>
      </c>
      <c r="D644" s="5">
        <v>73.5</v>
      </c>
      <c r="E644" s="4">
        <v>88</v>
      </c>
      <c r="F644" s="4">
        <v>65</v>
      </c>
      <c r="G644" s="4">
        <v>68</v>
      </c>
    </row>
    <row r="645" spans="1:7">
      <c r="A645" s="4" t="s">
        <v>197</v>
      </c>
      <c r="B645" s="4">
        <v>85</v>
      </c>
      <c r="C645" s="4">
        <v>76</v>
      </c>
      <c r="D645" s="4">
        <v>87</v>
      </c>
      <c r="E645" s="4">
        <v>81</v>
      </c>
      <c r="F645" s="4">
        <v>67</v>
      </c>
      <c r="G645" s="4">
        <v>69</v>
      </c>
    </row>
    <row r="646" spans="1:7">
      <c r="A646" s="4" t="s">
        <v>246</v>
      </c>
      <c r="B646" s="4">
        <v>79</v>
      </c>
      <c r="C646" s="4">
        <v>99</v>
      </c>
      <c r="D646" s="5">
        <v>83.5</v>
      </c>
      <c r="E646" s="4">
        <v>80</v>
      </c>
      <c r="F646" s="4">
        <v>63</v>
      </c>
      <c r="G646" s="4">
        <v>60</v>
      </c>
    </row>
    <row r="647" spans="1:7">
      <c r="A647" s="4" t="s">
        <v>65</v>
      </c>
      <c r="B647" s="5">
        <v>83.5</v>
      </c>
      <c r="C647" s="4">
        <v>69</v>
      </c>
      <c r="D647" s="5">
        <v>98.5</v>
      </c>
      <c r="E647" s="4">
        <v>81</v>
      </c>
      <c r="F647" s="4">
        <v>59</v>
      </c>
      <c r="G647" s="4">
        <v>72</v>
      </c>
    </row>
    <row r="648" spans="1:7">
      <c r="A648" s="4" t="s">
        <v>229</v>
      </c>
      <c r="B648" s="4">
        <v>74</v>
      </c>
      <c r="C648" s="4">
        <v>85</v>
      </c>
      <c r="D648" s="4">
        <v>71</v>
      </c>
      <c r="E648" s="4">
        <v>87</v>
      </c>
      <c r="F648" s="4">
        <v>74</v>
      </c>
      <c r="G648" s="4">
        <v>71</v>
      </c>
    </row>
    <row r="649" spans="1:7">
      <c r="A649" s="4" t="s">
        <v>386</v>
      </c>
      <c r="B649" s="4">
        <v>86</v>
      </c>
      <c r="C649" s="4">
        <v>78</v>
      </c>
      <c r="D649" s="4">
        <v>103</v>
      </c>
      <c r="E649" s="4">
        <v>73</v>
      </c>
      <c r="F649" s="4">
        <v>63</v>
      </c>
      <c r="G649" s="4">
        <v>59</v>
      </c>
    </row>
    <row r="650" spans="1:7">
      <c r="A650" s="4" t="s">
        <v>198</v>
      </c>
      <c r="B650" s="4">
        <v>87</v>
      </c>
      <c r="C650" s="4">
        <v>74</v>
      </c>
      <c r="D650" s="5">
        <v>95.5</v>
      </c>
      <c r="E650" s="4">
        <v>62</v>
      </c>
      <c r="F650" s="4">
        <v>74</v>
      </c>
      <c r="G650" s="4">
        <v>69</v>
      </c>
    </row>
    <row r="651" spans="1:7">
      <c r="A651" s="4" t="s">
        <v>497</v>
      </c>
      <c r="B651" s="4">
        <v>80</v>
      </c>
      <c r="C651" s="4">
        <v>87</v>
      </c>
      <c r="D651" s="5">
        <v>76.5</v>
      </c>
      <c r="E651" s="4">
        <v>87</v>
      </c>
      <c r="F651" s="4">
        <v>72</v>
      </c>
      <c r="G651" s="4">
        <v>59</v>
      </c>
    </row>
    <row r="652" spans="1:7">
      <c r="A652" s="4" t="s">
        <v>111</v>
      </c>
      <c r="B652" s="4">
        <v>86</v>
      </c>
      <c r="C652" s="4">
        <v>71</v>
      </c>
      <c r="D652" s="5">
        <v>91.5</v>
      </c>
      <c r="E652" s="4">
        <v>71</v>
      </c>
      <c r="F652" s="4">
        <v>74</v>
      </c>
      <c r="G652" s="4">
        <v>68</v>
      </c>
    </row>
    <row r="653" spans="1:7">
      <c r="A653" s="4" t="s">
        <v>85</v>
      </c>
      <c r="B653" s="4">
        <v>91</v>
      </c>
      <c r="C653" s="4">
        <v>75</v>
      </c>
      <c r="D653" s="4">
        <v>101</v>
      </c>
      <c r="E653" s="4">
        <v>72</v>
      </c>
      <c r="F653" s="4">
        <v>60</v>
      </c>
      <c r="G653" s="4">
        <v>62</v>
      </c>
    </row>
    <row r="654" spans="1:7">
      <c r="A654" s="4" t="s">
        <v>349</v>
      </c>
      <c r="B654" s="4">
        <v>94</v>
      </c>
      <c r="C654" s="4">
        <v>64</v>
      </c>
      <c r="D654" s="5">
        <v>91.5</v>
      </c>
      <c r="E654" s="4">
        <v>73</v>
      </c>
      <c r="F654" s="4">
        <v>66</v>
      </c>
      <c r="G654" s="4">
        <v>72</v>
      </c>
    </row>
    <row r="655" spans="1:7">
      <c r="A655" s="4" t="s">
        <v>101</v>
      </c>
      <c r="B655" s="4">
        <v>77</v>
      </c>
      <c r="C655" s="4">
        <v>97</v>
      </c>
      <c r="D655" s="5">
        <v>75.5</v>
      </c>
      <c r="E655" s="4">
        <v>84</v>
      </c>
      <c r="F655" s="4">
        <v>60</v>
      </c>
      <c r="G655" s="4">
        <v>67</v>
      </c>
    </row>
    <row r="656" spans="1:7">
      <c r="A656" s="4" t="s">
        <v>368</v>
      </c>
      <c r="B656" s="4">
        <v>85</v>
      </c>
      <c r="C656" s="4">
        <v>84</v>
      </c>
      <c r="D656" s="4">
        <v>93</v>
      </c>
      <c r="E656" s="4">
        <v>70</v>
      </c>
      <c r="F656" s="4">
        <v>57</v>
      </c>
      <c r="G656" s="4">
        <v>71</v>
      </c>
    </row>
    <row r="657" spans="1:7">
      <c r="A657" s="4" t="s">
        <v>372</v>
      </c>
      <c r="B657" s="4">
        <v>79</v>
      </c>
      <c r="C657" s="4">
        <v>86</v>
      </c>
      <c r="D657" s="4">
        <v>89</v>
      </c>
      <c r="E657" s="4">
        <v>69</v>
      </c>
      <c r="F657" s="4">
        <v>70</v>
      </c>
      <c r="G657" s="4">
        <v>67</v>
      </c>
    </row>
    <row r="658" spans="1:7">
      <c r="A658" s="4" t="s">
        <v>61</v>
      </c>
      <c r="B658" s="4">
        <v>97</v>
      </c>
      <c r="C658" s="4">
        <v>72</v>
      </c>
      <c r="D658" s="4">
        <v>79</v>
      </c>
      <c r="E658" s="4">
        <v>72</v>
      </c>
      <c r="F658" s="4">
        <v>65</v>
      </c>
      <c r="G658" s="4">
        <v>75</v>
      </c>
    </row>
    <row r="659" spans="1:7">
      <c r="A659" s="4" t="s">
        <v>155</v>
      </c>
      <c r="B659" s="4">
        <v>86</v>
      </c>
      <c r="C659" s="4">
        <v>89</v>
      </c>
      <c r="D659" s="5">
        <v>79.5</v>
      </c>
      <c r="E659" s="4">
        <v>76</v>
      </c>
      <c r="F659" s="4">
        <v>66</v>
      </c>
      <c r="G659" s="4">
        <v>63</v>
      </c>
    </row>
    <row r="660" spans="1:7">
      <c r="A660" s="4" t="s">
        <v>824</v>
      </c>
      <c r="B660" s="4">
        <v>81</v>
      </c>
      <c r="C660" s="4">
        <v>70</v>
      </c>
      <c r="D660" s="4">
        <v>102</v>
      </c>
      <c r="E660" s="4">
        <v>78</v>
      </c>
      <c r="F660" s="4">
        <v>65</v>
      </c>
      <c r="G660" s="4">
        <v>63</v>
      </c>
    </row>
    <row r="661" spans="1:7">
      <c r="A661" s="4" t="s">
        <v>336</v>
      </c>
      <c r="B661" s="4">
        <v>93</v>
      </c>
      <c r="C661" s="4">
        <v>90</v>
      </c>
      <c r="D661" s="4">
        <v>98</v>
      </c>
      <c r="E661" s="4">
        <v>59</v>
      </c>
      <c r="F661" s="4">
        <v>59</v>
      </c>
      <c r="G661" s="4">
        <v>60</v>
      </c>
    </row>
    <row r="662" spans="1:7">
      <c r="A662" s="4" t="s">
        <v>110</v>
      </c>
      <c r="B662" s="4">
        <v>88</v>
      </c>
      <c r="C662" s="4">
        <v>87</v>
      </c>
      <c r="D662" s="5">
        <v>95.5</v>
      </c>
      <c r="E662" s="4">
        <v>78</v>
      </c>
      <c r="F662" s="4">
        <v>57</v>
      </c>
      <c r="G662" s="4">
        <v>53</v>
      </c>
    </row>
    <row r="663" spans="1:7">
      <c r="A663" s="4" t="s">
        <v>96</v>
      </c>
      <c r="B663" s="4">
        <v>87</v>
      </c>
      <c r="C663" s="4">
        <v>69</v>
      </c>
      <c r="D663" s="4">
        <v>69</v>
      </c>
      <c r="E663" s="4">
        <v>77</v>
      </c>
      <c r="F663" s="4">
        <v>80</v>
      </c>
      <c r="G663" s="4">
        <v>76</v>
      </c>
    </row>
    <row r="664" spans="1:7">
      <c r="A664" s="4" t="s">
        <v>109</v>
      </c>
      <c r="B664" s="4">
        <v>85</v>
      </c>
      <c r="C664" s="4">
        <v>86</v>
      </c>
      <c r="D664" s="5">
        <v>86.5</v>
      </c>
      <c r="E664" s="4">
        <v>73</v>
      </c>
      <c r="F664" s="4">
        <v>64</v>
      </c>
      <c r="G664" s="4">
        <v>63</v>
      </c>
    </row>
    <row r="665" spans="1:7">
      <c r="A665" s="4" t="s">
        <v>328</v>
      </c>
      <c r="B665" s="4">
        <v>76</v>
      </c>
      <c r="C665" s="4">
        <v>65</v>
      </c>
      <c r="D665" s="5">
        <v>104.5</v>
      </c>
      <c r="E665" s="4">
        <v>86</v>
      </c>
      <c r="F665" s="4">
        <v>58</v>
      </c>
      <c r="G665" s="4">
        <v>68</v>
      </c>
    </row>
    <row r="666" spans="1:7">
      <c r="A666" s="4" t="s">
        <v>446</v>
      </c>
      <c r="B666" s="4">
        <v>89</v>
      </c>
      <c r="C666" s="4">
        <v>86</v>
      </c>
      <c r="D666" s="5">
        <v>66.5</v>
      </c>
      <c r="E666" s="4">
        <v>73</v>
      </c>
      <c r="F666" s="4">
        <v>75</v>
      </c>
      <c r="G666" s="4">
        <v>67</v>
      </c>
    </row>
    <row r="667" spans="1:7">
      <c r="A667" s="4" t="s">
        <v>129</v>
      </c>
      <c r="B667" s="4">
        <v>80</v>
      </c>
      <c r="C667" s="4">
        <v>85</v>
      </c>
      <c r="D667" s="4">
        <v>75</v>
      </c>
      <c r="E667" s="4">
        <v>87</v>
      </c>
      <c r="F667" s="4">
        <v>61</v>
      </c>
      <c r="G667" s="4">
        <v>67</v>
      </c>
    </row>
    <row r="668" spans="1:7">
      <c r="A668" s="4" t="s">
        <v>73</v>
      </c>
      <c r="B668" s="4">
        <v>90</v>
      </c>
      <c r="C668" s="4">
        <v>80</v>
      </c>
      <c r="D668" s="5">
        <v>84.5</v>
      </c>
      <c r="E668" s="4">
        <v>75</v>
      </c>
      <c r="F668" s="4">
        <v>59</v>
      </c>
      <c r="G668" s="4">
        <v>66</v>
      </c>
    </row>
    <row r="669" spans="1:7">
      <c r="A669" s="4" t="s">
        <v>236</v>
      </c>
      <c r="B669" s="4">
        <v>80</v>
      </c>
      <c r="C669" s="4">
        <v>86</v>
      </c>
      <c r="D669" s="4">
        <v>74</v>
      </c>
      <c r="E669" s="4">
        <v>82</v>
      </c>
      <c r="F669" s="4">
        <v>63</v>
      </c>
      <c r="G669" s="4">
        <v>69</v>
      </c>
    </row>
    <row r="670" spans="1:7">
      <c r="A670" s="4" t="s">
        <v>437</v>
      </c>
      <c r="B670" s="4">
        <v>86</v>
      </c>
      <c r="C670" s="4">
        <v>86</v>
      </c>
      <c r="D670" s="4">
        <v>89</v>
      </c>
      <c r="E670" s="4">
        <v>77</v>
      </c>
      <c r="F670" s="4">
        <v>56</v>
      </c>
      <c r="G670" s="4">
        <v>59</v>
      </c>
    </row>
    <row r="671" spans="1:7">
      <c r="A671" s="4" t="s">
        <v>171</v>
      </c>
      <c r="B671" s="4">
        <v>86</v>
      </c>
      <c r="C671" s="4">
        <v>88</v>
      </c>
      <c r="D671" s="5">
        <v>73.5</v>
      </c>
      <c r="E671" s="4">
        <v>77</v>
      </c>
      <c r="F671" s="4">
        <v>63</v>
      </c>
      <c r="G671" s="4">
        <v>65</v>
      </c>
    </row>
    <row r="672" spans="1:7">
      <c r="A672" s="4" t="s">
        <v>287</v>
      </c>
      <c r="B672" s="4">
        <v>80</v>
      </c>
      <c r="C672" s="4">
        <v>90</v>
      </c>
      <c r="D672" s="4">
        <v>84</v>
      </c>
      <c r="E672" s="4">
        <v>73</v>
      </c>
      <c r="F672" s="4">
        <v>70</v>
      </c>
      <c r="G672" s="4">
        <v>55</v>
      </c>
    </row>
    <row r="673" spans="1:7">
      <c r="A673" s="4" t="s">
        <v>130</v>
      </c>
      <c r="B673" s="4">
        <v>81</v>
      </c>
      <c r="C673" s="4">
        <v>86</v>
      </c>
      <c r="D673" s="5">
        <v>78.5</v>
      </c>
      <c r="E673" s="4">
        <v>71</v>
      </c>
      <c r="F673" s="4">
        <v>57</v>
      </c>
      <c r="G673" s="4">
        <v>78</v>
      </c>
    </row>
    <row r="674" spans="1:7">
      <c r="A674" s="4" t="s">
        <v>352</v>
      </c>
      <c r="B674" s="5">
        <v>81.5</v>
      </c>
      <c r="C674" s="4">
        <v>66</v>
      </c>
      <c r="D674" s="4">
        <v>96</v>
      </c>
      <c r="E674" s="4">
        <v>82</v>
      </c>
      <c r="F674" s="4">
        <v>62</v>
      </c>
      <c r="G674" s="4">
        <v>63</v>
      </c>
    </row>
    <row r="675" spans="1:7">
      <c r="A675" s="4" t="s">
        <v>53</v>
      </c>
      <c r="B675" s="4">
        <v>93</v>
      </c>
      <c r="C675" s="4">
        <v>59</v>
      </c>
      <c r="D675" s="5">
        <v>86.5</v>
      </c>
      <c r="E675" s="4">
        <v>59</v>
      </c>
      <c r="F675" s="4">
        <v>86</v>
      </c>
      <c r="G675" s="4">
        <v>67</v>
      </c>
    </row>
    <row r="676" spans="1:7">
      <c r="A676" s="4" t="s">
        <v>150</v>
      </c>
      <c r="B676" s="4">
        <v>76</v>
      </c>
      <c r="C676" s="4">
        <v>75</v>
      </c>
      <c r="D676" s="4">
        <v>71</v>
      </c>
      <c r="E676" s="4">
        <v>79</v>
      </c>
      <c r="F676" s="4">
        <v>76</v>
      </c>
      <c r="G676" s="4">
        <v>73</v>
      </c>
    </row>
    <row r="677" spans="1:7">
      <c r="A677" s="4" t="s">
        <v>19</v>
      </c>
      <c r="B677" s="4">
        <v>94</v>
      </c>
      <c r="C677" s="4">
        <v>76</v>
      </c>
      <c r="D677" s="5">
        <v>78.5</v>
      </c>
      <c r="E677" s="4">
        <v>65</v>
      </c>
      <c r="F677" s="4">
        <v>68</v>
      </c>
      <c r="G677" s="4">
        <v>67</v>
      </c>
    </row>
    <row r="678" spans="1:7">
      <c r="A678" s="4" t="s">
        <v>91</v>
      </c>
      <c r="B678" s="4">
        <v>80</v>
      </c>
      <c r="C678" s="4">
        <v>80</v>
      </c>
      <c r="D678" s="5">
        <v>82.5</v>
      </c>
      <c r="E678" s="4">
        <v>76</v>
      </c>
      <c r="F678" s="4">
        <v>59</v>
      </c>
      <c r="G678" s="4">
        <v>71</v>
      </c>
    </row>
    <row r="679" spans="1:7">
      <c r="A679" s="4" t="s">
        <v>355</v>
      </c>
      <c r="B679" s="4">
        <v>80</v>
      </c>
      <c r="C679" s="4">
        <v>78</v>
      </c>
      <c r="D679" s="4">
        <v>85</v>
      </c>
      <c r="E679" s="4">
        <v>84</v>
      </c>
      <c r="F679" s="4">
        <v>58</v>
      </c>
      <c r="G679" s="4">
        <v>60</v>
      </c>
    </row>
    <row r="680" spans="1:7">
      <c r="A680" s="4" t="s">
        <v>722</v>
      </c>
      <c r="B680" s="4">
        <v>86</v>
      </c>
      <c r="C680" s="4">
        <v>75</v>
      </c>
      <c r="D680" s="5">
        <v>76.5</v>
      </c>
      <c r="E680" s="4">
        <v>79</v>
      </c>
      <c r="F680" s="4">
        <v>58</v>
      </c>
      <c r="G680" s="4">
        <v>70</v>
      </c>
    </row>
    <row r="681" spans="1:7">
      <c r="A681" s="4" t="s">
        <v>176</v>
      </c>
      <c r="B681" s="4">
        <v>80</v>
      </c>
      <c r="C681" s="4">
        <v>83</v>
      </c>
      <c r="D681" s="4">
        <v>67</v>
      </c>
      <c r="E681" s="4">
        <v>75</v>
      </c>
      <c r="F681" s="4">
        <v>72</v>
      </c>
      <c r="G681" s="4">
        <v>67</v>
      </c>
    </row>
    <row r="682" spans="1:7">
      <c r="A682" s="4" t="s">
        <v>149</v>
      </c>
      <c r="B682" s="4">
        <v>82</v>
      </c>
      <c r="C682" s="4">
        <v>77</v>
      </c>
      <c r="D682" s="4">
        <v>72</v>
      </c>
      <c r="E682" s="4">
        <v>71</v>
      </c>
      <c r="F682" s="4">
        <v>67</v>
      </c>
      <c r="G682" s="4">
        <v>75</v>
      </c>
    </row>
    <row r="683" spans="1:7">
      <c r="A683" s="4" t="s">
        <v>121</v>
      </c>
      <c r="B683" s="4">
        <v>87</v>
      </c>
      <c r="C683" s="4">
        <v>67</v>
      </c>
      <c r="D683" s="4">
        <v>73</v>
      </c>
      <c r="E683" s="4">
        <v>76</v>
      </c>
      <c r="F683" s="4">
        <v>72</v>
      </c>
      <c r="G683" s="4">
        <v>69</v>
      </c>
    </row>
    <row r="684" spans="1:7">
      <c r="A684" s="4" t="s">
        <v>466</v>
      </c>
      <c r="B684" s="4">
        <v>88</v>
      </c>
      <c r="C684" s="4">
        <v>78</v>
      </c>
      <c r="D684" s="4">
        <v>77</v>
      </c>
      <c r="E684" s="4">
        <v>77</v>
      </c>
      <c r="F684" s="4">
        <v>65</v>
      </c>
      <c r="G684" s="4">
        <v>59</v>
      </c>
    </row>
    <row r="685" spans="1:7">
      <c r="A685" s="4" t="s">
        <v>371</v>
      </c>
      <c r="B685" s="4">
        <v>88</v>
      </c>
      <c r="C685" s="4">
        <v>75</v>
      </c>
      <c r="D685" s="5">
        <v>78.5</v>
      </c>
      <c r="E685" s="4">
        <v>72</v>
      </c>
      <c r="F685" s="4">
        <v>59</v>
      </c>
      <c r="G685" s="4">
        <v>71</v>
      </c>
    </row>
    <row r="686" spans="1:7">
      <c r="A686" s="4" t="s">
        <v>27</v>
      </c>
      <c r="B686" s="4">
        <v>80</v>
      </c>
      <c r="C686" s="4">
        <v>77</v>
      </c>
      <c r="D686" s="5">
        <v>87.5</v>
      </c>
      <c r="E686" s="4">
        <v>78</v>
      </c>
      <c r="F686" s="4">
        <v>55</v>
      </c>
      <c r="G686" s="4">
        <v>66</v>
      </c>
    </row>
    <row r="687" spans="1:7">
      <c r="A687" s="4" t="s">
        <v>166</v>
      </c>
      <c r="B687" s="4">
        <v>97</v>
      </c>
      <c r="C687" s="4">
        <v>68</v>
      </c>
      <c r="D687" s="5">
        <v>67.5</v>
      </c>
      <c r="E687" s="4">
        <v>68</v>
      </c>
      <c r="F687" s="4">
        <v>69</v>
      </c>
      <c r="G687" s="4">
        <v>74</v>
      </c>
    </row>
    <row r="688" spans="1:7">
      <c r="A688" s="4" t="s">
        <v>208</v>
      </c>
      <c r="B688" s="4">
        <v>79</v>
      </c>
      <c r="C688" s="4">
        <v>80</v>
      </c>
      <c r="D688" s="4">
        <v>79</v>
      </c>
      <c r="E688" s="4">
        <v>87</v>
      </c>
      <c r="F688" s="4">
        <v>60</v>
      </c>
      <c r="G688" s="4">
        <v>58</v>
      </c>
    </row>
    <row r="689" spans="1:7">
      <c r="A689" s="4" t="s">
        <v>304</v>
      </c>
      <c r="B689" s="4">
        <v>81</v>
      </c>
      <c r="C689" s="4">
        <v>100</v>
      </c>
      <c r="D689" s="4">
        <v>75</v>
      </c>
      <c r="E689" s="4">
        <v>75</v>
      </c>
      <c r="F689" s="4">
        <v>58</v>
      </c>
      <c r="G689" s="4">
        <v>54</v>
      </c>
    </row>
    <row r="690" spans="1:7">
      <c r="A690" s="4" t="s">
        <v>54</v>
      </c>
      <c r="B690" s="4">
        <v>93</v>
      </c>
      <c r="C690" s="4">
        <v>69</v>
      </c>
      <c r="D690" s="4">
        <v>78</v>
      </c>
      <c r="E690" s="4">
        <v>62</v>
      </c>
      <c r="F690" s="4">
        <v>73</v>
      </c>
      <c r="G690" s="4">
        <v>68</v>
      </c>
    </row>
    <row r="691" spans="1:7">
      <c r="A691" s="4" t="s">
        <v>47</v>
      </c>
      <c r="B691" s="4">
        <v>87</v>
      </c>
      <c r="C691" s="4">
        <v>75</v>
      </c>
      <c r="D691" s="4">
        <v>63</v>
      </c>
      <c r="E691" s="4">
        <v>65</v>
      </c>
      <c r="F691" s="4">
        <v>77</v>
      </c>
      <c r="G691" s="4">
        <v>76</v>
      </c>
    </row>
    <row r="692" spans="1:7">
      <c r="A692" s="4" t="s">
        <v>380</v>
      </c>
      <c r="B692" s="4">
        <v>73</v>
      </c>
      <c r="C692" s="4">
        <v>72</v>
      </c>
      <c r="D692" s="5">
        <v>95.5</v>
      </c>
      <c r="E692" s="4">
        <v>71</v>
      </c>
      <c r="F692" s="4">
        <v>62</v>
      </c>
      <c r="G692" s="4">
        <v>69</v>
      </c>
    </row>
    <row r="693" spans="1:7">
      <c r="A693" s="4" t="s">
        <v>50</v>
      </c>
      <c r="B693" s="4">
        <v>87</v>
      </c>
      <c r="C693" s="4">
        <v>78</v>
      </c>
      <c r="D693" s="5">
        <v>64.5</v>
      </c>
      <c r="E693" s="4">
        <v>84</v>
      </c>
      <c r="F693" s="4">
        <v>60</v>
      </c>
      <c r="G693" s="4">
        <v>69</v>
      </c>
    </row>
    <row r="694" spans="1:7">
      <c r="A694" s="4" t="s">
        <v>199</v>
      </c>
      <c r="B694" s="4">
        <v>88</v>
      </c>
      <c r="C694" s="4">
        <v>73</v>
      </c>
      <c r="D694" s="5">
        <v>77.5</v>
      </c>
      <c r="E694" s="4">
        <v>73</v>
      </c>
      <c r="F694" s="4">
        <v>69</v>
      </c>
      <c r="G694" s="4">
        <v>61</v>
      </c>
    </row>
    <row r="695" spans="1:7">
      <c r="A695" s="4" t="s">
        <v>413</v>
      </c>
      <c r="B695" s="4">
        <v>87</v>
      </c>
      <c r="C695" s="4">
        <v>79</v>
      </c>
      <c r="D695" s="5">
        <v>88.5</v>
      </c>
      <c r="E695" s="4">
        <v>74</v>
      </c>
      <c r="F695" s="4">
        <v>50</v>
      </c>
      <c r="G695" s="4">
        <v>63</v>
      </c>
    </row>
    <row r="696" spans="1:7">
      <c r="A696" s="4" t="s">
        <v>108</v>
      </c>
      <c r="B696" s="4">
        <v>82</v>
      </c>
      <c r="C696" s="4">
        <v>75</v>
      </c>
      <c r="D696" s="5">
        <v>76.5</v>
      </c>
      <c r="E696" s="4">
        <v>72</v>
      </c>
      <c r="F696" s="4">
        <v>64</v>
      </c>
      <c r="G696" s="4">
        <v>72</v>
      </c>
    </row>
    <row r="697" spans="1:7">
      <c r="A697" s="4" t="s">
        <v>10</v>
      </c>
      <c r="B697" s="4">
        <v>85</v>
      </c>
      <c r="C697" s="4">
        <v>85</v>
      </c>
      <c r="D697" s="4">
        <v>66</v>
      </c>
      <c r="E697" s="4">
        <v>81</v>
      </c>
      <c r="F697" s="4">
        <v>53</v>
      </c>
      <c r="G697" s="4">
        <v>71</v>
      </c>
    </row>
    <row r="698" spans="1:7">
      <c r="A698" s="4" t="s">
        <v>49</v>
      </c>
      <c r="B698" s="5">
        <v>86.5</v>
      </c>
      <c r="C698" s="4">
        <v>75</v>
      </c>
      <c r="D698" s="5">
        <v>101.5</v>
      </c>
      <c r="E698" s="4">
        <v>56</v>
      </c>
      <c r="F698" s="4">
        <v>67</v>
      </c>
      <c r="G698" s="4">
        <v>55</v>
      </c>
    </row>
    <row r="699" spans="1:7">
      <c r="A699" s="4" t="s">
        <v>97</v>
      </c>
      <c r="B699" s="4">
        <v>72</v>
      </c>
      <c r="C699" s="4">
        <v>83</v>
      </c>
      <c r="D699" s="4">
        <v>68</v>
      </c>
      <c r="E699" s="4">
        <v>75</v>
      </c>
      <c r="F699" s="4">
        <v>62</v>
      </c>
      <c r="G699" s="4">
        <v>81</v>
      </c>
    </row>
    <row r="700" spans="1:7">
      <c r="A700" s="4" t="s">
        <v>307</v>
      </c>
      <c r="B700" s="4">
        <v>93</v>
      </c>
      <c r="C700" s="4">
        <v>72</v>
      </c>
      <c r="D700" s="5">
        <v>77.5</v>
      </c>
      <c r="E700" s="4">
        <v>62</v>
      </c>
      <c r="F700" s="4">
        <v>70</v>
      </c>
      <c r="G700" s="4">
        <v>66</v>
      </c>
    </row>
    <row r="701" spans="1:7">
      <c r="A701" s="4" t="s">
        <v>318</v>
      </c>
      <c r="B701" s="4">
        <v>81</v>
      </c>
      <c r="C701" s="4">
        <v>85</v>
      </c>
      <c r="D701" s="4">
        <v>67</v>
      </c>
      <c r="E701" s="4">
        <v>73</v>
      </c>
      <c r="F701" s="4">
        <v>70</v>
      </c>
      <c r="G701" s="4">
        <v>62</v>
      </c>
    </row>
    <row r="702" spans="1:7">
      <c r="A702" s="4" t="s">
        <v>79</v>
      </c>
      <c r="B702" s="4">
        <v>83</v>
      </c>
      <c r="C702" s="4">
        <v>78</v>
      </c>
      <c r="D702" s="5">
        <v>70.5</v>
      </c>
      <c r="E702" s="4">
        <v>62</v>
      </c>
      <c r="F702" s="4">
        <v>81</v>
      </c>
      <c r="G702" s="4">
        <v>63</v>
      </c>
    </row>
    <row r="703" spans="1:7">
      <c r="A703" s="4" t="s">
        <v>182</v>
      </c>
      <c r="B703" s="4">
        <v>72</v>
      </c>
      <c r="C703" s="4">
        <v>86</v>
      </c>
      <c r="D703" s="5">
        <v>68.5</v>
      </c>
      <c r="E703" s="4">
        <v>76</v>
      </c>
      <c r="F703" s="4">
        <v>72</v>
      </c>
      <c r="G703" s="4">
        <v>62</v>
      </c>
    </row>
    <row r="704" spans="1:7">
      <c r="A704" s="4" t="s">
        <v>825</v>
      </c>
      <c r="B704" s="5">
        <v>76.5</v>
      </c>
      <c r="C704" s="4">
        <v>81</v>
      </c>
      <c r="D704" s="4">
        <v>63</v>
      </c>
      <c r="E704" s="4">
        <v>78</v>
      </c>
      <c r="F704" s="4">
        <v>67</v>
      </c>
      <c r="G704" s="4">
        <v>71</v>
      </c>
    </row>
    <row r="705" spans="1:7">
      <c r="A705" s="4" t="s">
        <v>23</v>
      </c>
      <c r="B705" s="4">
        <v>84</v>
      </c>
      <c r="C705" s="4">
        <v>82</v>
      </c>
      <c r="D705" s="5">
        <v>71.5</v>
      </c>
      <c r="E705" s="4">
        <v>54</v>
      </c>
      <c r="F705" s="4">
        <v>72</v>
      </c>
      <c r="G705" s="4">
        <v>73</v>
      </c>
    </row>
    <row r="706" spans="1:7">
      <c r="A706" s="4" t="s">
        <v>70</v>
      </c>
      <c r="B706" s="4">
        <v>71</v>
      </c>
      <c r="C706" s="4">
        <v>76</v>
      </c>
      <c r="D706" s="5">
        <v>87.5</v>
      </c>
      <c r="E706" s="4">
        <v>68</v>
      </c>
      <c r="F706" s="4">
        <v>69</v>
      </c>
      <c r="G706" s="4">
        <v>65</v>
      </c>
    </row>
    <row r="707" spans="1:7">
      <c r="A707" s="4" t="s">
        <v>124</v>
      </c>
      <c r="B707" s="4">
        <v>89</v>
      </c>
      <c r="C707" s="4">
        <v>67</v>
      </c>
      <c r="D707" s="4">
        <v>79</v>
      </c>
      <c r="E707" s="4">
        <v>73</v>
      </c>
      <c r="F707" s="4">
        <v>54</v>
      </c>
      <c r="G707" s="4">
        <v>74</v>
      </c>
    </row>
    <row r="708" spans="1:7">
      <c r="A708" s="4" t="s">
        <v>200</v>
      </c>
      <c r="B708" s="4">
        <v>82</v>
      </c>
      <c r="C708" s="4">
        <v>81</v>
      </c>
      <c r="D708" s="5">
        <v>62.5</v>
      </c>
      <c r="E708" s="4">
        <v>78</v>
      </c>
      <c r="F708" s="4">
        <v>70</v>
      </c>
      <c r="G708" s="4">
        <v>62</v>
      </c>
    </row>
    <row r="709" spans="1:7">
      <c r="A709" s="4" t="s">
        <v>826</v>
      </c>
      <c r="B709" s="4">
        <v>83</v>
      </c>
      <c r="C709" s="4">
        <v>77</v>
      </c>
      <c r="D709" s="4">
        <v>64</v>
      </c>
      <c r="E709" s="4">
        <v>71</v>
      </c>
      <c r="F709" s="4">
        <v>73</v>
      </c>
      <c r="G709" s="4">
        <v>67</v>
      </c>
    </row>
    <row r="710" spans="1:7">
      <c r="A710" s="4" t="s">
        <v>135</v>
      </c>
      <c r="B710" s="5">
        <v>81.5</v>
      </c>
      <c r="C710" s="4">
        <v>79</v>
      </c>
      <c r="D710" s="4">
        <v>89</v>
      </c>
      <c r="E710" s="4">
        <v>70</v>
      </c>
      <c r="F710" s="4">
        <v>53</v>
      </c>
      <c r="G710" s="4">
        <v>62</v>
      </c>
    </row>
    <row r="711" spans="1:7">
      <c r="A711" s="4" t="s">
        <v>379</v>
      </c>
      <c r="B711" s="4">
        <v>77</v>
      </c>
      <c r="C711" s="4">
        <v>80</v>
      </c>
      <c r="D711" s="4">
        <v>86</v>
      </c>
      <c r="E711" s="4">
        <v>60</v>
      </c>
      <c r="F711" s="4">
        <v>69</v>
      </c>
      <c r="G711" s="4">
        <v>62</v>
      </c>
    </row>
    <row r="712" spans="1:7">
      <c r="A712" s="4" t="s">
        <v>66</v>
      </c>
      <c r="B712" s="4">
        <v>88</v>
      </c>
      <c r="C712" s="4">
        <v>80</v>
      </c>
      <c r="D712" s="4">
        <v>61</v>
      </c>
      <c r="E712" s="4">
        <v>80</v>
      </c>
      <c r="F712" s="4">
        <v>58</v>
      </c>
      <c r="G712" s="4">
        <v>67</v>
      </c>
    </row>
    <row r="713" spans="1:7">
      <c r="A713" s="4" t="s">
        <v>163</v>
      </c>
      <c r="B713" s="4">
        <v>69</v>
      </c>
      <c r="C713" s="4">
        <v>71</v>
      </c>
      <c r="D713" s="4">
        <v>81</v>
      </c>
      <c r="E713" s="4">
        <v>72</v>
      </c>
      <c r="F713" s="4">
        <v>72</v>
      </c>
      <c r="G713" s="4">
        <v>68</v>
      </c>
    </row>
    <row r="714" spans="1:7">
      <c r="A714" s="4" t="s">
        <v>178</v>
      </c>
      <c r="B714" s="4">
        <v>75</v>
      </c>
      <c r="C714" s="4">
        <v>60</v>
      </c>
      <c r="D714" s="4">
        <v>84</v>
      </c>
      <c r="E714" s="4">
        <v>73</v>
      </c>
      <c r="F714" s="4">
        <v>68</v>
      </c>
      <c r="G714" s="4">
        <v>72</v>
      </c>
    </row>
    <row r="715" spans="1:7">
      <c r="A715" s="4" t="s">
        <v>32</v>
      </c>
      <c r="B715" s="4">
        <v>74</v>
      </c>
      <c r="C715" s="4">
        <v>84</v>
      </c>
      <c r="D715" s="5">
        <v>86.5</v>
      </c>
      <c r="E715" s="4">
        <v>68</v>
      </c>
      <c r="F715" s="4">
        <v>56</v>
      </c>
      <c r="G715" s="4">
        <v>63</v>
      </c>
    </row>
    <row r="716" spans="1:7">
      <c r="A716" s="4" t="s">
        <v>170</v>
      </c>
      <c r="B716" s="4">
        <v>84</v>
      </c>
      <c r="C716" s="4">
        <v>73</v>
      </c>
      <c r="D716" s="4">
        <v>90</v>
      </c>
      <c r="E716" s="4">
        <v>72</v>
      </c>
      <c r="F716" s="4">
        <v>60</v>
      </c>
      <c r="G716" s="4">
        <v>52</v>
      </c>
    </row>
    <row r="717" spans="1:7">
      <c r="A717" s="4" t="s">
        <v>80</v>
      </c>
      <c r="B717" s="4">
        <v>91</v>
      </c>
      <c r="C717" s="4">
        <v>62</v>
      </c>
      <c r="D717" s="4">
        <v>107</v>
      </c>
      <c r="E717" s="4">
        <v>58</v>
      </c>
      <c r="F717" s="4">
        <v>47</v>
      </c>
      <c r="G717" s="4">
        <v>65</v>
      </c>
    </row>
    <row r="718" spans="1:7">
      <c r="A718" s="4" t="s">
        <v>177</v>
      </c>
      <c r="B718" s="4">
        <v>76</v>
      </c>
      <c r="C718" s="4">
        <v>79</v>
      </c>
      <c r="D718" s="4">
        <v>70</v>
      </c>
      <c r="E718" s="4">
        <v>78</v>
      </c>
      <c r="F718" s="4">
        <v>61</v>
      </c>
      <c r="G718" s="4">
        <v>65</v>
      </c>
    </row>
    <row r="719" spans="1:7">
      <c r="A719" s="4" t="s">
        <v>213</v>
      </c>
      <c r="B719" s="4">
        <v>86</v>
      </c>
      <c r="C719" s="4">
        <v>81</v>
      </c>
      <c r="D719" s="4">
        <v>49</v>
      </c>
      <c r="E719" s="4">
        <v>78</v>
      </c>
      <c r="F719" s="4">
        <v>71</v>
      </c>
      <c r="G719" s="4">
        <v>62</v>
      </c>
    </row>
    <row r="720" spans="1:7">
      <c r="A720" s="4" t="s">
        <v>88</v>
      </c>
      <c r="B720" s="4">
        <v>85</v>
      </c>
      <c r="C720" s="4">
        <v>69</v>
      </c>
      <c r="D720" s="4">
        <v>72</v>
      </c>
      <c r="E720" s="4">
        <v>76</v>
      </c>
      <c r="F720" s="4">
        <v>68</v>
      </c>
      <c r="G720" s="4">
        <v>55</v>
      </c>
    </row>
    <row r="721" spans="1:7">
      <c r="A721" s="4" t="s">
        <v>46</v>
      </c>
      <c r="B721" s="4">
        <v>88</v>
      </c>
      <c r="C721" s="4">
        <v>74</v>
      </c>
      <c r="D721" s="4">
        <v>59</v>
      </c>
      <c r="E721" s="4">
        <v>75</v>
      </c>
      <c r="F721" s="4">
        <v>61</v>
      </c>
      <c r="G721" s="4">
        <v>67</v>
      </c>
    </row>
    <row r="722" spans="1:7">
      <c r="A722" s="4" t="s">
        <v>164</v>
      </c>
      <c r="B722" s="4">
        <v>77</v>
      </c>
      <c r="C722" s="4">
        <v>79</v>
      </c>
      <c r="D722" s="5">
        <v>68.5</v>
      </c>
      <c r="E722" s="4">
        <v>80</v>
      </c>
      <c r="F722" s="4">
        <v>51</v>
      </c>
      <c r="G722" s="4">
        <v>68</v>
      </c>
    </row>
    <row r="723" spans="1:7">
      <c r="A723" s="4" t="s">
        <v>139</v>
      </c>
      <c r="B723" s="4">
        <v>74</v>
      </c>
      <c r="C723" s="4">
        <v>78</v>
      </c>
      <c r="D723" s="4">
        <v>70</v>
      </c>
      <c r="E723" s="4">
        <v>66</v>
      </c>
      <c r="F723" s="4">
        <v>59</v>
      </c>
      <c r="G723" s="4">
        <v>76</v>
      </c>
    </row>
    <row r="724" spans="1:7">
      <c r="A724" s="4" t="s">
        <v>255</v>
      </c>
      <c r="B724" s="4">
        <v>75</v>
      </c>
      <c r="C724" s="4">
        <v>65</v>
      </c>
      <c r="D724" s="4">
        <v>82</v>
      </c>
      <c r="E724" s="4">
        <v>67</v>
      </c>
      <c r="F724" s="4">
        <v>62</v>
      </c>
      <c r="G724" s="4">
        <v>71</v>
      </c>
    </row>
    <row r="725" spans="1:7">
      <c r="A725" s="4" t="s">
        <v>99</v>
      </c>
      <c r="B725" s="4">
        <v>81</v>
      </c>
      <c r="C725" s="4">
        <v>81</v>
      </c>
      <c r="D725" s="4">
        <v>71</v>
      </c>
      <c r="E725" s="4">
        <v>59</v>
      </c>
      <c r="F725" s="4">
        <v>62</v>
      </c>
      <c r="G725" s="4">
        <v>68</v>
      </c>
    </row>
    <row r="726" spans="1:7">
      <c r="A726" s="4" t="s">
        <v>136</v>
      </c>
      <c r="B726" s="4">
        <v>89</v>
      </c>
      <c r="C726" s="4">
        <v>61</v>
      </c>
      <c r="D726" s="4">
        <v>70</v>
      </c>
      <c r="E726" s="4">
        <v>72</v>
      </c>
      <c r="F726" s="4">
        <v>56</v>
      </c>
      <c r="G726" s="4">
        <v>73</v>
      </c>
    </row>
    <row r="727" spans="1:7">
      <c r="A727" s="4" t="s">
        <v>21</v>
      </c>
      <c r="B727" s="4">
        <v>87</v>
      </c>
      <c r="C727" s="4">
        <v>77</v>
      </c>
      <c r="D727" s="4">
        <v>58</v>
      </c>
      <c r="E727" s="4">
        <v>68</v>
      </c>
      <c r="F727" s="4">
        <v>62</v>
      </c>
      <c r="G727" s="4">
        <v>68</v>
      </c>
    </row>
    <row r="728" spans="1:7">
      <c r="A728" s="4" t="s">
        <v>120</v>
      </c>
      <c r="B728" s="4">
        <v>81</v>
      </c>
      <c r="C728" s="4">
        <v>67</v>
      </c>
      <c r="D728" s="4">
        <v>67</v>
      </c>
      <c r="E728" s="4">
        <v>77</v>
      </c>
      <c r="F728" s="4">
        <v>67</v>
      </c>
      <c r="G728" s="4">
        <v>61</v>
      </c>
    </row>
    <row r="729" spans="1:7">
      <c r="A729" s="4" t="s">
        <v>45</v>
      </c>
      <c r="B729" s="4">
        <v>83</v>
      </c>
      <c r="C729" s="4">
        <v>77</v>
      </c>
      <c r="D729" s="5">
        <v>73.5</v>
      </c>
      <c r="E729" s="4">
        <v>73</v>
      </c>
      <c r="F729" s="4">
        <v>59</v>
      </c>
      <c r="G729" s="4">
        <v>54</v>
      </c>
    </row>
    <row r="730" spans="1:7">
      <c r="A730" s="4" t="s">
        <v>20</v>
      </c>
      <c r="B730" s="4">
        <v>79</v>
      </c>
      <c r="C730" s="4">
        <v>75</v>
      </c>
      <c r="D730" s="5">
        <v>59.5</v>
      </c>
      <c r="E730" s="4">
        <v>72</v>
      </c>
      <c r="F730" s="4">
        <v>66</v>
      </c>
      <c r="G730" s="4">
        <v>66</v>
      </c>
    </row>
    <row r="731" spans="1:7">
      <c r="A731" s="4" t="s">
        <v>303</v>
      </c>
      <c r="B731" s="4">
        <v>82</v>
      </c>
      <c r="C731" s="4">
        <v>70</v>
      </c>
      <c r="D731" s="4">
        <v>69</v>
      </c>
      <c r="E731" s="4">
        <v>70</v>
      </c>
      <c r="F731" s="4">
        <v>61</v>
      </c>
      <c r="G731" s="4">
        <v>63</v>
      </c>
    </row>
    <row r="732" spans="1:7">
      <c r="A732" s="4" t="s">
        <v>205</v>
      </c>
      <c r="B732" s="4">
        <v>80</v>
      </c>
      <c r="C732" s="4">
        <v>68</v>
      </c>
      <c r="D732" s="5">
        <v>72.5</v>
      </c>
      <c r="E732" s="4">
        <v>75</v>
      </c>
      <c r="F732" s="4">
        <v>54</v>
      </c>
      <c r="G732" s="4">
        <v>64</v>
      </c>
    </row>
    <row r="733" spans="1:7">
      <c r="A733" s="4" t="s">
        <v>158</v>
      </c>
      <c r="B733" s="4">
        <v>85</v>
      </c>
      <c r="C733" s="4">
        <v>65</v>
      </c>
      <c r="D733" s="4">
        <v>85</v>
      </c>
      <c r="E733" s="4">
        <v>44</v>
      </c>
      <c r="F733" s="4">
        <v>68</v>
      </c>
      <c r="G733" s="4">
        <v>66</v>
      </c>
    </row>
    <row r="734" spans="1:7">
      <c r="A734" s="4" t="s">
        <v>154</v>
      </c>
      <c r="B734" s="4">
        <v>86</v>
      </c>
      <c r="C734" s="4">
        <v>65</v>
      </c>
      <c r="D734" s="5">
        <v>68.5</v>
      </c>
      <c r="E734" s="4">
        <v>72</v>
      </c>
      <c r="F734" s="4">
        <v>52</v>
      </c>
      <c r="G734" s="4">
        <v>69</v>
      </c>
    </row>
    <row r="735" spans="1:7">
      <c r="A735" s="4" t="s">
        <v>190</v>
      </c>
      <c r="B735" s="4">
        <v>68</v>
      </c>
      <c r="C735" s="4">
        <v>88</v>
      </c>
      <c r="D735" s="4">
        <v>75</v>
      </c>
      <c r="E735" s="4">
        <v>70</v>
      </c>
      <c r="F735" s="4">
        <v>52</v>
      </c>
      <c r="G735" s="4">
        <v>59</v>
      </c>
    </row>
    <row r="736" spans="1:7">
      <c r="A736" s="4" t="s">
        <v>137</v>
      </c>
      <c r="B736" s="4">
        <v>82</v>
      </c>
      <c r="C736" s="4">
        <v>69</v>
      </c>
      <c r="D736" s="5">
        <v>89.5</v>
      </c>
      <c r="E736" s="4">
        <v>65</v>
      </c>
      <c r="F736" s="4">
        <v>53</v>
      </c>
      <c r="G736" s="4">
        <v>53</v>
      </c>
    </row>
    <row r="737" spans="1:7">
      <c r="A737" s="4" t="s">
        <v>105</v>
      </c>
      <c r="B737" s="4">
        <v>72</v>
      </c>
      <c r="C737" s="4">
        <v>68</v>
      </c>
      <c r="D737" s="4">
        <v>61</v>
      </c>
      <c r="E737" s="4">
        <v>76</v>
      </c>
      <c r="F737" s="4">
        <v>71</v>
      </c>
      <c r="G737" s="4">
        <v>62</v>
      </c>
    </row>
    <row r="738" spans="1:7">
      <c r="A738" s="4" t="s">
        <v>42</v>
      </c>
      <c r="B738" s="4">
        <v>75</v>
      </c>
      <c r="C738" s="4">
        <v>70</v>
      </c>
      <c r="D738" s="5">
        <v>88.5</v>
      </c>
      <c r="E738" s="4">
        <v>57</v>
      </c>
      <c r="F738" s="4">
        <v>60</v>
      </c>
      <c r="G738" s="4">
        <v>59</v>
      </c>
    </row>
    <row r="739" spans="1:7">
      <c r="A739" s="4" t="s">
        <v>195</v>
      </c>
      <c r="B739" s="4">
        <v>63</v>
      </c>
      <c r="C739" s="4">
        <v>89</v>
      </c>
      <c r="D739" s="4">
        <v>57</v>
      </c>
      <c r="E739" s="4">
        <v>78</v>
      </c>
      <c r="F739" s="4">
        <v>55</v>
      </c>
      <c r="G739" s="4">
        <v>67</v>
      </c>
    </row>
    <row r="740" spans="1:7">
      <c r="A740" s="4" t="s">
        <v>313</v>
      </c>
      <c r="B740" s="4">
        <v>78</v>
      </c>
      <c r="C740" s="4">
        <v>68</v>
      </c>
      <c r="D740" s="5">
        <v>89.5</v>
      </c>
      <c r="E740" s="4">
        <v>74</v>
      </c>
      <c r="F740" s="4">
        <v>45</v>
      </c>
      <c r="G740" s="4">
        <v>54</v>
      </c>
    </row>
    <row r="741" spans="1:7">
      <c r="A741" s="4" t="s">
        <v>196</v>
      </c>
      <c r="B741" s="4">
        <v>71</v>
      </c>
      <c r="C741" s="4">
        <v>67</v>
      </c>
      <c r="D741" s="5">
        <v>40.5</v>
      </c>
      <c r="E741" s="4">
        <v>71</v>
      </c>
      <c r="F741" s="4">
        <v>82</v>
      </c>
      <c r="G741" s="4">
        <v>75</v>
      </c>
    </row>
    <row r="742" spans="1:7">
      <c r="A742" s="4" t="s">
        <v>204</v>
      </c>
      <c r="B742" s="4">
        <v>90</v>
      </c>
      <c r="C742" s="4">
        <v>64</v>
      </c>
      <c r="D742" s="5">
        <v>54.5</v>
      </c>
      <c r="E742" s="4">
        <v>57</v>
      </c>
      <c r="F742" s="4">
        <v>71</v>
      </c>
      <c r="G742" s="4">
        <v>70</v>
      </c>
    </row>
    <row r="743" spans="1:7">
      <c r="A743" s="4" t="s">
        <v>115</v>
      </c>
      <c r="B743" s="5">
        <v>79.5</v>
      </c>
      <c r="C743" s="4">
        <v>76</v>
      </c>
      <c r="D743" s="5">
        <v>72.5</v>
      </c>
      <c r="E743" s="4">
        <v>58</v>
      </c>
      <c r="F743" s="4">
        <v>53</v>
      </c>
      <c r="G743" s="4">
        <v>62</v>
      </c>
    </row>
    <row r="744" spans="1:7">
      <c r="A744" s="4" t="s">
        <v>227</v>
      </c>
      <c r="B744" s="4">
        <v>87</v>
      </c>
      <c r="C744" s="4">
        <v>70</v>
      </c>
      <c r="D744" s="4">
        <v>47</v>
      </c>
      <c r="E744" s="4">
        <v>61</v>
      </c>
      <c r="F744" s="4">
        <v>67</v>
      </c>
      <c r="G744" s="4">
        <v>68</v>
      </c>
    </row>
    <row r="745" spans="1:7">
      <c r="A745" s="4" t="s">
        <v>152</v>
      </c>
      <c r="B745" s="4">
        <v>56</v>
      </c>
      <c r="C745" s="4">
        <v>98</v>
      </c>
      <c r="D745" s="5">
        <v>62.5</v>
      </c>
      <c r="E745" s="4">
        <v>77</v>
      </c>
      <c r="F745" s="4">
        <v>47</v>
      </c>
      <c r="G745" s="4">
        <v>58</v>
      </c>
    </row>
    <row r="746" spans="1:7">
      <c r="A746" s="4" t="s">
        <v>156</v>
      </c>
      <c r="B746" s="4">
        <v>72</v>
      </c>
      <c r="C746" s="4">
        <v>74</v>
      </c>
      <c r="D746" s="5">
        <v>49.5</v>
      </c>
      <c r="E746" s="4">
        <v>72</v>
      </c>
      <c r="F746" s="4">
        <v>64</v>
      </c>
      <c r="G746" s="4">
        <v>67</v>
      </c>
    </row>
    <row r="747" spans="1:7">
      <c r="A747" s="4" t="s">
        <v>112</v>
      </c>
      <c r="B747" s="5">
        <v>82.5</v>
      </c>
      <c r="C747" s="4">
        <v>56</v>
      </c>
      <c r="D747" s="4">
        <v>59</v>
      </c>
      <c r="E747" s="4">
        <v>69</v>
      </c>
      <c r="F747" s="4">
        <v>71</v>
      </c>
      <c r="G747" s="4">
        <v>61</v>
      </c>
    </row>
    <row r="748" spans="1:7">
      <c r="A748" s="4" t="s">
        <v>244</v>
      </c>
      <c r="B748" s="4">
        <v>75</v>
      </c>
      <c r="C748" s="4">
        <v>54</v>
      </c>
      <c r="D748" s="4">
        <v>86</v>
      </c>
      <c r="E748" s="4">
        <v>56</v>
      </c>
      <c r="F748" s="4">
        <v>57</v>
      </c>
      <c r="G748" s="4">
        <v>69</v>
      </c>
    </row>
    <row r="749" spans="1:7">
      <c r="A749" s="4" t="s">
        <v>373</v>
      </c>
      <c r="B749" s="5">
        <v>70.5</v>
      </c>
      <c r="C749" s="4">
        <v>57</v>
      </c>
      <c r="D749" s="5">
        <v>77.5</v>
      </c>
      <c r="E749" s="4">
        <v>74</v>
      </c>
      <c r="F749" s="4">
        <v>60</v>
      </c>
      <c r="G749" s="4">
        <v>58</v>
      </c>
    </row>
    <row r="750" spans="1:7">
      <c r="A750" s="4" t="s">
        <v>37</v>
      </c>
      <c r="B750" s="4">
        <v>75</v>
      </c>
      <c r="C750" s="4">
        <v>59</v>
      </c>
      <c r="D750" s="5">
        <v>83.5</v>
      </c>
      <c r="E750" s="4">
        <v>64</v>
      </c>
      <c r="F750" s="4">
        <v>58</v>
      </c>
      <c r="G750" s="4">
        <v>57</v>
      </c>
    </row>
    <row r="751" spans="1:7">
      <c r="A751" s="4" t="s">
        <v>186</v>
      </c>
      <c r="B751" s="4">
        <v>69</v>
      </c>
      <c r="C751" s="4">
        <v>50</v>
      </c>
      <c r="D751" s="4">
        <v>80</v>
      </c>
      <c r="E751" s="4">
        <v>80</v>
      </c>
      <c r="F751" s="4">
        <v>54</v>
      </c>
      <c r="G751" s="4">
        <v>61</v>
      </c>
    </row>
    <row r="752" spans="1:7">
      <c r="A752" s="4" t="s">
        <v>326</v>
      </c>
      <c r="B752" s="4">
        <v>68</v>
      </c>
      <c r="C752" s="4">
        <v>67</v>
      </c>
      <c r="D752" s="4">
        <v>50</v>
      </c>
      <c r="E752" s="4">
        <v>80</v>
      </c>
      <c r="F752" s="4">
        <v>63</v>
      </c>
      <c r="G752" s="4">
        <v>66</v>
      </c>
    </row>
    <row r="753" spans="1:7">
      <c r="A753" s="4" t="s">
        <v>40</v>
      </c>
      <c r="B753" s="5">
        <v>70.5</v>
      </c>
      <c r="C753" s="4">
        <v>72</v>
      </c>
      <c r="D753" s="4">
        <v>65</v>
      </c>
      <c r="E753" s="4">
        <v>55</v>
      </c>
      <c r="F753" s="4">
        <v>71</v>
      </c>
      <c r="G753" s="4">
        <v>60</v>
      </c>
    </row>
    <row r="754" spans="1:7">
      <c r="A754" s="4" t="s">
        <v>312</v>
      </c>
      <c r="B754" s="4">
        <v>65</v>
      </c>
      <c r="C754" s="4">
        <v>91</v>
      </c>
      <c r="D754" s="5">
        <v>52.5</v>
      </c>
      <c r="E754" s="4">
        <v>77</v>
      </c>
      <c r="F754" s="4">
        <v>54</v>
      </c>
      <c r="G754" s="4">
        <v>53</v>
      </c>
    </row>
    <row r="755" spans="1:7">
      <c r="A755" s="4" t="s">
        <v>324</v>
      </c>
      <c r="B755" s="4">
        <v>80</v>
      </c>
      <c r="C755" s="4">
        <v>57</v>
      </c>
      <c r="D755" s="5">
        <v>55.5</v>
      </c>
      <c r="E755" s="4">
        <v>61</v>
      </c>
      <c r="F755" s="4">
        <v>68</v>
      </c>
      <c r="G755" s="4">
        <v>71</v>
      </c>
    </row>
    <row r="756" spans="1:7">
      <c r="A756" s="4" t="s">
        <v>460</v>
      </c>
      <c r="B756" s="4">
        <v>78</v>
      </c>
      <c r="C756" s="4">
        <v>67</v>
      </c>
      <c r="D756" s="4">
        <v>59</v>
      </c>
      <c r="E756" s="4">
        <v>81</v>
      </c>
      <c r="F756" s="4">
        <v>48</v>
      </c>
      <c r="G756" s="4">
        <v>59</v>
      </c>
    </row>
    <row r="757" spans="1:7">
      <c r="A757" s="4" t="s">
        <v>202</v>
      </c>
      <c r="B757" s="4">
        <v>78</v>
      </c>
      <c r="C757" s="4">
        <v>74</v>
      </c>
      <c r="D757" s="4">
        <v>47</v>
      </c>
      <c r="E757" s="4">
        <v>43</v>
      </c>
      <c r="F757" s="4">
        <v>78</v>
      </c>
      <c r="G757" s="4">
        <v>71</v>
      </c>
    </row>
    <row r="758" spans="1:7">
      <c r="A758" s="4" t="s">
        <v>60</v>
      </c>
      <c r="B758" s="5">
        <v>74.5</v>
      </c>
      <c r="C758" s="4">
        <v>68</v>
      </c>
      <c r="D758" s="4">
        <v>59</v>
      </c>
      <c r="E758" s="4">
        <v>56</v>
      </c>
      <c r="F758" s="4">
        <v>71</v>
      </c>
      <c r="G758" s="4">
        <v>62</v>
      </c>
    </row>
    <row r="759" spans="1:7">
      <c r="A759" s="4" t="s">
        <v>128</v>
      </c>
      <c r="B759" s="4">
        <v>80</v>
      </c>
      <c r="C759" s="4">
        <v>60</v>
      </c>
      <c r="D759" s="5">
        <v>68.5</v>
      </c>
      <c r="E759" s="4">
        <v>67</v>
      </c>
      <c r="F759" s="4">
        <v>50</v>
      </c>
      <c r="G759" s="4">
        <v>65</v>
      </c>
    </row>
    <row r="760" spans="1:7">
      <c r="A760" s="4" t="s">
        <v>172</v>
      </c>
      <c r="B760" s="4">
        <v>73</v>
      </c>
      <c r="C760" s="4">
        <v>83</v>
      </c>
      <c r="D760" s="5">
        <v>51.5</v>
      </c>
      <c r="E760" s="4">
        <v>67</v>
      </c>
      <c r="F760" s="4">
        <v>55</v>
      </c>
      <c r="G760" s="4">
        <v>60</v>
      </c>
    </row>
    <row r="761" spans="1:7">
      <c r="A761" s="4" t="s">
        <v>827</v>
      </c>
      <c r="B761" s="5">
        <v>68.5</v>
      </c>
      <c r="C761" s="4">
        <v>64</v>
      </c>
      <c r="D761" s="5">
        <v>87.5</v>
      </c>
      <c r="E761" s="4">
        <v>69</v>
      </c>
      <c r="F761" s="4">
        <v>39</v>
      </c>
      <c r="G761" s="4">
        <v>61</v>
      </c>
    </row>
    <row r="762" spans="1:7">
      <c r="A762" s="4" t="s">
        <v>55</v>
      </c>
      <c r="B762" s="4">
        <v>77</v>
      </c>
      <c r="C762" s="4">
        <v>59</v>
      </c>
      <c r="D762" s="5">
        <v>49.5</v>
      </c>
      <c r="E762" s="4">
        <v>73</v>
      </c>
      <c r="F762" s="4">
        <v>73</v>
      </c>
      <c r="G762" s="4">
        <v>57</v>
      </c>
    </row>
    <row r="763" spans="1:7">
      <c r="A763" s="4" t="s">
        <v>15</v>
      </c>
      <c r="B763" s="5">
        <v>73.5</v>
      </c>
      <c r="C763" s="4">
        <v>86</v>
      </c>
      <c r="D763" s="4">
        <v>36</v>
      </c>
      <c r="E763" s="4">
        <v>76</v>
      </c>
      <c r="F763" s="4">
        <v>60</v>
      </c>
      <c r="G763" s="4">
        <v>56</v>
      </c>
    </row>
    <row r="764" spans="1:7">
      <c r="A764" s="4" t="s">
        <v>669</v>
      </c>
      <c r="B764" s="4">
        <v>81</v>
      </c>
      <c r="C764" s="4">
        <v>63</v>
      </c>
      <c r="D764" s="5">
        <v>65.5</v>
      </c>
      <c r="E764" s="4">
        <v>63</v>
      </c>
      <c r="F764" s="4">
        <v>49</v>
      </c>
      <c r="G764" s="4">
        <v>63</v>
      </c>
    </row>
    <row r="765" spans="1:7">
      <c r="A765" s="4" t="s">
        <v>145</v>
      </c>
      <c r="B765" s="4">
        <v>74</v>
      </c>
      <c r="C765" s="4">
        <v>66</v>
      </c>
      <c r="D765" s="5">
        <v>67.5</v>
      </c>
      <c r="E765" s="4">
        <v>58</v>
      </c>
      <c r="F765" s="4">
        <v>65</v>
      </c>
      <c r="G765" s="4">
        <v>54</v>
      </c>
    </row>
    <row r="766" spans="1:7">
      <c r="A766" s="4" t="s">
        <v>51</v>
      </c>
      <c r="B766" s="4">
        <v>80</v>
      </c>
      <c r="C766" s="4">
        <v>61</v>
      </c>
      <c r="D766" s="4">
        <v>33</v>
      </c>
      <c r="E766" s="4">
        <v>76</v>
      </c>
      <c r="F766" s="4">
        <v>72</v>
      </c>
      <c r="G766" s="4">
        <v>62</v>
      </c>
    </row>
    <row r="767" spans="1:7">
      <c r="A767" s="4" t="s">
        <v>14</v>
      </c>
      <c r="B767" s="4">
        <v>91</v>
      </c>
      <c r="C767" s="4">
        <v>71</v>
      </c>
      <c r="D767" s="5">
        <v>65.5</v>
      </c>
      <c r="E767" s="4">
        <v>48</v>
      </c>
      <c r="F767" s="4">
        <v>49</v>
      </c>
      <c r="G767" s="4">
        <v>59</v>
      </c>
    </row>
    <row r="768" spans="1:7">
      <c r="A768" s="4" t="s">
        <v>148</v>
      </c>
      <c r="B768" s="4">
        <v>58</v>
      </c>
      <c r="C768" s="4">
        <v>77</v>
      </c>
      <c r="D768" s="5">
        <v>57.5</v>
      </c>
      <c r="E768" s="4">
        <v>78</v>
      </c>
      <c r="F768" s="4">
        <v>47</v>
      </c>
      <c r="G768" s="4">
        <v>66</v>
      </c>
    </row>
    <row r="769" spans="1:7">
      <c r="A769" s="4" t="s">
        <v>63</v>
      </c>
      <c r="B769" s="4">
        <v>77</v>
      </c>
      <c r="C769" s="4">
        <v>55</v>
      </c>
      <c r="D769" s="4">
        <v>65</v>
      </c>
      <c r="E769" s="4">
        <v>72</v>
      </c>
      <c r="F769" s="4">
        <v>55</v>
      </c>
      <c r="G769" s="4">
        <v>54</v>
      </c>
    </row>
    <row r="770" spans="1:7">
      <c r="A770" s="4" t="s">
        <v>184</v>
      </c>
      <c r="B770" s="4">
        <v>90</v>
      </c>
      <c r="C770" s="4">
        <v>54</v>
      </c>
      <c r="D770" s="5">
        <v>68.5</v>
      </c>
      <c r="E770" s="4">
        <v>45</v>
      </c>
      <c r="F770" s="4">
        <v>61</v>
      </c>
      <c r="G770" s="4">
        <v>58</v>
      </c>
    </row>
    <row r="771" spans="1:7">
      <c r="A771" s="4" t="s">
        <v>292</v>
      </c>
      <c r="B771" s="4">
        <v>77</v>
      </c>
      <c r="C771" s="4">
        <v>50</v>
      </c>
      <c r="D771" s="5">
        <v>46.5</v>
      </c>
      <c r="E771" s="4">
        <v>66</v>
      </c>
      <c r="F771" s="4">
        <v>69</v>
      </c>
      <c r="G771" s="4">
        <v>66</v>
      </c>
    </row>
    <row r="772" spans="1:7">
      <c r="A772" s="4" t="s">
        <v>360</v>
      </c>
      <c r="B772" s="5">
        <v>74.5</v>
      </c>
      <c r="C772" s="4">
        <v>58</v>
      </c>
      <c r="D772" s="5">
        <v>62.5</v>
      </c>
      <c r="E772" s="4">
        <v>64</v>
      </c>
      <c r="F772" s="4">
        <v>66</v>
      </c>
      <c r="G772" s="4">
        <v>47</v>
      </c>
    </row>
    <row r="773" spans="1:7">
      <c r="A773" s="4" t="s">
        <v>117</v>
      </c>
      <c r="B773" s="4">
        <v>72</v>
      </c>
      <c r="C773" s="4">
        <v>45</v>
      </c>
      <c r="D773" s="4">
        <v>90</v>
      </c>
      <c r="E773" s="4">
        <v>71</v>
      </c>
      <c r="F773" s="4">
        <v>46</v>
      </c>
      <c r="G773" s="4">
        <v>48</v>
      </c>
    </row>
    <row r="774" spans="1:7">
      <c r="A774" s="4" t="s">
        <v>191</v>
      </c>
      <c r="B774" s="4">
        <v>68</v>
      </c>
      <c r="C774" s="4">
        <v>48</v>
      </c>
      <c r="D774" s="5">
        <v>68.5</v>
      </c>
      <c r="E774" s="4">
        <v>68</v>
      </c>
      <c r="F774" s="4">
        <v>64</v>
      </c>
      <c r="G774" s="4">
        <v>55</v>
      </c>
    </row>
    <row r="775" spans="1:7">
      <c r="A775" s="4" t="s">
        <v>350</v>
      </c>
      <c r="B775" s="4">
        <v>67</v>
      </c>
      <c r="C775" s="4">
        <v>59</v>
      </c>
      <c r="D775" s="5">
        <v>62.5</v>
      </c>
      <c r="E775" s="4">
        <v>56</v>
      </c>
      <c r="F775" s="4">
        <v>59</v>
      </c>
      <c r="G775" s="4">
        <v>65</v>
      </c>
    </row>
    <row r="776" spans="1:7">
      <c r="A776" s="4" t="s">
        <v>11</v>
      </c>
      <c r="B776" s="4">
        <v>69</v>
      </c>
      <c r="C776" s="4">
        <v>63</v>
      </c>
      <c r="D776" s="5">
        <v>50.5</v>
      </c>
      <c r="E776" s="4">
        <v>67</v>
      </c>
      <c r="F776" s="4">
        <v>55</v>
      </c>
      <c r="G776" s="4">
        <v>64</v>
      </c>
    </row>
    <row r="777" spans="1:7">
      <c r="A777" s="4" t="s">
        <v>28</v>
      </c>
      <c r="B777" s="4">
        <v>63</v>
      </c>
      <c r="C777" s="4">
        <v>55</v>
      </c>
      <c r="D777" s="5">
        <v>69.5</v>
      </c>
      <c r="E777" s="4">
        <v>53</v>
      </c>
      <c r="F777" s="4">
        <v>56</v>
      </c>
      <c r="G777" s="4">
        <v>67</v>
      </c>
    </row>
    <row r="778" spans="1:7">
      <c r="A778" s="4" t="s">
        <v>297</v>
      </c>
      <c r="B778" s="4">
        <v>79</v>
      </c>
      <c r="C778" s="4">
        <v>64</v>
      </c>
      <c r="D778" s="5">
        <v>39.5</v>
      </c>
      <c r="E778" s="4">
        <v>70</v>
      </c>
      <c r="F778" s="4">
        <v>55</v>
      </c>
      <c r="G778" s="4">
        <v>56</v>
      </c>
    </row>
    <row r="779" spans="1:7">
      <c r="A779" s="4" t="s">
        <v>214</v>
      </c>
      <c r="B779" s="4">
        <v>81</v>
      </c>
      <c r="C779" s="4">
        <v>51</v>
      </c>
      <c r="D779" s="5">
        <v>77.5</v>
      </c>
      <c r="E779" s="4">
        <v>41</v>
      </c>
      <c r="F779" s="4">
        <v>53</v>
      </c>
      <c r="G779" s="4">
        <v>58</v>
      </c>
    </row>
    <row r="780" spans="1:7">
      <c r="A780" s="4" t="s">
        <v>828</v>
      </c>
      <c r="B780" s="4">
        <v>66</v>
      </c>
      <c r="C780" s="4">
        <v>69</v>
      </c>
      <c r="D780" s="4">
        <v>59</v>
      </c>
      <c r="E780" s="4">
        <v>69</v>
      </c>
      <c r="F780" s="4">
        <v>40</v>
      </c>
      <c r="G780" s="4">
        <v>58</v>
      </c>
    </row>
    <row r="781" spans="1:7">
      <c r="A781" s="4" t="s">
        <v>38</v>
      </c>
      <c r="B781" s="5">
        <v>78.5</v>
      </c>
      <c r="C781" s="4">
        <v>68</v>
      </c>
      <c r="D781" s="4">
        <v>56</v>
      </c>
      <c r="E781" s="4">
        <v>52</v>
      </c>
      <c r="F781" s="4">
        <v>50</v>
      </c>
      <c r="G781" s="4">
        <v>56</v>
      </c>
    </row>
    <row r="782" spans="1:7">
      <c r="A782" s="4" t="s">
        <v>29</v>
      </c>
      <c r="B782" s="5">
        <v>80.5</v>
      </c>
      <c r="C782" s="4">
        <v>76</v>
      </c>
      <c r="D782" s="4">
        <v>35</v>
      </c>
      <c r="E782" s="4">
        <v>48</v>
      </c>
      <c r="F782" s="4">
        <v>55</v>
      </c>
      <c r="G782" s="4">
        <v>56</v>
      </c>
    </row>
    <row r="783" spans="1:7">
      <c r="A783" s="4" t="s">
        <v>57</v>
      </c>
      <c r="B783" s="4">
        <v>72</v>
      </c>
      <c r="C783" s="4">
        <v>55</v>
      </c>
      <c r="D783" s="4">
        <v>70</v>
      </c>
      <c r="E783" s="4">
        <v>67</v>
      </c>
      <c r="F783" s="4">
        <v>41</v>
      </c>
      <c r="G783" s="4">
        <v>44</v>
      </c>
    </row>
    <row r="784" spans="1:7">
      <c r="A784" s="4" t="s">
        <v>33</v>
      </c>
      <c r="B784" s="4">
        <v>72</v>
      </c>
      <c r="C784" s="4">
        <v>55</v>
      </c>
      <c r="D784" s="5">
        <v>97.5</v>
      </c>
      <c r="E784" s="4">
        <v>35</v>
      </c>
      <c r="F784" s="4">
        <v>44</v>
      </c>
      <c r="G784" s="4">
        <v>45</v>
      </c>
    </row>
    <row r="785" spans="1:7">
      <c r="A785" s="4" t="s">
        <v>106</v>
      </c>
      <c r="B785" s="4">
        <v>64</v>
      </c>
      <c r="C785" s="4">
        <v>75</v>
      </c>
      <c r="D785" s="5">
        <v>39.5</v>
      </c>
      <c r="E785" s="4">
        <v>55</v>
      </c>
      <c r="F785" s="4">
        <v>44</v>
      </c>
      <c r="G785" s="4">
        <v>71</v>
      </c>
    </row>
    <row r="786" spans="1:7">
      <c r="A786" s="4" t="s">
        <v>125</v>
      </c>
      <c r="B786" s="4">
        <v>68</v>
      </c>
      <c r="C786" s="4">
        <v>58</v>
      </c>
      <c r="D786" s="5">
        <v>49.5</v>
      </c>
      <c r="E786" s="4">
        <v>57</v>
      </c>
      <c r="F786" s="4">
        <v>46</v>
      </c>
      <c r="G786" s="4">
        <v>66</v>
      </c>
    </row>
    <row r="787" spans="1:7">
      <c r="A787" s="4" t="s">
        <v>144</v>
      </c>
      <c r="B787" s="4">
        <v>66</v>
      </c>
      <c r="C787" s="4">
        <v>63</v>
      </c>
      <c r="D787" s="5">
        <v>53.5</v>
      </c>
      <c r="E787" s="4">
        <v>62</v>
      </c>
      <c r="F787" s="4">
        <v>57</v>
      </c>
      <c r="G787" s="4">
        <v>39</v>
      </c>
    </row>
    <row r="788" spans="1:7">
      <c r="A788" s="4" t="s">
        <v>119</v>
      </c>
      <c r="B788" s="4">
        <v>71</v>
      </c>
      <c r="C788" s="4">
        <v>47</v>
      </c>
      <c r="D788" s="5">
        <v>49.5</v>
      </c>
      <c r="E788" s="4">
        <v>62</v>
      </c>
      <c r="F788" s="4">
        <v>52</v>
      </c>
      <c r="G788" s="4">
        <v>53</v>
      </c>
    </row>
    <row r="789" spans="1:7">
      <c r="A789" s="4" t="s">
        <v>151</v>
      </c>
      <c r="B789" s="4">
        <v>79</v>
      </c>
      <c r="C789" s="4">
        <v>45</v>
      </c>
      <c r="D789" s="5">
        <v>71.5</v>
      </c>
      <c r="E789" s="4">
        <v>48</v>
      </c>
      <c r="F789" s="4">
        <v>37</v>
      </c>
      <c r="G789" s="4">
        <v>49</v>
      </c>
    </row>
    <row r="790" spans="1:7">
      <c r="A790" s="4" t="s">
        <v>160</v>
      </c>
      <c r="B790" s="4">
        <v>69</v>
      </c>
      <c r="C790" s="4">
        <v>65</v>
      </c>
      <c r="D790" s="5">
        <v>35.5</v>
      </c>
      <c r="E790" s="4">
        <v>63</v>
      </c>
      <c r="F790" s="4">
        <v>41</v>
      </c>
      <c r="G790" s="4">
        <v>56</v>
      </c>
    </row>
    <row r="791" spans="1:7">
      <c r="A791" s="4" t="s">
        <v>12</v>
      </c>
      <c r="B791" s="4">
        <v>57</v>
      </c>
      <c r="C791" s="4">
        <v>68</v>
      </c>
      <c r="D791" s="4">
        <v>73</v>
      </c>
      <c r="E791" s="4">
        <v>46</v>
      </c>
      <c r="F791" s="4">
        <v>34</v>
      </c>
      <c r="G791" s="4">
        <v>51</v>
      </c>
    </row>
    <row r="792" spans="1:7">
      <c r="A792" s="4" t="s">
        <v>351</v>
      </c>
      <c r="B792" s="4">
        <v>62</v>
      </c>
      <c r="C792" s="4">
        <v>49</v>
      </c>
      <c r="D792" s="5">
        <v>42.5</v>
      </c>
      <c r="E792" s="4">
        <v>67</v>
      </c>
      <c r="F792" s="4">
        <v>52</v>
      </c>
      <c r="G792" s="4">
        <v>55</v>
      </c>
    </row>
    <row r="793" spans="1:7">
      <c r="A793" s="4" t="s">
        <v>90</v>
      </c>
      <c r="B793" s="4">
        <v>50</v>
      </c>
      <c r="C793" s="4">
        <v>55</v>
      </c>
      <c r="D793" s="5">
        <v>33.5</v>
      </c>
      <c r="E793" s="4">
        <v>72</v>
      </c>
      <c r="F793" s="4">
        <v>57</v>
      </c>
      <c r="G793" s="4">
        <v>60</v>
      </c>
    </row>
    <row r="794" spans="1:7">
      <c r="A794" s="4" t="s">
        <v>107</v>
      </c>
      <c r="B794" s="4">
        <v>69</v>
      </c>
      <c r="C794" s="4">
        <v>42</v>
      </c>
      <c r="D794" s="4">
        <v>61</v>
      </c>
      <c r="E794" s="4">
        <v>50</v>
      </c>
      <c r="F794" s="4">
        <v>45</v>
      </c>
      <c r="G794" s="4">
        <v>60</v>
      </c>
    </row>
    <row r="795" spans="1:7">
      <c r="A795" s="4" t="s">
        <v>168</v>
      </c>
      <c r="B795" s="4">
        <v>74</v>
      </c>
      <c r="C795" s="4">
        <v>38</v>
      </c>
      <c r="D795" s="4">
        <v>48</v>
      </c>
      <c r="E795" s="4">
        <v>44</v>
      </c>
      <c r="F795" s="4">
        <v>62</v>
      </c>
      <c r="G795" s="4">
        <v>57</v>
      </c>
    </row>
    <row r="796" spans="1:7">
      <c r="A796" s="4" t="s">
        <v>118</v>
      </c>
      <c r="B796" s="4">
        <v>70</v>
      </c>
      <c r="C796" s="4">
        <v>57</v>
      </c>
      <c r="D796" s="4">
        <v>42</v>
      </c>
      <c r="E796" s="4">
        <v>52</v>
      </c>
      <c r="F796" s="4">
        <v>41</v>
      </c>
      <c r="G796" s="4">
        <v>53</v>
      </c>
    </row>
    <row r="797" spans="1:7">
      <c r="A797" s="4" t="s">
        <v>829</v>
      </c>
      <c r="B797" s="4">
        <v>52</v>
      </c>
      <c r="C797" s="4">
        <v>40</v>
      </c>
      <c r="D797" s="5">
        <v>62.5</v>
      </c>
      <c r="E797" s="4">
        <v>47</v>
      </c>
      <c r="F797" s="4">
        <v>54</v>
      </c>
      <c r="G797" s="4">
        <v>49</v>
      </c>
    </row>
    <row r="798" spans="1:7">
      <c r="A798" s="4" t="s">
        <v>31</v>
      </c>
      <c r="B798" s="4">
        <v>67</v>
      </c>
      <c r="C798" s="4">
        <v>28</v>
      </c>
      <c r="D798" s="5">
        <v>62.5</v>
      </c>
      <c r="E798" s="4">
        <v>42</v>
      </c>
      <c r="F798" s="4">
        <v>43</v>
      </c>
      <c r="G798" s="4">
        <v>60</v>
      </c>
    </row>
    <row r="799" spans="1:7">
      <c r="A799" s="4" t="s">
        <v>44</v>
      </c>
      <c r="B799" s="4">
        <v>63</v>
      </c>
      <c r="C799" s="4">
        <v>27</v>
      </c>
      <c r="D799" s="4">
        <v>35</v>
      </c>
      <c r="E799" s="4">
        <v>54</v>
      </c>
      <c r="F799" s="4">
        <v>54</v>
      </c>
      <c r="G799" s="4">
        <v>52</v>
      </c>
    </row>
    <row r="800" spans="1:7">
      <c r="A800" s="4" t="s">
        <v>17</v>
      </c>
      <c r="B800" s="4">
        <v>61</v>
      </c>
      <c r="C800" s="4">
        <v>44</v>
      </c>
      <c r="D800" s="4">
        <v>53</v>
      </c>
      <c r="E800" s="4">
        <v>53</v>
      </c>
      <c r="F800" s="4">
        <v>32</v>
      </c>
      <c r="G800" s="4">
        <v>40</v>
      </c>
    </row>
    <row r="801" spans="1:7">
      <c r="A801" s="4" t="s">
        <v>71</v>
      </c>
      <c r="B801" s="4">
        <v>65</v>
      </c>
      <c r="C801" s="4">
        <v>29</v>
      </c>
      <c r="D801" s="5">
        <v>31.5</v>
      </c>
      <c r="E801" s="4">
        <v>47</v>
      </c>
      <c r="F801" s="4">
        <v>50</v>
      </c>
      <c r="G801" s="4">
        <v>56</v>
      </c>
    </row>
    <row r="802" spans="1:7">
      <c r="A802" s="4" t="s">
        <v>188</v>
      </c>
      <c r="B802" s="4">
        <v>68</v>
      </c>
      <c r="C802" s="4">
        <v>22</v>
      </c>
      <c r="D802" s="4">
        <v>39</v>
      </c>
      <c r="E802" s="4">
        <v>34</v>
      </c>
      <c r="F802" s="4">
        <v>70</v>
      </c>
      <c r="G802" s="4">
        <v>39</v>
      </c>
    </row>
    <row r="803" spans="1:7">
      <c r="A803" s="4" t="s">
        <v>58</v>
      </c>
      <c r="B803" s="4">
        <v>77</v>
      </c>
      <c r="C803" s="4">
        <v>17</v>
      </c>
      <c r="D803" s="5">
        <v>25.5</v>
      </c>
      <c r="E803" s="4">
        <v>37</v>
      </c>
      <c r="F803" s="4">
        <v>48</v>
      </c>
      <c r="G803" s="4">
        <v>57</v>
      </c>
    </row>
    <row r="804" spans="1:7">
      <c r="A804" s="4" t="s">
        <v>52</v>
      </c>
      <c r="B804" s="4">
        <v>56</v>
      </c>
      <c r="C804" s="4">
        <v>23</v>
      </c>
      <c r="D804" s="4">
        <v>24</v>
      </c>
      <c r="E804" s="4">
        <v>45</v>
      </c>
      <c r="F804" s="4">
        <v>26</v>
      </c>
      <c r="G804" s="4">
        <v>42</v>
      </c>
    </row>
    <row r="805" spans="1:7">
      <c r="A805" s="4" t="s">
        <v>18</v>
      </c>
      <c r="B805" s="4">
        <v>54</v>
      </c>
      <c r="C805" s="4">
        <v>19</v>
      </c>
      <c r="D805" s="5">
        <v>42.5</v>
      </c>
      <c r="E805" s="4">
        <v>20</v>
      </c>
      <c r="F805" s="4">
        <v>33</v>
      </c>
      <c r="G805" s="4">
        <v>45</v>
      </c>
    </row>
    <row r="806" spans="1:7">
      <c r="A806" s="4" t="s">
        <v>142</v>
      </c>
      <c r="B806" s="4">
        <v>43</v>
      </c>
      <c r="C806" s="4">
        <v>6</v>
      </c>
      <c r="D806" s="4">
        <v>38</v>
      </c>
      <c r="E806" s="4">
        <v>40</v>
      </c>
      <c r="F806" s="4">
        <v>47</v>
      </c>
      <c r="G806" s="4">
        <v>39</v>
      </c>
    </row>
    <row r="807" spans="1:7">
      <c r="A807" s="4" t="s">
        <v>830</v>
      </c>
      <c r="B807" s="4">
        <v>66</v>
      </c>
      <c r="C807" s="4">
        <v>16</v>
      </c>
      <c r="D807" s="4">
        <v>31</v>
      </c>
      <c r="E807" s="4">
        <v>23</v>
      </c>
      <c r="F807" s="4">
        <v>37</v>
      </c>
      <c r="G807" s="4">
        <v>37</v>
      </c>
    </row>
    <row r="808" spans="1:7">
      <c r="A808" s="4" t="s">
        <v>201</v>
      </c>
      <c r="B808" s="4" t="s">
        <v>36</v>
      </c>
      <c r="C808" s="4" t="s">
        <v>36</v>
      </c>
      <c r="D808" s="4" t="s">
        <v>36</v>
      </c>
      <c r="E808" s="4" t="s">
        <v>36</v>
      </c>
      <c r="F808" s="4" t="s">
        <v>36</v>
      </c>
      <c r="G808" s="4" t="s">
        <v>36</v>
      </c>
    </row>
    <row r="809" spans="1:7">
      <c r="A809" s="4" t="s">
        <v>207</v>
      </c>
      <c r="B809" s="4" t="s">
        <v>36</v>
      </c>
      <c r="C809" s="4" t="s">
        <v>36</v>
      </c>
      <c r="D809" s="4" t="s">
        <v>36</v>
      </c>
      <c r="E809" s="4" t="s">
        <v>36</v>
      </c>
      <c r="F809" s="4" t="s">
        <v>36</v>
      </c>
      <c r="G809" s="4" t="s">
        <v>36</v>
      </c>
    </row>
    <row r="810" spans="1:7">
      <c r="A810" s="4" t="s">
        <v>224</v>
      </c>
      <c r="B810" s="4">
        <v>68</v>
      </c>
      <c r="C810" s="4">
        <v>77</v>
      </c>
      <c r="D810" s="4" t="s">
        <v>36</v>
      </c>
      <c r="E810" s="4" t="s">
        <v>36</v>
      </c>
      <c r="F810" s="4" t="s">
        <v>36</v>
      </c>
      <c r="G810" s="4">
        <v>69</v>
      </c>
    </row>
    <row r="811" spans="1:7">
      <c r="A811" s="4" t="s">
        <v>547</v>
      </c>
      <c r="B811" s="4" t="s">
        <v>36</v>
      </c>
      <c r="C811" s="4" t="s">
        <v>36</v>
      </c>
      <c r="D811" s="4" t="s">
        <v>36</v>
      </c>
      <c r="E811" s="4" t="s">
        <v>36</v>
      </c>
      <c r="F811" s="4" t="s">
        <v>36</v>
      </c>
      <c r="G811" s="4" t="s">
        <v>36</v>
      </c>
    </row>
    <row r="812" spans="1:7">
      <c r="A812" s="4" t="s">
        <v>35</v>
      </c>
      <c r="B812" s="4" t="s">
        <v>36</v>
      </c>
      <c r="C812" s="4" t="s">
        <v>36</v>
      </c>
      <c r="D812" s="4" t="s">
        <v>36</v>
      </c>
      <c r="E812" s="4" t="s">
        <v>36</v>
      </c>
      <c r="F812" s="4" t="s">
        <v>36</v>
      </c>
      <c r="G812" s="4" t="s">
        <v>36</v>
      </c>
    </row>
    <row r="813" spans="1:7">
      <c r="A813" s="4" t="s">
        <v>831</v>
      </c>
      <c r="B813" s="4" t="s">
        <v>36</v>
      </c>
      <c r="C813" s="4" t="s">
        <v>36</v>
      </c>
      <c r="D813" s="4" t="s">
        <v>36</v>
      </c>
      <c r="E813" s="4" t="s">
        <v>36</v>
      </c>
      <c r="F813" s="4" t="s">
        <v>36</v>
      </c>
      <c r="G813" s="4" t="s">
        <v>36</v>
      </c>
    </row>
    <row r="814" spans="1:7">
      <c r="A814" s="4" t="s">
        <v>263</v>
      </c>
      <c r="B814" s="4">
        <v>86</v>
      </c>
      <c r="C814" s="4">
        <v>98</v>
      </c>
      <c r="D814" s="4" t="s">
        <v>36</v>
      </c>
      <c r="E814" s="4" t="s">
        <v>36</v>
      </c>
      <c r="F814" s="4" t="s">
        <v>36</v>
      </c>
      <c r="G814" s="4">
        <v>82</v>
      </c>
    </row>
    <row r="815" spans="1:7">
      <c r="A815" s="6"/>
      <c r="B815" s="6"/>
      <c r="C815" s="6"/>
      <c r="D815" s="6"/>
      <c r="E815" s="6"/>
    </row>
    <row r="816" spans="1:7">
      <c r="A816" s="6"/>
      <c r="B816" s="6"/>
      <c r="C816" s="6"/>
      <c r="D816" s="6"/>
      <c r="E816" s="6"/>
    </row>
    <row r="817" spans="1:5">
      <c r="A817" s="6"/>
      <c r="B817" s="6"/>
      <c r="C817" s="6"/>
      <c r="D817" s="6"/>
      <c r="E817" s="6"/>
    </row>
    <row r="818" spans="1:5">
      <c r="A818" s="6"/>
      <c r="B818" s="6"/>
      <c r="C818" s="6"/>
      <c r="D818" s="6"/>
      <c r="E818" s="6"/>
    </row>
    <row r="819" spans="1:5">
      <c r="A819" s="6"/>
      <c r="B819" s="6"/>
      <c r="C819" s="6"/>
      <c r="D819" s="6"/>
      <c r="E819" s="6"/>
    </row>
    <row r="820" spans="1:5">
      <c r="A820" s="6"/>
      <c r="B820" s="6"/>
      <c r="C820" s="6"/>
      <c r="D820" s="6"/>
      <c r="E820" s="6"/>
    </row>
    <row r="821" spans="1:5">
      <c r="A821" s="6"/>
      <c r="B821" s="6"/>
      <c r="C821" s="6"/>
      <c r="D821" s="6"/>
      <c r="E821" s="6"/>
    </row>
    <row r="822" spans="1:5">
      <c r="A822" s="6"/>
      <c r="B822" s="6"/>
      <c r="C822" s="6"/>
      <c r="D822" s="6"/>
      <c r="E822" s="6"/>
    </row>
    <row r="823" spans="1:5">
      <c r="A823" s="6"/>
      <c r="B823" s="6"/>
      <c r="C823" s="6"/>
      <c r="D823" s="6"/>
      <c r="E823" s="6"/>
    </row>
    <row r="824" spans="1:5">
      <c r="A824" s="6"/>
      <c r="B824" s="6"/>
      <c r="C824" s="6"/>
      <c r="D824" s="6"/>
      <c r="E824" s="6"/>
    </row>
    <row r="825" spans="1:5">
      <c r="A825" s="6"/>
      <c r="B825" s="6"/>
      <c r="C825" s="6"/>
      <c r="D825" s="6"/>
      <c r="E825" s="6"/>
    </row>
    <row r="826" spans="1:5">
      <c r="A826" s="6"/>
      <c r="B826" s="6"/>
      <c r="C826" s="6"/>
      <c r="D826" s="6"/>
      <c r="E826" s="6"/>
    </row>
    <row r="827" spans="1:5">
      <c r="A827" s="6"/>
      <c r="B827" s="6"/>
      <c r="C827" s="6"/>
      <c r="D827" s="6"/>
      <c r="E827" s="6"/>
    </row>
    <row r="828" spans="1:5">
      <c r="A828" s="6"/>
      <c r="B828" s="6"/>
      <c r="C828" s="6"/>
      <c r="D828" s="6"/>
      <c r="E828" s="6"/>
    </row>
    <row r="829" spans="1:5">
      <c r="A829" s="6"/>
      <c r="B829" s="6"/>
      <c r="C829" s="6"/>
      <c r="D829" s="6"/>
      <c r="E829" s="6"/>
    </row>
    <row r="830" spans="1:5">
      <c r="A830" s="6"/>
      <c r="B830" s="6"/>
      <c r="C830" s="6"/>
      <c r="D830" s="6"/>
      <c r="E830" s="6"/>
    </row>
    <row r="831" spans="1:5">
      <c r="A831" s="6"/>
      <c r="B831" s="6"/>
      <c r="C831" s="6"/>
      <c r="D831" s="6"/>
      <c r="E831" s="6"/>
    </row>
    <row r="832" spans="1:5">
      <c r="A832" s="6"/>
      <c r="B832" s="6"/>
      <c r="C832" s="6"/>
      <c r="D832" s="6"/>
      <c r="E832" s="6"/>
    </row>
    <row r="833" spans="1:5">
      <c r="A833" s="6"/>
      <c r="B833" s="6"/>
      <c r="C833" s="6"/>
      <c r="D833" s="6"/>
      <c r="E833" s="6"/>
    </row>
    <row r="834" spans="1:5">
      <c r="A834" s="6"/>
      <c r="B834" s="6"/>
      <c r="C834" s="6"/>
      <c r="D834" s="6"/>
      <c r="E834" s="6"/>
    </row>
  </sheetData>
  <mergeCells count="1"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Lazyandcool</cp:lastModifiedBy>
  <dcterms:created xsi:type="dcterms:W3CDTF">2025-08-21T17:08:00Z</dcterms:created>
  <dcterms:modified xsi:type="dcterms:W3CDTF">2026-03-11T19:42:09Z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C3F4337CFBE185A32CDFC36845E91C2D_42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0</vt:i4>
  </property>
</Properties>
</file>